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販売記録" sheetId="2" state="visible" r:id="rId2"/>
    <sheet xmlns:r="http://schemas.openxmlformats.org/officeDocument/2006/relationships" name="手数料マスタ" sheetId="3" state="visible" r:id="rId3"/>
    <sheet xmlns:r="http://schemas.openxmlformats.org/officeDocument/2006/relationships" name="在庫一覧" sheetId="4" state="visible" r:id="rId4"/>
    <sheet xmlns:r="http://schemas.openxmlformats.org/officeDocument/2006/relationships" name="採算シミュレータ" sheetId="5" state="visible" r:id="rId5"/>
    <sheet xmlns:r="http://schemas.openxmlformats.org/officeDocument/2006/relationships" name="月次集計" sheetId="6" state="visible" r:id="rId6"/>
  </sheets>
  <definedNames>
    <definedName name="PlatformList">'手数料マスタ'!$A$5:$A$104</definedName>
    <definedName name="_xlnm.Print_Titles" localSheetId="0">'はじめに'!$1:$4</definedName>
    <definedName name="_xlnm._FilterDatabase" localSheetId="1" hidden="1">'販売記録'!$A$4:$K$1004</definedName>
    <definedName name="_xlnm.Print_Titles" localSheetId="1">'販売記録'!$1:$4</definedName>
    <definedName name="_xlnm._FilterDatabase" localSheetId="2" hidden="1">'手数料マスタ'!$A$4:$C$104</definedName>
    <definedName name="_xlnm.Print_Titles" localSheetId="2">'手数料マスタ'!$1:$4</definedName>
    <definedName name="_xlnm._FilterDatabase" localSheetId="3" hidden="1">'在庫一覧'!$A$4:$E$1004</definedName>
    <definedName name="_xlnm.Print_Titles" localSheetId="3">'在庫一覧'!$1:$4</definedName>
    <definedName name="_xlnm.Print_Titles" localSheetId="4">'採算シミュレータ'!$1:$4</definedName>
    <definedName name="_xlnm.Print_Titles" localSheetId="5">'月次集計'!$1:$4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/mm/dd"/>
    <numFmt numFmtId="166" formatCode="#,##0&quot;円&quot;;[Red]-#,##0&quot;円&quot;;0&quot;円&quot;"/>
    <numFmt numFmtId="167" formatCode="0&quot;年&quot;"/>
    <numFmt numFmtId="168" formatCode="yyyy&quot;年&quot;m&quot;月&quot;"/>
  </numFmts>
  <fonts count="7">
    <font>
      <name val="Calibri"/>
      <family val="2"/>
      <color theme="1"/>
      <sz val="11"/>
      <scheme val="minor"/>
    </font>
    <font>
      <name val="Yu Gothic"/>
      <b val="1"/>
      <color rgb="0017324D"/>
      <sz val="20"/>
    </font>
    <font>
      <name val="Yu Gothic"/>
      <color rgb="00526577"/>
      <sz val="10"/>
    </font>
    <font>
      <name val="Yu Gothic"/>
      <b val="1"/>
      <color rgb="00FFFFFF"/>
    </font>
    <font>
      <name val="Yu Gothic"/>
      <color rgb="0017324D"/>
      <sz val="10"/>
    </font>
    <font>
      <name val="Yu Gothic"/>
      <color rgb="00145DA0"/>
      <sz val="10"/>
    </font>
    <font>
      <name val="Yu Gothic"/>
      <b val="1"/>
      <color rgb="00087F8C"/>
      <sz val="12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5EF"/>
      </patternFill>
    </fill>
    <fill>
      <patternFill patternType="solid">
        <fgColor rgb="00ED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165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166" fontId="5" fillId="4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165" fontId="4" fillId="3" borderId="0" applyAlignment="1" pivotButton="0" quotePrefix="0" xfId="0">
      <alignment vertical="center"/>
    </xf>
    <xf numFmtId="1" fontId="4" fillId="3" borderId="0" applyAlignment="1" pivotButton="0" quotePrefix="0" xfId="0">
      <alignment vertical="center"/>
    </xf>
    <xf numFmtId="164" fontId="4" fillId="3" borderId="0" applyAlignment="1" pivotButton="0" quotePrefix="0" xfId="0">
      <alignment vertical="center"/>
    </xf>
    <xf numFmtId="167" fontId="5" fillId="4" borderId="0" applyAlignment="1" pivotButton="0" quotePrefix="0" xfId="0">
      <alignment vertical="center"/>
    </xf>
    <xf numFmtId="168" fontId="4" fillId="3" borderId="0" applyAlignment="1" pivotButton="0" quotePrefix="0" xfId="0">
      <alignment vertical="center"/>
    </xf>
    <xf numFmtId="166" fontId="6" fillId="3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DE7E9"/>
        </patternFill>
      </fill>
    </dxf>
    <dxf>
      <fill>
        <patternFill patternType="solid">
          <fgColor rgb="00FFF0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tabColor rgb="00087F8C"/>
    <ns0:outlinePr summaryBelow="1" summaryRight="0"/>
    <ns0:pageSetUpPr fitToPage="1"/>
  </ns0:sheetPr>
  <ns0:dimension ref="A1:B20"/>
  <ns0:sheetViews>
    <ns0:sheetView showGridLines="0" workbookViewId="0">
      <ns0:pane ySplit="4" topLeftCell="A5" activePane="bottomLeft" state="frozen"/>
      <ns0:selection pane="bottomLeft" activeCell="A1" sqref="A1"/>
    </ns0:sheetView>
  </ns0:sheetViews>
  <ns0:sheetFormatPr baseColWidth="8" defaultRowHeight="15"/>
  <ns0:cols>
    <ns0:col width="28" customWidth="1" min="1" max="1"/>
    <ns0:col width="108" customWidth="1" min="2" max="2"/>
  </ns0:cols>
  <ns0:sheetData>
    <ns0:row r="1" ht="32" customHeight="1">
      <ns0:c r="A1" s="1" t="inlineStr">
        <ns0:is>
          <ns0:t>実利益・在庫管理キット</ns0:t>
        </ns0:is>
      </ns0:c>
    </ns0:row>
    <ns0:row r="2" ht="26" customHeight="1">
      <ns0:c r="A2" s="2" t="inlineStr">
        <ns0:is>
          <ns0:t>販売の手残りと在庫の滞留を、ひとつのファイルで。</ns0:t>
        </ns0:is>
      </ns0:c>
    </ns0:row>
    <ns0:row r="4" ht="30" customHeight="1">
      <ns0:c r="A4" s="3" t="inlineStr">
        <ns0:is>
          <ns0:t>手順・項目</ns0:t>
        </ns0:is>
      </ns0:c>
      <ns0:c r="B4" s="3" t="inlineStr">
        <ns0:is>
          <ns0:t>使い方</ns0:t>
        </ns0:is>
      </ns0:c>
    </ns0:row>
    <ns0:row r="5" ht="42" customHeight="1">
      <ns0:c r="A5" s="4" t="inlineStr">
        <ns0:is>
          <ns0:t>1 ｜ 手数料を設定</ns0:t>
        </ns0:is>
      </ns0:c>
      <ns0:c r="B5" s="4" t="inlineStr">
        <ns0:is>
          <ns0:t>「手数料マスタ」で手数料率を確認・編集します。初期値は例です。契約・キャンペーン等の実際の料率を確認してください。</ns0:t>
        </ns0:is>
      </ns0:c>
    </ns0:row>
    <ns0:row r="6" ht="42" customHeight="1">
      <ns0:c r="A6" s="4" t="inlineStr">
        <ns0:is>
          <ns0:t>2 ｜ 仕入れを記録</ns0:t>
        </ns0:is>
      </ns0:c>
      <ns0:c r="B6" s="4" t="inlineStr">
        <ns0:is>
          <ns0:t>「販売記録」に商品名・プラットフォーム・仕入価格・仕入日を入力し、状態を「在庫」にします。</ns0:t>
        </ns0:is>
      </ns0:c>
    </ns0:row>
    <ns0:row r="7" ht="42" customHeight="1">
      <ns0:c r="A7" s="4" t="inlineStr">
        <ns0:is>
          <ns0:t>3 ｜ 売れたら更新</ns0:t>
        </ns0:is>
      </ns0:c>
      <ns0:c r="B7" s="4" t="inlineStr">
        <ns0:is>
          <ns0:t>販売日・販売価格・送料・梱包費を入力し、状態を「販売済み」にします。費用がない場合も 0 を入力します。</ns0:t>
        </ns0:is>
      </ns0:c>
    </ns0:row>
    <ns0:row r="8" ht="42" customHeight="1">
      <ns0:c r="A8" s="4" t="inlineStr">
        <ns0:is>
          <ns0:t>4 ｜ 利益を確認</ns0:t>
        </ns0:is>
      </ns0:c>
      <ns0:c r="B8" s="4" t="inlineStr">
        <ns0:is>
          <ns0:t>販売手数料＝販売価格×マスタ料率（円未満四捨五入）。利益＝販売価格－販売手数料－送料－仕入価格－梱包費。</ns0:t>
        </ns0:is>
      </ns0:c>
    </ns0:row>
    <ns0:row r="9" ht="42" customHeight="1">
      <ns0:c r="A9" s="4" t="inlineStr">
        <ns0:is>
          <ns0:t>5 ｜ 在庫を確認</ns0:t>
        </ns0:is>
      </ns0:c>
      <ns0:c r="B9" s="4" t="inlineStr">
        <ns0:is>
          <ns0:t>「在庫一覧」は状態が在庫の商品を自動表示します。経過日数は今日－仕入日。30日以上を色付けします。</ns0:t>
        </ns0:is>
      </ns0:c>
    </ns0:row>
    <ns0:row r="10" ht="42" customHeight="1">
      <ns0:c r="A10" s="4" t="inlineStr">
        <ns0:is>
          <ns0:t>6 ｜ 採算を検討</ns0:t>
        </ns0:is>
      </ns0:c>
      <ns0:c r="B10" s="4" t="inlineStr">
        <ns0:is>
          <ns0:t>「採算シミュレータ」の青いセルを変更します。手残りは仕入・送料・梱包費も差し引いた利益です。利益率＝利益÷売値。</ns0:t>
        </ns0:is>
      </ns0:c>
    </ns0:row>
    <ns0:row r="11" ht="42" customHeight="1">
      <ns0:c r="A11" s="4" t="inlineStr">
        <ns0:is>
          <ns0:t>7 ｜ 月次を確認</ns0:t>
        </ns0:is>
      </ns0:c>
      <ns0:c r="B11" s="4" t="inlineStr">
        <ns0:is>
          <ns0:t>「月次集計」は販売日の属する月で、販売済みの商品のみ集計します。対象年は月次集計 B2 で変更できます。</ns0:t>
        </ns0:is>
      </ns0:c>
    </ns0:row>
    <ns0:row r="12" ht="42" customHeight="1">
      <ns0:c r="A12" s="4" t="inlineStr">
        <ns0:is>
          <ns0:t>入力と計算の色</ns0:t>
        </ns0:is>
      </ns0:c>
      <ns0:c r="B12" s="4" t="inlineStr">
        <ns0:is>
          <ns0:t>青色セルは入力欄、薄緑色セルは数式です。数式は上書きせず、入力欄のみ編集してください。</ns0:t>
        </ns0:is>
      </ns0:c>
    </ns0:row>
    <ns0:row r="13" ht="42" customHeight="1">
      <ns0:c r="A13" s="4" t="inlineStr">
        <ns0:is>
          <ns0:t>サンプル</ns0:t>
        </ns0:is>
      </ns0:c>
      <ns0:c r="B13" s="4" t="inlineStr">
        <ns0:is>
          <ns0:t>商品A・商品B（販売済み）と商品C（在庫）を収録。使い始める前に入力欄を消去・置換してください。</ns0:t>
        </ns0:is>
      </ns0:c>
    </ns0:row>
    <ns0:row r="14" ht="42" customHeight="1">
      <ns0:c r="A14" s="4" t="inlineStr">
        <ns0:is>
          <ns0:t>継続利用・行数</ns0:t>
        </ns0:is>
      </ns0:c>
      <ns0:c r="B14" s="4" t="inlineStr">
        <ns0:is>
          <ns0:t>販売記録・在庫一覧は各 1,000 件分の数式を用意。空いている入力行に追記できます。</ns0:t>
        </ns0:is>
      </ns0:c>
    </ns0:row>
    <ns0:row r="15" ht="42" customHeight="1">
      <ns0:c r="A15" s="4" t="inlineStr">
        <ns0:is>
          <ns0:t>上限を超えるとき</ns0:t>
        </ns0:is>
      </ns0:c>
      <ns0:c r="B15" s="4" t="inlineStr">
        <ns0:is>
          <ns0:t>既存データをバックアップし、付属の extend.py で入力済みファイルを別名に拡張できます。数式・集計範囲・入力規則も更新します。</ns0:t>
        </ns0:is>
      </ns0:c>
    </ns0:row>
    <ns0:row r="16" ht="42" customHeight="1">
      <ns0:c r="A16" s="4" t="inlineStr">
        <ns0:is>
          <ns0:t>新しい大容量テンプレート</ns0:t>
        </ns0:is>
      </ns0:c>
      <ns0:c r="B16" s="4" t="inlineStr">
        <ns0:is>
          <ns0:t>Python の --rows で容量を増やした新規テンプレートを作成できます。再生成は既存データを引き継がないため別名保存してください。</ns0:t>
        </ns0:is>
      </ns0:c>
    </ns0:row>
    <ns0:row r="17" ht="42" customHeight="1">
      <ns0:c r="A17" s="4" t="inlineStr">
        <ns0:is>
          <ns0:t>料率変更の注意</ns0:t>
        </ns0:is>
      </ns0:c>
      <ns0:c r="B17" s="4" t="inlineStr">
        <ns0:is>
          <ns0:t>マスタ変更は過去の販売記録も再計算します。料率が変わるときは「メルカリ旧料率」等の別名を追加し、過去の料率を残してください。</ns0:t>
        </ns0:is>
      </ns0:c>
    </ns0:row>
    <ns0:row r="18" ht="42" customHeight="1">
      <ns0:c r="A18" s="4" t="inlineStr">
        <ns0:is>
          <ns0:t>未登録・入力不足</ns0:t>
        </ns0:is>
      </ns0:c>
      <ns0:c r="B18" s="4" t="inlineStr">
        <ns0:is>
          <ns0:t>未登録・重複プラットフォームや未入力・不正な料率は「要確認」と表示。必須の費用等が空欄だと利益は空欄になります。月次は入力完了後に確認してください。</ns0:t>
        </ns0:is>
      </ns0:c>
    </ns0:row>
    <ns0:row r="19" ht="42" customHeight="1">
      <ns0:c r="A19" s="4" t="inlineStr">
        <ns0:is>
          <ns0:t>対象外</ns0:t>
        </ns0:is>
      </ns0:c>
      <ns0:c r="B19" s="4" t="inlineStr">
        <ns0:is>
          <ns0:t>税金・振込手数料・返品・値引き・複数商品の送料按分等は含みません。必要な費用は各入力額に反映してください。</ns0:t>
        </ns0:is>
      </ns0:c>
    </ns0:row>
    <ns0:row r="20" ht="42" customHeight="1">
      <ns0:c r="A20" s="4" t="inlineStr">
        <ns0:is>
          <ns0:t>Excel / Google</ns0:t>
        </ns0:is>
      </ns0:c>
      <ns0:c r="B20" s="4" t="inlineStr">
        <ns0:is>
          <ns0:t>Excelで開くか、GoogleドライブへアップロードしてGoogleスプレッドシートで開いてください。マクロ・外部リンクはありません。</ns0:t>
        </ns0:is>
      </ns0:c>
    </ns0:row>
  </ns0:sheetData>
  <ns0:pageMargins left="0.75" right="0.75" top="1" bottom="1" header="0.5" footer="0.5"/>
  <ns0:pageSetup orientation="landscape" paperSize="9" fitToHeight="0" fitToWidth="1"/>
</ns0:worksheet>
</file>

<file path=xl/worksheets/sheet2.xml><?xml version="1.0" encoding="utf-8"?>
<ns0:worksheet xmlns:ns0="http://schemas.openxmlformats.org/spreadsheetml/2006/main">
  <ns0:sheetPr>
    <ns0:tabColor rgb="00087F8C"/>
    <ns0:outlinePr summaryBelow="1" summaryRight="0"/>
    <ns0:pageSetUpPr fitToPage="1"/>
  </ns0:sheetPr>
  <ns0:dimension ref="A1:L1004"/>
  <ns0:sheetViews>
    <ns0:sheetView showGridLines="0" workbookViewId="0">
      <ns0:pane xSplit="2" ySplit="4" topLeftCell="C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26" customWidth="1" min="2" max="2"/>
    <ns0:col width="24" customWidth="1" min="3" max="3"/>
    <ns0:col width="16" customWidth="1" min="4" max="4"/>
    <ns0:col width="16" customWidth="1" min="5" max="5"/>
    <ns0:col width="18" customWidth="1" min="6" max="6"/>
    <ns0:col width="15" customWidth="1" min="7" max="7"/>
    <ns0:col width="15" customWidth="1" min="8" max="8"/>
    <ns0:col width="17" customWidth="1" min="9" max="9"/>
    <ns0:col width="16" customWidth="1" min="10" max="10"/>
    <ns0:col width="15" customWidth="1" min="11" max="11"/>
    <ns0:col hidden="1" width="12" customWidth="1" min="12" max="12"/>
  </ns0:cols>
  <ns0:sheetData>
    <ns0:row r="1" ht="32" customHeight="1">
      <ns0:c r="A1" s="1" t="inlineStr">
        <ns0:is>
          <ns0:t>販売記録</ns0:t>
        </ns0:is>
      </ns0:c>
    </ns0:row>
    <ns0:row r="2" ht="26" customHeight="1">
      <ns0:c r="A2" s="2" t="inlineStr">
        <ns0:is>
          <ns0:t>青＝入力 ｜ 緑＝自動計算 ｜ 1,000件分 ｜ 費用ゼロは 0 を入力 ｜ 販売日と仕入日は別に記録</ns0:t>
        </ns0:is>
      </ns0:c>
    </ns0:row>
    <ns0:row r="4" ht="30" customHeight="1">
      <ns0:c r="A4" s="3" t="inlineStr">
        <ns0:is>
          <ns0:t>販売日</ns0:t>
        </ns0:is>
      </ns0:c>
      <ns0:c r="B4" s="3" t="inlineStr">
        <ns0:is>
          <ns0:t>商品名</ns0:t>
        </ns0:is>
      </ns0:c>
      <ns0:c r="C4" s="3" t="inlineStr">
        <ns0:is>
          <ns0:t>プラットフォーム</ns0:t>
        </ns0:is>
      </ns0:c>
      <ns0:c r="D4" s="3" t="inlineStr">
        <ns0:is>
          <ns0:t>仕入価格</ns0:t>
        </ns0:is>
      </ns0:c>
      <ns0:c r="E4" s="3" t="inlineStr">
        <ns0:is>
          <ns0:t>販売価格</ns0:t>
        </ns0:is>
      </ns0:c>
      <ns0:c r="F4" s="3" t="inlineStr">
        <ns0:is>
          <ns0:t>販売手数料</ns0:t>
        </ns0:is>
      </ns0:c>
      <ns0:c r="G4" s="3" t="inlineStr">
        <ns0:is>
          <ns0:t>送料</ns0:t>
        </ns0:is>
      </ns0:c>
      <ns0:c r="H4" s="3" t="inlineStr">
        <ns0:is>
          <ns0:t>梱包費</ns0:t>
        </ns0:is>
      </ns0:c>
      <ns0:c r="I4" s="3" t="inlineStr">
        <ns0:is>
          <ns0:t>利益</ns0:t>
        </ns0:is>
      </ns0:c>
      <ns0:c r="J4" s="3" t="inlineStr">
        <ns0:is>
          <ns0:t>状態</ns0:t>
        </ns0:is>
      </ns0:c>
      <ns0:c r="K4" s="3" t="inlineStr">
        <ns0:is>
          <ns0:t>仕入日</ns0:t>
        </ns0:is>
      </ns0:c>
      <ns0:c r="L4" s="3" t="inlineStr">
        <ns0:is>
          <ns0:t>在庫連番</ns0:t>
        </ns0:is>
      </ns0:c>
    </ns0:row>
    <ns0:row r="5">
      <ns0:c r="A5" s="5" t="n">
        <ns0:v>46296</ns0:v>
      </ns0:c>
      <ns0:c r="B5" s="6" t="inlineStr">
        <ns0:is>
          <ns0:t>商品A</ns0:t>
        </ns0:is>
      </ns0:c>
      <ns0:c r="C5" s="6" t="inlineStr">
        <ns0:is>
          <ns0:t>メルカリ</ns0:t>
        </ns0:is>
      </ns0:c>
      <ns0:c r="D5" s="7" t="n">
        <ns0:v>2000</ns0:v>
      </ns0:c>
      <ns0:c r="E5" s="7" t="n">
        <ns0:v>5000</ns0:v>
      </ns0:c>
      <ns0:c r="F5" s="8" t="n">
        <ns0:f>IF(OR(B5="",J5&lt;&gt;"販売済み",E5="",C5=""),"",IFERROR(IF(OR(COUNTIF('手数料マスタ'!$A$5:$A$104,C5)&lt;&gt;1,COUNTIFS('手数料マスタ'!$A$5:$A$104,C5,'手数料マスタ'!$B$5:$B$104,"&lt;&gt;")&lt;&gt;1,NOT(ISNUMBER(VLOOKUP(C5,'手数料マスタ'!$A$5:$B$104,2,FALSE))),VLOOKUP(C5,'手数料マスタ'!$A$5:$B$104,2,FALSE)&lt;0,VLOOKUP(C5,'手数料マスタ'!$A$5:$B$104,2,FALSE)&gt;1),"要確認",ROUND(E5*VLOOKUP(C5,'手数料マスタ'!$A$5:$B$104,2,FALSE),0)),"要確認"))</ns0:f>
        <ns0:v>500</ns0:v>
      </ns0:c>
      <ns0:c r="G5" s="7" t="n">
        <ns0:v>700</ns0:v>
      </ns0:c>
      <ns0:c r="H5" s="7" t="n">
        <ns0:v>100</ns0:v>
      </ns0:c>
      <ns0:c r="I5" s="8" t="n">
        <ns0:f>IF(OR(B5="",J5&lt;&gt;"販売済み",D5="",E5="",G5="",H5=""),"",IF(ISNUMBER(F5),E5-D5-F5-G5-H5,"要確認"))</ns0:f>
        <ns0:v>1700</ns0:v>
      </ns0:c>
      <ns0:c r="J5" s="6" t="inlineStr">
        <ns0:is>
          <ns0:t>販売済み</ns0:t>
        </ns0:is>
      </ns0:c>
      <ns0:c r="K5" s="5" t="n">
        <ns0:v>46280</ns0:v>
      </ns0:c>
      <ns0:c r="L5" s="9" t="str">
        <ns0:f>IF(AND(B5&lt;&gt;"",J5="在庫"),COUNTIFS($J$5:J5,"在庫",$B$5:B5,"&lt;&gt;"),"")</ns0:f>
        <ns0:v/>
      </ns0:c>
    </ns0:row>
    <ns0:row r="6">
      <ns0:c r="A6" s="5" t="n">
        <ns0:v>46297</ns0:v>
      </ns0:c>
      <ns0:c r="B6" s="6" t="inlineStr">
        <ns0:is>
          <ns0:t>商品B</ns0:t>
        </ns0:is>
      </ns0:c>
      <ns0:c r="C6" s="6" t="inlineStr">
        <ns0:is>
          <ns0:t>メルカリ</ns0:t>
        </ns0:is>
      </ns0:c>
      <ns0:c r="D6" s="7" t="n">
        <ns0:v>500</ns0:v>
      </ns0:c>
      <ns0:c r="E6" s="7" t="n">
        <ns0:v>1500</ns0:v>
      </ns0:c>
      <ns0:c r="F6" s="8" t="n">
        <ns0:f>IF(OR(B6="",J6&lt;&gt;"販売済み",E6="",C6=""),"",IFERROR(IF(OR(COUNTIF('手数料マスタ'!$A$5:$A$104,C6)&lt;&gt;1,COUNTIFS('手数料マスタ'!$A$5:$A$104,C6,'手数料マスタ'!$B$5:$B$104,"&lt;&gt;")&lt;&gt;1,NOT(ISNUMBER(VLOOKUP(C6,'手数料マスタ'!$A$5:$B$104,2,FALSE))),VLOOKUP(C6,'手数料マスタ'!$A$5:$B$104,2,FALSE)&lt;0,VLOOKUP(C6,'手数料マスタ'!$A$5:$B$104,2,FALSE)&gt;1),"要確認",ROUND(E6*VLOOKUP(C6,'手数料マスタ'!$A$5:$B$104,2,FALSE),0)),"要確認"))</ns0:f>
        <ns0:v>150</ns0:v>
      </ns0:c>
      <ns0:c r="G6" s="7" t="n">
        <ns0:v>210</ns0:v>
      </ns0:c>
      <ns0:c r="H6" s="7" t="n">
        <ns0:v>50</ns0:v>
      </ns0:c>
      <ns0:c r="I6" s="8" t="n">
        <ns0:f>IF(OR(B6="",J6&lt;&gt;"販売済み",D6="",E6="",G6="",H6=""),"",IF(ISNUMBER(F6),E6-D6-F6-G6-H6,"要確認"))</ns0:f>
        <ns0:v>590</ns0:v>
      </ns0:c>
      <ns0:c r="J6" s="6" t="inlineStr">
        <ns0:is>
          <ns0:t>販売済み</ns0:t>
        </ns0:is>
      </ns0:c>
      <ns0:c r="K6" s="5" t="n">
        <ns0:v>46285</ns0:v>
      </ns0:c>
      <ns0:c r="L6" s="9" t="str">
        <ns0:f>IF(AND(B6&lt;&gt;"",J6="在庫"),COUNTIFS($J$5:J6,"在庫",$B$5:B6,"&lt;&gt;"),"")</ns0:f>
        <ns0:v/>
      </ns0:c>
    </ns0:row>
    <ns0:row r="7">
      <ns0:c r="A7" s="5" t="n"/>
      <ns0:c r="B7" s="6" t="inlineStr">
        <ns0:is>
          <ns0:t>商品C</ns0:t>
        </ns0:is>
      </ns0:c>
      <ns0:c r="C7" s="6" t="inlineStr">
        <ns0:is>
          <ns0:t>メルカリ</ns0:t>
        </ns0:is>
      </ns0:c>
      <ns0:c r="D7" s="7" t="n">
        <ns0:v>1000</ns0:v>
      </ns0:c>
      <ns0:c r="E7" s="7" t="n"/>
      <ns0:c r="F7" s="8" t="str">
        <ns0:f>IF(OR(B7="",J7&lt;&gt;"販売済み",E7="",C7=""),"",IFERROR(IF(OR(COUNTIF('手数料マスタ'!$A$5:$A$104,C7)&lt;&gt;1,COUNTIFS('手数料マスタ'!$A$5:$A$104,C7,'手数料マスタ'!$B$5:$B$104,"&lt;&gt;")&lt;&gt;1,NOT(ISNUMBER(VLOOKUP(C7,'手数料マスタ'!$A$5:$B$104,2,FALSE))),VLOOKUP(C7,'手数料マスタ'!$A$5:$B$104,2,FALSE)&lt;0,VLOOKUP(C7,'手数料マスタ'!$A$5:$B$104,2,FALSE)&gt;1),"要確認",ROUND(E7*VLOOKUP(C7,'手数料マスタ'!$A$5:$B$104,2,FALSE),0)),"要確認"))</ns0:f>
        <ns0:v/>
      </ns0:c>
      <ns0:c r="G7" s="7" t="n"/>
      <ns0:c r="H7" s="7" t="n"/>
      <ns0:c r="I7" s="8" t="str">
        <ns0:f>IF(OR(B7="",J7&lt;&gt;"販売済み",D7="",E7="",G7="",H7=""),"",IF(ISNUMBER(F7),E7-D7-F7-G7-H7,"要確認"))</ns0:f>
        <ns0:v/>
      </ns0:c>
      <ns0:c r="J7" s="6" t="inlineStr">
        <ns0:is>
          <ns0:t>在庫</ns0:t>
        </ns0:is>
      </ns0:c>
      <ns0:c r="K7" s="5" t="n">
        <ns0:v>46266</ns0:v>
      </ns0:c>
      <ns0:c r="L7" s="9" t="n">
        <ns0:f>IF(AND(B7&lt;&gt;"",J7="在庫"),COUNTIFS($J$5:J7,"在庫",$B$5:B7,"&lt;&gt;"),"")</ns0:f>
        <ns0:v>1</ns0:v>
      </ns0:c>
    </ns0:row>
    <ns0:row r="8">
      <ns0:c r="A8" s="5" t="n"/>
      <ns0:c r="B8" s="6" t="n"/>
      <ns0:c r="C8" s="6" t="n"/>
      <ns0:c r="D8" s="7" t="n"/>
      <ns0:c r="E8" s="7" t="n"/>
      <ns0:c r="F8" s="8" t="str">
        <ns0:f>IF(OR(B8="",J8&lt;&gt;"販売済み",E8="",C8=""),"",IFERROR(IF(OR(COUNTIF('手数料マスタ'!$A$5:$A$104,C8)&lt;&gt;1,COUNTIFS('手数料マスタ'!$A$5:$A$104,C8,'手数料マスタ'!$B$5:$B$104,"&lt;&gt;")&lt;&gt;1,NOT(ISNUMBER(VLOOKUP(C8,'手数料マスタ'!$A$5:$B$104,2,FALSE))),VLOOKUP(C8,'手数料マスタ'!$A$5:$B$104,2,FALSE)&lt;0,VLOOKUP(C8,'手数料マスタ'!$A$5:$B$104,2,FALSE)&gt;1),"要確認",ROUND(E8*VLOOKUP(C8,'手数料マスタ'!$A$5:$B$104,2,FALSE),0)),"要確認"))</ns0:f>
        <ns0:v/>
      </ns0:c>
      <ns0:c r="G8" s="7" t="n"/>
      <ns0:c r="H8" s="7" t="n"/>
      <ns0:c r="I8" s="8" t="str">
        <ns0:f>IF(OR(B8="",J8&lt;&gt;"販売済み",D8="",E8="",G8="",H8=""),"",IF(ISNUMBER(F8),E8-D8-F8-G8-H8,"要確認"))</ns0:f>
        <ns0:v/>
      </ns0:c>
      <ns0:c r="J8" s="6" t="n"/>
      <ns0:c r="K8" s="5" t="n"/>
      <ns0:c r="L8" s="9" t="str">
        <ns0:f>IF(AND(B8&lt;&gt;"",J8="在庫"),COUNTIFS($J$5:J8,"在庫",$B$5:B8,"&lt;&gt;"),"")</ns0:f>
        <ns0:v/>
      </ns0:c>
    </ns0:row>
    <ns0:row r="9">
      <ns0:c r="A9" s="5" t="n"/>
      <ns0:c r="B9" s="6" t="n"/>
      <ns0:c r="C9" s="6" t="n"/>
      <ns0:c r="D9" s="7" t="n"/>
      <ns0:c r="E9" s="7" t="n"/>
      <ns0:c r="F9" s="8" t="str">
        <ns0:f>IF(OR(B9="",J9&lt;&gt;"販売済み",E9="",C9=""),"",IFERROR(IF(OR(COUNTIF('手数料マスタ'!$A$5:$A$104,C9)&lt;&gt;1,COUNTIFS('手数料マスタ'!$A$5:$A$104,C9,'手数料マスタ'!$B$5:$B$104,"&lt;&gt;")&lt;&gt;1,NOT(ISNUMBER(VLOOKUP(C9,'手数料マスタ'!$A$5:$B$104,2,FALSE))),VLOOKUP(C9,'手数料マスタ'!$A$5:$B$104,2,FALSE)&lt;0,VLOOKUP(C9,'手数料マスタ'!$A$5:$B$104,2,FALSE)&gt;1),"要確認",ROUND(E9*VLOOKUP(C9,'手数料マスタ'!$A$5:$B$104,2,FALSE),0)),"要確認"))</ns0:f>
        <ns0:v/>
      </ns0:c>
      <ns0:c r="G9" s="7" t="n"/>
      <ns0:c r="H9" s="7" t="n"/>
      <ns0:c r="I9" s="8" t="str">
        <ns0:f>IF(OR(B9="",J9&lt;&gt;"販売済み",D9="",E9="",G9="",H9=""),"",IF(ISNUMBER(F9),E9-D9-F9-G9-H9,"要確認"))</ns0:f>
        <ns0:v/>
      </ns0:c>
      <ns0:c r="J9" s="6" t="n"/>
      <ns0:c r="K9" s="5" t="n"/>
      <ns0:c r="L9" s="9" t="str">
        <ns0:f>IF(AND(B9&lt;&gt;"",J9="在庫"),COUNTIFS($J$5:J9,"在庫",$B$5:B9,"&lt;&gt;"),"")</ns0:f>
        <ns0:v/>
      </ns0:c>
    </ns0:row>
    <ns0:row r="10">
      <ns0:c r="A10" s="5" t="n"/>
      <ns0:c r="B10" s="6" t="n"/>
      <ns0:c r="C10" s="6" t="n"/>
      <ns0:c r="D10" s="7" t="n"/>
      <ns0:c r="E10" s="7" t="n"/>
      <ns0:c r="F10" s="8" t="str">
        <ns0:f>IF(OR(B10="",J10&lt;&gt;"販売済み",E10="",C10=""),"",IFERROR(IF(OR(COUNTIF('手数料マスタ'!$A$5:$A$104,C10)&lt;&gt;1,COUNTIFS('手数料マスタ'!$A$5:$A$104,C10,'手数料マスタ'!$B$5:$B$104,"&lt;&gt;")&lt;&gt;1,NOT(ISNUMBER(VLOOKUP(C10,'手数料マスタ'!$A$5:$B$104,2,FALSE))),VLOOKUP(C10,'手数料マスタ'!$A$5:$B$104,2,FALSE)&lt;0,VLOOKUP(C10,'手数料マスタ'!$A$5:$B$104,2,FALSE)&gt;1),"要確認",ROUND(E10*VLOOKUP(C10,'手数料マスタ'!$A$5:$B$104,2,FALSE),0)),"要確認"))</ns0:f>
        <ns0:v/>
      </ns0:c>
      <ns0:c r="G10" s="7" t="n"/>
      <ns0:c r="H10" s="7" t="n"/>
      <ns0:c r="I10" s="8" t="str">
        <ns0:f>IF(OR(B10="",J10&lt;&gt;"販売済み",D10="",E10="",G10="",H10=""),"",IF(ISNUMBER(F10),E10-D10-F10-G10-H10,"要確認"))</ns0:f>
        <ns0:v/>
      </ns0:c>
      <ns0:c r="J10" s="6" t="n"/>
      <ns0:c r="K10" s="5" t="n"/>
      <ns0:c r="L10" s="9" t="str">
        <ns0:f>IF(AND(B10&lt;&gt;"",J10="在庫"),COUNTIFS($J$5:J10,"在庫",$B$5:B10,"&lt;&gt;"),"")</ns0:f>
        <ns0:v/>
      </ns0:c>
    </ns0:row>
    <ns0:row r="11">
      <ns0:c r="A11" s="5" t="n"/>
      <ns0:c r="B11" s="6" t="n"/>
      <ns0:c r="C11" s="6" t="n"/>
      <ns0:c r="D11" s="7" t="n"/>
      <ns0:c r="E11" s="7" t="n"/>
      <ns0:c r="F11" s="8" t="str">
        <ns0:f>IF(OR(B11="",J11&lt;&gt;"販売済み",E11="",C11=""),"",IFERROR(IF(OR(COUNTIF('手数料マスタ'!$A$5:$A$104,C11)&lt;&gt;1,COUNTIFS('手数料マスタ'!$A$5:$A$104,C11,'手数料マスタ'!$B$5:$B$104,"&lt;&gt;")&lt;&gt;1,NOT(ISNUMBER(VLOOKUP(C11,'手数料マスタ'!$A$5:$B$104,2,FALSE))),VLOOKUP(C11,'手数料マスタ'!$A$5:$B$104,2,FALSE)&lt;0,VLOOKUP(C11,'手数料マスタ'!$A$5:$B$104,2,FALSE)&gt;1),"要確認",ROUND(E11*VLOOKUP(C11,'手数料マスタ'!$A$5:$B$104,2,FALSE),0)),"要確認"))</ns0:f>
        <ns0:v/>
      </ns0:c>
      <ns0:c r="G11" s="7" t="n"/>
      <ns0:c r="H11" s="7" t="n"/>
      <ns0:c r="I11" s="8" t="str">
        <ns0:f>IF(OR(B11="",J11&lt;&gt;"販売済み",D11="",E11="",G11="",H11=""),"",IF(ISNUMBER(F11),E11-D11-F11-G11-H11,"要確認"))</ns0:f>
        <ns0:v/>
      </ns0:c>
      <ns0:c r="J11" s="6" t="n"/>
      <ns0:c r="K11" s="5" t="n"/>
      <ns0:c r="L11" s="9" t="str">
        <ns0:f>IF(AND(B11&lt;&gt;"",J11="在庫"),COUNTIFS($J$5:J11,"在庫",$B$5:B11,"&lt;&gt;"),"")</ns0:f>
        <ns0:v/>
      </ns0:c>
    </ns0:row>
    <ns0:row r="12">
      <ns0:c r="A12" s="5" t="n"/>
      <ns0:c r="B12" s="6" t="n"/>
      <ns0:c r="C12" s="6" t="n"/>
      <ns0:c r="D12" s="7" t="n"/>
      <ns0:c r="E12" s="7" t="n"/>
      <ns0:c r="F12" s="8" t="str">
        <ns0:f>IF(OR(B12="",J12&lt;&gt;"販売済み",E12="",C12=""),"",IFERROR(IF(OR(COUNTIF('手数料マスタ'!$A$5:$A$104,C12)&lt;&gt;1,COUNTIFS('手数料マスタ'!$A$5:$A$104,C12,'手数料マスタ'!$B$5:$B$104,"&lt;&gt;")&lt;&gt;1,NOT(ISNUMBER(VLOOKUP(C12,'手数料マスタ'!$A$5:$B$104,2,FALSE))),VLOOKUP(C12,'手数料マスタ'!$A$5:$B$104,2,FALSE)&lt;0,VLOOKUP(C12,'手数料マスタ'!$A$5:$B$104,2,FALSE)&gt;1),"要確認",ROUND(E12*VLOOKUP(C12,'手数料マスタ'!$A$5:$B$104,2,FALSE),0)),"要確認"))</ns0:f>
        <ns0:v/>
      </ns0:c>
      <ns0:c r="G12" s="7" t="n"/>
      <ns0:c r="H12" s="7" t="n"/>
      <ns0:c r="I12" s="8" t="str">
        <ns0:f>IF(OR(B12="",J12&lt;&gt;"販売済み",D12="",E12="",G12="",H12=""),"",IF(ISNUMBER(F12),E12-D12-F12-G12-H12,"要確認"))</ns0:f>
        <ns0:v/>
      </ns0:c>
      <ns0:c r="J12" s="6" t="n"/>
      <ns0:c r="K12" s="5" t="n"/>
      <ns0:c r="L12" s="9" t="str">
        <ns0:f>IF(AND(B12&lt;&gt;"",J12="在庫"),COUNTIFS($J$5:J12,"在庫",$B$5:B12,"&lt;&gt;"),"")</ns0:f>
        <ns0:v/>
      </ns0:c>
    </ns0:row>
    <ns0:row r="13">
      <ns0:c r="A13" s="5" t="n"/>
      <ns0:c r="B13" s="6" t="n"/>
      <ns0:c r="C13" s="6" t="n"/>
      <ns0:c r="D13" s="7" t="n"/>
      <ns0:c r="E13" s="7" t="n"/>
      <ns0:c r="F13" s="8" t="str">
        <ns0:f>IF(OR(B13="",J13&lt;&gt;"販売済み",E13="",C13=""),"",IFERROR(IF(OR(COUNTIF('手数料マスタ'!$A$5:$A$104,C13)&lt;&gt;1,COUNTIFS('手数料マスタ'!$A$5:$A$104,C13,'手数料マスタ'!$B$5:$B$104,"&lt;&gt;")&lt;&gt;1,NOT(ISNUMBER(VLOOKUP(C13,'手数料マスタ'!$A$5:$B$104,2,FALSE))),VLOOKUP(C13,'手数料マスタ'!$A$5:$B$104,2,FALSE)&lt;0,VLOOKUP(C13,'手数料マスタ'!$A$5:$B$104,2,FALSE)&gt;1),"要確認",ROUND(E13*VLOOKUP(C13,'手数料マスタ'!$A$5:$B$104,2,FALSE),0)),"要確認"))</ns0:f>
        <ns0:v/>
      </ns0:c>
      <ns0:c r="G13" s="7" t="n"/>
      <ns0:c r="H13" s="7" t="n"/>
      <ns0:c r="I13" s="8" t="str">
        <ns0:f>IF(OR(B13="",J13&lt;&gt;"販売済み",D13="",E13="",G13="",H13=""),"",IF(ISNUMBER(F13),E13-D13-F13-G13-H13,"要確認"))</ns0:f>
        <ns0:v/>
      </ns0:c>
      <ns0:c r="J13" s="6" t="n"/>
      <ns0:c r="K13" s="5" t="n"/>
      <ns0:c r="L13" s="9" t="str">
        <ns0:f>IF(AND(B13&lt;&gt;"",J13="在庫"),COUNTIFS($J$5:J13,"在庫",$B$5:B13,"&lt;&gt;"),"")</ns0:f>
        <ns0:v/>
      </ns0:c>
    </ns0:row>
    <ns0:row r="14">
      <ns0:c r="A14" s="5" t="n"/>
      <ns0:c r="B14" s="6" t="n"/>
      <ns0:c r="C14" s="6" t="n"/>
      <ns0:c r="D14" s="7" t="n"/>
      <ns0:c r="E14" s="7" t="n"/>
      <ns0:c r="F14" s="8" t="str">
        <ns0:f>IF(OR(B14="",J14&lt;&gt;"販売済み",E14="",C14=""),"",IFERROR(IF(OR(COUNTIF('手数料マスタ'!$A$5:$A$104,C14)&lt;&gt;1,COUNTIFS('手数料マスタ'!$A$5:$A$104,C14,'手数料マスタ'!$B$5:$B$104,"&lt;&gt;")&lt;&gt;1,NOT(ISNUMBER(VLOOKUP(C14,'手数料マスタ'!$A$5:$B$104,2,FALSE))),VLOOKUP(C14,'手数料マスタ'!$A$5:$B$104,2,FALSE)&lt;0,VLOOKUP(C14,'手数料マスタ'!$A$5:$B$104,2,FALSE)&gt;1),"要確認",ROUND(E14*VLOOKUP(C14,'手数料マスタ'!$A$5:$B$104,2,FALSE),0)),"要確認"))</ns0:f>
        <ns0:v/>
      </ns0:c>
      <ns0:c r="G14" s="7" t="n"/>
      <ns0:c r="H14" s="7" t="n"/>
      <ns0:c r="I14" s="8" t="str">
        <ns0:f>IF(OR(B14="",J14&lt;&gt;"販売済み",D14="",E14="",G14="",H14=""),"",IF(ISNUMBER(F14),E14-D14-F14-G14-H14,"要確認"))</ns0:f>
        <ns0:v/>
      </ns0:c>
      <ns0:c r="J14" s="6" t="n"/>
      <ns0:c r="K14" s="5" t="n"/>
      <ns0:c r="L14" s="9" t="str">
        <ns0:f>IF(AND(B14&lt;&gt;"",J14="在庫"),COUNTIFS($J$5:J14,"在庫",$B$5:B14,"&lt;&gt;"),"")</ns0:f>
        <ns0:v/>
      </ns0:c>
    </ns0:row>
    <ns0:row r="15">
      <ns0:c r="A15" s="5" t="n"/>
      <ns0:c r="B15" s="6" t="n"/>
      <ns0:c r="C15" s="6" t="n"/>
      <ns0:c r="D15" s="7" t="n"/>
      <ns0:c r="E15" s="7" t="n"/>
      <ns0:c r="F15" s="8" t="str">
        <ns0:f>IF(OR(B15="",J15&lt;&gt;"販売済み",E15="",C15=""),"",IFERROR(IF(OR(COUNTIF('手数料マスタ'!$A$5:$A$104,C15)&lt;&gt;1,COUNTIFS('手数料マスタ'!$A$5:$A$104,C15,'手数料マスタ'!$B$5:$B$104,"&lt;&gt;")&lt;&gt;1,NOT(ISNUMBER(VLOOKUP(C15,'手数料マスタ'!$A$5:$B$104,2,FALSE))),VLOOKUP(C15,'手数料マスタ'!$A$5:$B$104,2,FALSE)&lt;0,VLOOKUP(C15,'手数料マスタ'!$A$5:$B$104,2,FALSE)&gt;1),"要確認",ROUND(E15*VLOOKUP(C15,'手数料マスタ'!$A$5:$B$104,2,FALSE),0)),"要確認"))</ns0:f>
        <ns0:v/>
      </ns0:c>
      <ns0:c r="G15" s="7" t="n"/>
      <ns0:c r="H15" s="7" t="n"/>
      <ns0:c r="I15" s="8" t="str">
        <ns0:f>IF(OR(B15="",J15&lt;&gt;"販売済み",D15="",E15="",G15="",H15=""),"",IF(ISNUMBER(F15),E15-D15-F15-G15-H15,"要確認"))</ns0:f>
        <ns0:v/>
      </ns0:c>
      <ns0:c r="J15" s="6" t="n"/>
      <ns0:c r="K15" s="5" t="n"/>
      <ns0:c r="L15" s="9" t="str">
        <ns0:f>IF(AND(B15&lt;&gt;"",J15="在庫"),COUNTIFS($J$5:J15,"在庫",$B$5:B15,"&lt;&gt;"),"")</ns0:f>
        <ns0:v/>
      </ns0:c>
    </ns0:row>
    <ns0:row r="16">
      <ns0:c r="A16" s="5" t="n"/>
      <ns0:c r="B16" s="6" t="n"/>
      <ns0:c r="C16" s="6" t="n"/>
      <ns0:c r="D16" s="7" t="n"/>
      <ns0:c r="E16" s="7" t="n"/>
      <ns0:c r="F16" s="8" t="str">
        <ns0:f>IF(OR(B16="",J16&lt;&gt;"販売済み",E16="",C16=""),"",IFERROR(IF(OR(COUNTIF('手数料マスタ'!$A$5:$A$104,C16)&lt;&gt;1,COUNTIFS('手数料マスタ'!$A$5:$A$104,C16,'手数料マスタ'!$B$5:$B$104,"&lt;&gt;")&lt;&gt;1,NOT(ISNUMBER(VLOOKUP(C16,'手数料マスタ'!$A$5:$B$104,2,FALSE))),VLOOKUP(C16,'手数料マスタ'!$A$5:$B$104,2,FALSE)&lt;0,VLOOKUP(C16,'手数料マスタ'!$A$5:$B$104,2,FALSE)&gt;1),"要確認",ROUND(E16*VLOOKUP(C16,'手数料マスタ'!$A$5:$B$104,2,FALSE),0)),"要確認"))</ns0:f>
        <ns0:v/>
      </ns0:c>
      <ns0:c r="G16" s="7" t="n"/>
      <ns0:c r="H16" s="7" t="n"/>
      <ns0:c r="I16" s="8" t="str">
        <ns0:f>IF(OR(B16="",J16&lt;&gt;"販売済み",D16="",E16="",G16="",H16=""),"",IF(ISNUMBER(F16),E16-D16-F16-G16-H16,"要確認"))</ns0:f>
        <ns0:v/>
      </ns0:c>
      <ns0:c r="J16" s="6" t="n"/>
      <ns0:c r="K16" s="5" t="n"/>
      <ns0:c r="L16" s="9" t="str">
        <ns0:f>IF(AND(B16&lt;&gt;"",J16="在庫"),COUNTIFS($J$5:J16,"在庫",$B$5:B16,"&lt;&gt;"),"")</ns0:f>
        <ns0:v/>
      </ns0:c>
    </ns0:row>
    <ns0:row r="17">
      <ns0:c r="A17" s="5" t="n"/>
      <ns0:c r="B17" s="6" t="n"/>
      <ns0:c r="C17" s="6" t="n"/>
      <ns0:c r="D17" s="7" t="n"/>
      <ns0:c r="E17" s="7" t="n"/>
      <ns0:c r="F17" s="8" t="str">
        <ns0:f>IF(OR(B17="",J17&lt;&gt;"販売済み",E17="",C17=""),"",IFERROR(IF(OR(COUNTIF('手数料マスタ'!$A$5:$A$104,C17)&lt;&gt;1,COUNTIFS('手数料マスタ'!$A$5:$A$104,C17,'手数料マスタ'!$B$5:$B$104,"&lt;&gt;")&lt;&gt;1,NOT(ISNUMBER(VLOOKUP(C17,'手数料マスタ'!$A$5:$B$104,2,FALSE))),VLOOKUP(C17,'手数料マスタ'!$A$5:$B$104,2,FALSE)&lt;0,VLOOKUP(C17,'手数料マスタ'!$A$5:$B$104,2,FALSE)&gt;1),"要確認",ROUND(E17*VLOOKUP(C17,'手数料マスタ'!$A$5:$B$104,2,FALSE),0)),"要確認"))</ns0:f>
        <ns0:v/>
      </ns0:c>
      <ns0:c r="G17" s="7" t="n"/>
      <ns0:c r="H17" s="7" t="n"/>
      <ns0:c r="I17" s="8" t="str">
        <ns0:f>IF(OR(B17="",J17&lt;&gt;"販売済み",D17="",E17="",G17="",H17=""),"",IF(ISNUMBER(F17),E17-D17-F17-G17-H17,"要確認"))</ns0:f>
        <ns0:v/>
      </ns0:c>
      <ns0:c r="J17" s="6" t="n"/>
      <ns0:c r="K17" s="5" t="n"/>
      <ns0:c r="L17" s="9" t="str">
        <ns0:f>IF(AND(B17&lt;&gt;"",J17="在庫"),COUNTIFS($J$5:J17,"在庫",$B$5:B17,"&lt;&gt;"),"")</ns0:f>
        <ns0:v/>
      </ns0:c>
    </ns0:row>
    <ns0:row r="18">
      <ns0:c r="A18" s="5" t="n"/>
      <ns0:c r="B18" s="6" t="n"/>
      <ns0:c r="C18" s="6" t="n"/>
      <ns0:c r="D18" s="7" t="n"/>
      <ns0:c r="E18" s="7" t="n"/>
      <ns0:c r="F18" s="8" t="str">
        <ns0:f>IF(OR(B18="",J18&lt;&gt;"販売済み",E18="",C18=""),"",IFERROR(IF(OR(COUNTIF('手数料マスタ'!$A$5:$A$104,C18)&lt;&gt;1,COUNTIFS('手数料マスタ'!$A$5:$A$104,C18,'手数料マスタ'!$B$5:$B$104,"&lt;&gt;")&lt;&gt;1,NOT(ISNUMBER(VLOOKUP(C18,'手数料マスタ'!$A$5:$B$104,2,FALSE))),VLOOKUP(C18,'手数料マスタ'!$A$5:$B$104,2,FALSE)&lt;0,VLOOKUP(C18,'手数料マスタ'!$A$5:$B$104,2,FALSE)&gt;1),"要確認",ROUND(E18*VLOOKUP(C18,'手数料マスタ'!$A$5:$B$104,2,FALSE),0)),"要確認"))</ns0:f>
        <ns0:v/>
      </ns0:c>
      <ns0:c r="G18" s="7" t="n"/>
      <ns0:c r="H18" s="7" t="n"/>
      <ns0:c r="I18" s="8" t="str">
        <ns0:f>IF(OR(B18="",J18&lt;&gt;"販売済み",D18="",E18="",G18="",H18=""),"",IF(ISNUMBER(F18),E18-D18-F18-G18-H18,"要確認"))</ns0:f>
        <ns0:v/>
      </ns0:c>
      <ns0:c r="J18" s="6" t="n"/>
      <ns0:c r="K18" s="5" t="n"/>
      <ns0:c r="L18" s="9" t="str">
        <ns0:f>IF(AND(B18&lt;&gt;"",J18="在庫"),COUNTIFS($J$5:J18,"在庫",$B$5:B18,"&lt;&gt;"),"")</ns0:f>
        <ns0:v/>
      </ns0:c>
    </ns0:row>
    <ns0:row r="19">
      <ns0:c r="A19" s="5" t="n"/>
      <ns0:c r="B19" s="6" t="n"/>
      <ns0:c r="C19" s="6" t="n"/>
      <ns0:c r="D19" s="7" t="n"/>
      <ns0:c r="E19" s="7" t="n"/>
      <ns0:c r="F19" s="8" t="str">
        <ns0:f>IF(OR(B19="",J19&lt;&gt;"販売済み",E19="",C19=""),"",IFERROR(IF(OR(COUNTIF('手数料マスタ'!$A$5:$A$104,C19)&lt;&gt;1,COUNTIFS('手数料マスタ'!$A$5:$A$104,C19,'手数料マスタ'!$B$5:$B$104,"&lt;&gt;")&lt;&gt;1,NOT(ISNUMBER(VLOOKUP(C19,'手数料マスタ'!$A$5:$B$104,2,FALSE))),VLOOKUP(C19,'手数料マスタ'!$A$5:$B$104,2,FALSE)&lt;0,VLOOKUP(C19,'手数料マスタ'!$A$5:$B$104,2,FALSE)&gt;1),"要確認",ROUND(E19*VLOOKUP(C19,'手数料マスタ'!$A$5:$B$104,2,FALSE),0)),"要確認"))</ns0:f>
        <ns0:v/>
      </ns0:c>
      <ns0:c r="G19" s="7" t="n"/>
      <ns0:c r="H19" s="7" t="n"/>
      <ns0:c r="I19" s="8" t="str">
        <ns0:f>IF(OR(B19="",J19&lt;&gt;"販売済み",D19="",E19="",G19="",H19=""),"",IF(ISNUMBER(F19),E19-D19-F19-G19-H19,"要確認"))</ns0:f>
        <ns0:v/>
      </ns0:c>
      <ns0:c r="J19" s="6" t="n"/>
      <ns0:c r="K19" s="5" t="n"/>
      <ns0:c r="L19" s="9" t="str">
        <ns0:f>IF(AND(B19&lt;&gt;"",J19="在庫"),COUNTIFS($J$5:J19,"在庫",$B$5:B19,"&lt;&gt;"),"")</ns0:f>
        <ns0:v/>
      </ns0:c>
    </ns0:row>
    <ns0:row r="20">
      <ns0:c r="A20" s="5" t="n"/>
      <ns0:c r="B20" s="6" t="n"/>
      <ns0:c r="C20" s="6" t="n"/>
      <ns0:c r="D20" s="7" t="n"/>
      <ns0:c r="E20" s="7" t="n"/>
      <ns0:c r="F20" s="8" t="str">
        <ns0:f>IF(OR(B20="",J20&lt;&gt;"販売済み",E20="",C20=""),"",IFERROR(IF(OR(COUNTIF('手数料マスタ'!$A$5:$A$104,C20)&lt;&gt;1,COUNTIFS('手数料マスタ'!$A$5:$A$104,C20,'手数料マスタ'!$B$5:$B$104,"&lt;&gt;")&lt;&gt;1,NOT(ISNUMBER(VLOOKUP(C20,'手数料マスタ'!$A$5:$B$104,2,FALSE))),VLOOKUP(C20,'手数料マスタ'!$A$5:$B$104,2,FALSE)&lt;0,VLOOKUP(C20,'手数料マスタ'!$A$5:$B$104,2,FALSE)&gt;1),"要確認",ROUND(E20*VLOOKUP(C20,'手数料マスタ'!$A$5:$B$104,2,FALSE),0)),"要確認"))</ns0:f>
        <ns0:v/>
      </ns0:c>
      <ns0:c r="G20" s="7" t="n"/>
      <ns0:c r="H20" s="7" t="n"/>
      <ns0:c r="I20" s="8" t="str">
        <ns0:f>IF(OR(B20="",J20&lt;&gt;"販売済み",D20="",E20="",G20="",H20=""),"",IF(ISNUMBER(F20),E20-D20-F20-G20-H20,"要確認"))</ns0:f>
        <ns0:v/>
      </ns0:c>
      <ns0:c r="J20" s="6" t="n"/>
      <ns0:c r="K20" s="5" t="n"/>
      <ns0:c r="L20" s="9" t="str">
        <ns0:f>IF(AND(B20&lt;&gt;"",J20="在庫"),COUNTIFS($J$5:J20,"在庫",$B$5:B20,"&lt;&gt;"),"")</ns0:f>
        <ns0:v/>
      </ns0:c>
    </ns0:row>
    <ns0:row r="21">
      <ns0:c r="A21" s="5" t="n"/>
      <ns0:c r="B21" s="6" t="n"/>
      <ns0:c r="C21" s="6" t="n"/>
      <ns0:c r="D21" s="7" t="n"/>
      <ns0:c r="E21" s="7" t="n"/>
      <ns0:c r="F21" s="8" t="str">
        <ns0:f>IF(OR(B21="",J21&lt;&gt;"販売済み",E21="",C21=""),"",IFERROR(IF(OR(COUNTIF('手数料マスタ'!$A$5:$A$104,C21)&lt;&gt;1,COUNTIFS('手数料マスタ'!$A$5:$A$104,C21,'手数料マスタ'!$B$5:$B$104,"&lt;&gt;")&lt;&gt;1,NOT(ISNUMBER(VLOOKUP(C21,'手数料マスタ'!$A$5:$B$104,2,FALSE))),VLOOKUP(C21,'手数料マスタ'!$A$5:$B$104,2,FALSE)&lt;0,VLOOKUP(C21,'手数料マスタ'!$A$5:$B$104,2,FALSE)&gt;1),"要確認",ROUND(E21*VLOOKUP(C21,'手数料マスタ'!$A$5:$B$104,2,FALSE),0)),"要確認"))</ns0:f>
        <ns0:v/>
      </ns0:c>
      <ns0:c r="G21" s="7" t="n"/>
      <ns0:c r="H21" s="7" t="n"/>
      <ns0:c r="I21" s="8" t="str">
        <ns0:f>IF(OR(B21="",J21&lt;&gt;"販売済み",D21="",E21="",G21="",H21=""),"",IF(ISNUMBER(F21),E21-D21-F21-G21-H21,"要確認"))</ns0:f>
        <ns0:v/>
      </ns0:c>
      <ns0:c r="J21" s="6" t="n"/>
      <ns0:c r="K21" s="5" t="n"/>
      <ns0:c r="L21" s="9" t="str">
        <ns0:f>IF(AND(B21&lt;&gt;"",J21="在庫"),COUNTIFS($J$5:J21,"在庫",$B$5:B21,"&lt;&gt;"),"")</ns0:f>
        <ns0:v/>
      </ns0:c>
    </ns0:row>
    <ns0:row r="22">
      <ns0:c r="A22" s="5" t="n"/>
      <ns0:c r="B22" s="6" t="n"/>
      <ns0:c r="C22" s="6" t="n"/>
      <ns0:c r="D22" s="7" t="n"/>
      <ns0:c r="E22" s="7" t="n"/>
      <ns0:c r="F22" s="8" t="str">
        <ns0:f>IF(OR(B22="",J22&lt;&gt;"販売済み",E22="",C22=""),"",IFERROR(IF(OR(COUNTIF('手数料マスタ'!$A$5:$A$104,C22)&lt;&gt;1,COUNTIFS('手数料マスタ'!$A$5:$A$104,C22,'手数料マスタ'!$B$5:$B$104,"&lt;&gt;")&lt;&gt;1,NOT(ISNUMBER(VLOOKUP(C22,'手数料マスタ'!$A$5:$B$104,2,FALSE))),VLOOKUP(C22,'手数料マスタ'!$A$5:$B$104,2,FALSE)&lt;0,VLOOKUP(C22,'手数料マスタ'!$A$5:$B$104,2,FALSE)&gt;1),"要確認",ROUND(E22*VLOOKUP(C22,'手数料マスタ'!$A$5:$B$104,2,FALSE),0)),"要確認"))</ns0:f>
        <ns0:v/>
      </ns0:c>
      <ns0:c r="G22" s="7" t="n"/>
      <ns0:c r="H22" s="7" t="n"/>
      <ns0:c r="I22" s="8" t="str">
        <ns0:f>IF(OR(B22="",J22&lt;&gt;"販売済み",D22="",E22="",G22="",H22=""),"",IF(ISNUMBER(F22),E22-D22-F22-G22-H22,"要確認"))</ns0:f>
        <ns0:v/>
      </ns0:c>
      <ns0:c r="J22" s="6" t="n"/>
      <ns0:c r="K22" s="5" t="n"/>
      <ns0:c r="L22" s="9" t="str">
        <ns0:f>IF(AND(B22&lt;&gt;"",J22="在庫"),COUNTIFS($J$5:J22,"在庫",$B$5:B22,"&lt;&gt;"),"")</ns0:f>
        <ns0:v/>
      </ns0:c>
    </ns0:row>
    <ns0:row r="23">
      <ns0:c r="A23" s="5" t="n"/>
      <ns0:c r="B23" s="6" t="n"/>
      <ns0:c r="C23" s="6" t="n"/>
      <ns0:c r="D23" s="7" t="n"/>
      <ns0:c r="E23" s="7" t="n"/>
      <ns0:c r="F23" s="8" t="str">
        <ns0:f>IF(OR(B23="",J23&lt;&gt;"販売済み",E23="",C23=""),"",IFERROR(IF(OR(COUNTIF('手数料マスタ'!$A$5:$A$104,C23)&lt;&gt;1,COUNTIFS('手数料マスタ'!$A$5:$A$104,C23,'手数料マスタ'!$B$5:$B$104,"&lt;&gt;")&lt;&gt;1,NOT(ISNUMBER(VLOOKUP(C23,'手数料マスタ'!$A$5:$B$104,2,FALSE))),VLOOKUP(C23,'手数料マスタ'!$A$5:$B$104,2,FALSE)&lt;0,VLOOKUP(C23,'手数料マスタ'!$A$5:$B$104,2,FALSE)&gt;1),"要確認",ROUND(E23*VLOOKUP(C23,'手数料マスタ'!$A$5:$B$104,2,FALSE),0)),"要確認"))</ns0:f>
        <ns0:v/>
      </ns0:c>
      <ns0:c r="G23" s="7" t="n"/>
      <ns0:c r="H23" s="7" t="n"/>
      <ns0:c r="I23" s="8" t="str">
        <ns0:f>IF(OR(B23="",J23&lt;&gt;"販売済み",D23="",E23="",G23="",H23=""),"",IF(ISNUMBER(F23),E23-D23-F23-G23-H23,"要確認"))</ns0:f>
        <ns0:v/>
      </ns0:c>
      <ns0:c r="J23" s="6" t="n"/>
      <ns0:c r="K23" s="5" t="n"/>
      <ns0:c r="L23" s="9" t="str">
        <ns0:f>IF(AND(B23&lt;&gt;"",J23="在庫"),COUNTIFS($J$5:J23,"在庫",$B$5:B23,"&lt;&gt;"),"")</ns0:f>
        <ns0:v/>
      </ns0:c>
    </ns0:row>
    <ns0:row r="24">
      <ns0:c r="A24" s="5" t="n"/>
      <ns0:c r="B24" s="6" t="n"/>
      <ns0:c r="C24" s="6" t="n"/>
      <ns0:c r="D24" s="7" t="n"/>
      <ns0:c r="E24" s="7" t="n"/>
      <ns0:c r="F24" s="8" t="str">
        <ns0:f>IF(OR(B24="",J24&lt;&gt;"販売済み",E24="",C24=""),"",IFERROR(IF(OR(COUNTIF('手数料マスタ'!$A$5:$A$104,C24)&lt;&gt;1,COUNTIFS('手数料マスタ'!$A$5:$A$104,C24,'手数料マスタ'!$B$5:$B$104,"&lt;&gt;")&lt;&gt;1,NOT(ISNUMBER(VLOOKUP(C24,'手数料マスタ'!$A$5:$B$104,2,FALSE))),VLOOKUP(C24,'手数料マスタ'!$A$5:$B$104,2,FALSE)&lt;0,VLOOKUP(C24,'手数料マスタ'!$A$5:$B$104,2,FALSE)&gt;1),"要確認",ROUND(E24*VLOOKUP(C24,'手数料マスタ'!$A$5:$B$104,2,FALSE),0)),"要確認"))</ns0:f>
        <ns0:v/>
      </ns0:c>
      <ns0:c r="G24" s="7" t="n"/>
      <ns0:c r="H24" s="7" t="n"/>
      <ns0:c r="I24" s="8" t="str">
        <ns0:f>IF(OR(B24="",J24&lt;&gt;"販売済み",D24="",E24="",G24="",H24=""),"",IF(ISNUMBER(F24),E24-D24-F24-G24-H24,"要確認"))</ns0:f>
        <ns0:v/>
      </ns0:c>
      <ns0:c r="J24" s="6" t="n"/>
      <ns0:c r="K24" s="5" t="n"/>
      <ns0:c r="L24" s="9" t="str">
        <ns0:f>IF(AND(B24&lt;&gt;"",J24="在庫"),COUNTIFS($J$5:J24,"在庫",$B$5:B24,"&lt;&gt;"),"")</ns0:f>
        <ns0:v/>
      </ns0:c>
    </ns0:row>
    <ns0:row r="25">
      <ns0:c r="A25" s="5" t="n"/>
      <ns0:c r="B25" s="6" t="n"/>
      <ns0:c r="C25" s="6" t="n"/>
      <ns0:c r="D25" s="7" t="n"/>
      <ns0:c r="E25" s="7" t="n"/>
      <ns0:c r="F25" s="8" t="str">
        <ns0:f>IF(OR(B25="",J25&lt;&gt;"販売済み",E25="",C25=""),"",IFERROR(IF(OR(COUNTIF('手数料マスタ'!$A$5:$A$104,C25)&lt;&gt;1,COUNTIFS('手数料マスタ'!$A$5:$A$104,C25,'手数料マスタ'!$B$5:$B$104,"&lt;&gt;")&lt;&gt;1,NOT(ISNUMBER(VLOOKUP(C25,'手数料マスタ'!$A$5:$B$104,2,FALSE))),VLOOKUP(C25,'手数料マスタ'!$A$5:$B$104,2,FALSE)&lt;0,VLOOKUP(C25,'手数料マスタ'!$A$5:$B$104,2,FALSE)&gt;1),"要確認",ROUND(E25*VLOOKUP(C25,'手数料マスタ'!$A$5:$B$104,2,FALSE),0)),"要確認"))</ns0:f>
        <ns0:v/>
      </ns0:c>
      <ns0:c r="G25" s="7" t="n"/>
      <ns0:c r="H25" s="7" t="n"/>
      <ns0:c r="I25" s="8" t="str">
        <ns0:f>IF(OR(B25="",J25&lt;&gt;"販売済み",D25="",E25="",G25="",H25=""),"",IF(ISNUMBER(F25),E25-D25-F25-G25-H25,"要確認"))</ns0:f>
        <ns0:v/>
      </ns0:c>
      <ns0:c r="J25" s="6" t="n"/>
      <ns0:c r="K25" s="5" t="n"/>
      <ns0:c r="L25" s="9" t="str">
        <ns0:f>IF(AND(B25&lt;&gt;"",J25="在庫"),COUNTIFS($J$5:J25,"在庫",$B$5:B25,"&lt;&gt;"),"")</ns0:f>
        <ns0:v/>
      </ns0:c>
    </ns0:row>
    <ns0:row r="26">
      <ns0:c r="A26" s="5" t="n"/>
      <ns0:c r="B26" s="6" t="n"/>
      <ns0:c r="C26" s="6" t="n"/>
      <ns0:c r="D26" s="7" t="n"/>
      <ns0:c r="E26" s="7" t="n"/>
      <ns0:c r="F26" s="8" t="str">
        <ns0:f>IF(OR(B26="",J26&lt;&gt;"販売済み",E26="",C26=""),"",IFERROR(IF(OR(COUNTIF('手数料マスタ'!$A$5:$A$104,C26)&lt;&gt;1,COUNTIFS('手数料マスタ'!$A$5:$A$104,C26,'手数料マスタ'!$B$5:$B$104,"&lt;&gt;")&lt;&gt;1,NOT(ISNUMBER(VLOOKUP(C26,'手数料マスタ'!$A$5:$B$104,2,FALSE))),VLOOKUP(C26,'手数料マスタ'!$A$5:$B$104,2,FALSE)&lt;0,VLOOKUP(C26,'手数料マスタ'!$A$5:$B$104,2,FALSE)&gt;1),"要確認",ROUND(E26*VLOOKUP(C26,'手数料マスタ'!$A$5:$B$104,2,FALSE),0)),"要確認"))</ns0:f>
        <ns0:v/>
      </ns0:c>
      <ns0:c r="G26" s="7" t="n"/>
      <ns0:c r="H26" s="7" t="n"/>
      <ns0:c r="I26" s="8" t="str">
        <ns0:f>IF(OR(B26="",J26&lt;&gt;"販売済み",D26="",E26="",G26="",H26=""),"",IF(ISNUMBER(F26),E26-D26-F26-G26-H26,"要確認"))</ns0:f>
        <ns0:v/>
      </ns0:c>
      <ns0:c r="J26" s="6" t="n"/>
      <ns0:c r="K26" s="5" t="n"/>
      <ns0:c r="L26" s="9" t="str">
        <ns0:f>IF(AND(B26&lt;&gt;"",J26="在庫"),COUNTIFS($J$5:J26,"在庫",$B$5:B26,"&lt;&gt;"),"")</ns0:f>
        <ns0:v/>
      </ns0:c>
    </ns0:row>
    <ns0:row r="27">
      <ns0:c r="A27" s="5" t="n"/>
      <ns0:c r="B27" s="6" t="n"/>
      <ns0:c r="C27" s="6" t="n"/>
      <ns0:c r="D27" s="7" t="n"/>
      <ns0:c r="E27" s="7" t="n"/>
      <ns0:c r="F27" s="8" t="str">
        <ns0:f>IF(OR(B27="",J27&lt;&gt;"販売済み",E27="",C27=""),"",IFERROR(IF(OR(COUNTIF('手数料マスタ'!$A$5:$A$104,C27)&lt;&gt;1,COUNTIFS('手数料マスタ'!$A$5:$A$104,C27,'手数料マスタ'!$B$5:$B$104,"&lt;&gt;")&lt;&gt;1,NOT(ISNUMBER(VLOOKUP(C27,'手数料マスタ'!$A$5:$B$104,2,FALSE))),VLOOKUP(C27,'手数料マスタ'!$A$5:$B$104,2,FALSE)&lt;0,VLOOKUP(C27,'手数料マスタ'!$A$5:$B$104,2,FALSE)&gt;1),"要確認",ROUND(E27*VLOOKUP(C27,'手数料マスタ'!$A$5:$B$104,2,FALSE),0)),"要確認"))</ns0:f>
        <ns0:v/>
      </ns0:c>
      <ns0:c r="G27" s="7" t="n"/>
      <ns0:c r="H27" s="7" t="n"/>
      <ns0:c r="I27" s="8" t="str">
        <ns0:f>IF(OR(B27="",J27&lt;&gt;"販売済み",D27="",E27="",G27="",H27=""),"",IF(ISNUMBER(F27),E27-D27-F27-G27-H27,"要確認"))</ns0:f>
        <ns0:v/>
      </ns0:c>
      <ns0:c r="J27" s="6" t="n"/>
      <ns0:c r="K27" s="5" t="n"/>
      <ns0:c r="L27" s="9" t="str">
        <ns0:f>IF(AND(B27&lt;&gt;"",J27="在庫"),COUNTIFS($J$5:J27,"在庫",$B$5:B27,"&lt;&gt;"),"")</ns0:f>
        <ns0:v/>
      </ns0:c>
    </ns0:row>
    <ns0:row r="28">
      <ns0:c r="A28" s="5" t="n"/>
      <ns0:c r="B28" s="6" t="n"/>
      <ns0:c r="C28" s="6" t="n"/>
      <ns0:c r="D28" s="7" t="n"/>
      <ns0:c r="E28" s="7" t="n"/>
      <ns0:c r="F28" s="8" t="str">
        <ns0:f>IF(OR(B28="",J28&lt;&gt;"販売済み",E28="",C28=""),"",IFERROR(IF(OR(COUNTIF('手数料マスタ'!$A$5:$A$104,C28)&lt;&gt;1,COUNTIFS('手数料マスタ'!$A$5:$A$104,C28,'手数料マスタ'!$B$5:$B$104,"&lt;&gt;")&lt;&gt;1,NOT(ISNUMBER(VLOOKUP(C28,'手数料マスタ'!$A$5:$B$104,2,FALSE))),VLOOKUP(C28,'手数料マスタ'!$A$5:$B$104,2,FALSE)&lt;0,VLOOKUP(C28,'手数料マスタ'!$A$5:$B$104,2,FALSE)&gt;1),"要確認",ROUND(E28*VLOOKUP(C28,'手数料マスタ'!$A$5:$B$104,2,FALSE),0)),"要確認"))</ns0:f>
        <ns0:v/>
      </ns0:c>
      <ns0:c r="G28" s="7" t="n"/>
      <ns0:c r="H28" s="7" t="n"/>
      <ns0:c r="I28" s="8" t="str">
        <ns0:f>IF(OR(B28="",J28&lt;&gt;"販売済み",D28="",E28="",G28="",H28=""),"",IF(ISNUMBER(F28),E28-D28-F28-G28-H28,"要確認"))</ns0:f>
        <ns0:v/>
      </ns0:c>
      <ns0:c r="J28" s="6" t="n"/>
      <ns0:c r="K28" s="5" t="n"/>
      <ns0:c r="L28" s="9" t="str">
        <ns0:f>IF(AND(B28&lt;&gt;"",J28="在庫"),COUNTIFS($J$5:J28,"在庫",$B$5:B28,"&lt;&gt;"),"")</ns0:f>
        <ns0:v/>
      </ns0:c>
    </ns0:row>
    <ns0:row r="29">
      <ns0:c r="A29" s="5" t="n"/>
      <ns0:c r="B29" s="6" t="n"/>
      <ns0:c r="C29" s="6" t="n"/>
      <ns0:c r="D29" s="7" t="n"/>
      <ns0:c r="E29" s="7" t="n"/>
      <ns0:c r="F29" s="8" t="str">
        <ns0:f>IF(OR(B29="",J29&lt;&gt;"販売済み",E29="",C29=""),"",IFERROR(IF(OR(COUNTIF('手数料マスタ'!$A$5:$A$104,C29)&lt;&gt;1,COUNTIFS('手数料マスタ'!$A$5:$A$104,C29,'手数料マスタ'!$B$5:$B$104,"&lt;&gt;")&lt;&gt;1,NOT(ISNUMBER(VLOOKUP(C29,'手数料マスタ'!$A$5:$B$104,2,FALSE))),VLOOKUP(C29,'手数料マスタ'!$A$5:$B$104,2,FALSE)&lt;0,VLOOKUP(C29,'手数料マスタ'!$A$5:$B$104,2,FALSE)&gt;1),"要確認",ROUND(E29*VLOOKUP(C29,'手数料マスタ'!$A$5:$B$104,2,FALSE),0)),"要確認"))</ns0:f>
        <ns0:v/>
      </ns0:c>
      <ns0:c r="G29" s="7" t="n"/>
      <ns0:c r="H29" s="7" t="n"/>
      <ns0:c r="I29" s="8" t="str">
        <ns0:f>IF(OR(B29="",J29&lt;&gt;"販売済み",D29="",E29="",G29="",H29=""),"",IF(ISNUMBER(F29),E29-D29-F29-G29-H29,"要確認"))</ns0:f>
        <ns0:v/>
      </ns0:c>
      <ns0:c r="J29" s="6" t="n"/>
      <ns0:c r="K29" s="5" t="n"/>
      <ns0:c r="L29" s="9" t="str">
        <ns0:f>IF(AND(B29&lt;&gt;"",J29="在庫"),COUNTIFS($J$5:J29,"在庫",$B$5:B29,"&lt;&gt;"),"")</ns0:f>
        <ns0:v/>
      </ns0:c>
    </ns0:row>
    <ns0:row r="30">
      <ns0:c r="A30" s="5" t="n"/>
      <ns0:c r="B30" s="6" t="n"/>
      <ns0:c r="C30" s="6" t="n"/>
      <ns0:c r="D30" s="7" t="n"/>
      <ns0:c r="E30" s="7" t="n"/>
      <ns0:c r="F30" s="8" t="str">
        <ns0:f>IF(OR(B30="",J30&lt;&gt;"販売済み",E30="",C30=""),"",IFERROR(IF(OR(COUNTIF('手数料マスタ'!$A$5:$A$104,C30)&lt;&gt;1,COUNTIFS('手数料マスタ'!$A$5:$A$104,C30,'手数料マスタ'!$B$5:$B$104,"&lt;&gt;")&lt;&gt;1,NOT(ISNUMBER(VLOOKUP(C30,'手数料マスタ'!$A$5:$B$104,2,FALSE))),VLOOKUP(C30,'手数料マスタ'!$A$5:$B$104,2,FALSE)&lt;0,VLOOKUP(C30,'手数料マスタ'!$A$5:$B$104,2,FALSE)&gt;1),"要確認",ROUND(E30*VLOOKUP(C30,'手数料マスタ'!$A$5:$B$104,2,FALSE),0)),"要確認"))</ns0:f>
        <ns0:v/>
      </ns0:c>
      <ns0:c r="G30" s="7" t="n"/>
      <ns0:c r="H30" s="7" t="n"/>
      <ns0:c r="I30" s="8" t="str">
        <ns0:f>IF(OR(B30="",J30&lt;&gt;"販売済み",D30="",E30="",G30="",H30=""),"",IF(ISNUMBER(F30),E30-D30-F30-G30-H30,"要確認"))</ns0:f>
        <ns0:v/>
      </ns0:c>
      <ns0:c r="J30" s="6" t="n"/>
      <ns0:c r="K30" s="5" t="n"/>
      <ns0:c r="L30" s="9" t="str">
        <ns0:f>IF(AND(B30&lt;&gt;"",J30="在庫"),COUNTIFS($J$5:J30,"在庫",$B$5:B30,"&lt;&gt;"),"")</ns0:f>
        <ns0:v/>
      </ns0:c>
    </ns0:row>
    <ns0:row r="31">
      <ns0:c r="A31" s="5" t="n"/>
      <ns0:c r="B31" s="6" t="n"/>
      <ns0:c r="C31" s="6" t="n"/>
      <ns0:c r="D31" s="7" t="n"/>
      <ns0:c r="E31" s="7" t="n"/>
      <ns0:c r="F31" s="8" t="str">
        <ns0:f>IF(OR(B31="",J31&lt;&gt;"販売済み",E31="",C31=""),"",IFERROR(IF(OR(COUNTIF('手数料マスタ'!$A$5:$A$104,C31)&lt;&gt;1,COUNTIFS('手数料マスタ'!$A$5:$A$104,C31,'手数料マスタ'!$B$5:$B$104,"&lt;&gt;")&lt;&gt;1,NOT(ISNUMBER(VLOOKUP(C31,'手数料マスタ'!$A$5:$B$104,2,FALSE))),VLOOKUP(C31,'手数料マスタ'!$A$5:$B$104,2,FALSE)&lt;0,VLOOKUP(C31,'手数料マスタ'!$A$5:$B$104,2,FALSE)&gt;1),"要確認",ROUND(E31*VLOOKUP(C31,'手数料マスタ'!$A$5:$B$104,2,FALSE),0)),"要確認"))</ns0:f>
        <ns0:v/>
      </ns0:c>
      <ns0:c r="G31" s="7" t="n"/>
      <ns0:c r="H31" s="7" t="n"/>
      <ns0:c r="I31" s="8" t="str">
        <ns0:f>IF(OR(B31="",J31&lt;&gt;"販売済み",D31="",E31="",G31="",H31=""),"",IF(ISNUMBER(F31),E31-D31-F31-G31-H31,"要確認"))</ns0:f>
        <ns0:v/>
      </ns0:c>
      <ns0:c r="J31" s="6" t="n"/>
      <ns0:c r="K31" s="5" t="n"/>
      <ns0:c r="L31" s="9" t="str">
        <ns0:f>IF(AND(B31&lt;&gt;"",J31="在庫"),COUNTIFS($J$5:J31,"在庫",$B$5:B31,"&lt;&gt;"),"")</ns0:f>
        <ns0:v/>
      </ns0:c>
    </ns0:row>
    <ns0:row r="32">
      <ns0:c r="A32" s="5" t="n"/>
      <ns0:c r="B32" s="6" t="n"/>
      <ns0:c r="C32" s="6" t="n"/>
      <ns0:c r="D32" s="7" t="n"/>
      <ns0:c r="E32" s="7" t="n"/>
      <ns0:c r="F32" s="8" t="str">
        <ns0:f>IF(OR(B32="",J32&lt;&gt;"販売済み",E32="",C32=""),"",IFERROR(IF(OR(COUNTIF('手数料マスタ'!$A$5:$A$104,C32)&lt;&gt;1,COUNTIFS('手数料マスタ'!$A$5:$A$104,C32,'手数料マスタ'!$B$5:$B$104,"&lt;&gt;")&lt;&gt;1,NOT(ISNUMBER(VLOOKUP(C32,'手数料マスタ'!$A$5:$B$104,2,FALSE))),VLOOKUP(C32,'手数料マスタ'!$A$5:$B$104,2,FALSE)&lt;0,VLOOKUP(C32,'手数料マスタ'!$A$5:$B$104,2,FALSE)&gt;1),"要確認",ROUND(E32*VLOOKUP(C32,'手数料マスタ'!$A$5:$B$104,2,FALSE),0)),"要確認"))</ns0:f>
        <ns0:v/>
      </ns0:c>
      <ns0:c r="G32" s="7" t="n"/>
      <ns0:c r="H32" s="7" t="n"/>
      <ns0:c r="I32" s="8" t="str">
        <ns0:f>IF(OR(B32="",J32&lt;&gt;"販売済み",D32="",E32="",G32="",H32=""),"",IF(ISNUMBER(F32),E32-D32-F32-G32-H32,"要確認"))</ns0:f>
        <ns0:v/>
      </ns0:c>
      <ns0:c r="J32" s="6" t="n"/>
      <ns0:c r="K32" s="5" t="n"/>
      <ns0:c r="L32" s="9" t="str">
        <ns0:f>IF(AND(B32&lt;&gt;"",J32="在庫"),COUNTIFS($J$5:J32,"在庫",$B$5:B32,"&lt;&gt;"),"")</ns0:f>
        <ns0:v/>
      </ns0:c>
    </ns0:row>
    <ns0:row r="33">
      <ns0:c r="A33" s="5" t="n"/>
      <ns0:c r="B33" s="6" t="n"/>
      <ns0:c r="C33" s="6" t="n"/>
      <ns0:c r="D33" s="7" t="n"/>
      <ns0:c r="E33" s="7" t="n"/>
      <ns0:c r="F33" s="8" t="str">
        <ns0:f>IF(OR(B33="",J33&lt;&gt;"販売済み",E33="",C33=""),"",IFERROR(IF(OR(COUNTIF('手数料マスタ'!$A$5:$A$104,C33)&lt;&gt;1,COUNTIFS('手数料マスタ'!$A$5:$A$104,C33,'手数料マスタ'!$B$5:$B$104,"&lt;&gt;")&lt;&gt;1,NOT(ISNUMBER(VLOOKUP(C33,'手数料マスタ'!$A$5:$B$104,2,FALSE))),VLOOKUP(C33,'手数料マスタ'!$A$5:$B$104,2,FALSE)&lt;0,VLOOKUP(C33,'手数料マスタ'!$A$5:$B$104,2,FALSE)&gt;1),"要確認",ROUND(E33*VLOOKUP(C33,'手数料マスタ'!$A$5:$B$104,2,FALSE),0)),"要確認"))</ns0:f>
        <ns0:v/>
      </ns0:c>
      <ns0:c r="G33" s="7" t="n"/>
      <ns0:c r="H33" s="7" t="n"/>
      <ns0:c r="I33" s="8" t="str">
        <ns0:f>IF(OR(B33="",J33&lt;&gt;"販売済み",D33="",E33="",G33="",H33=""),"",IF(ISNUMBER(F33),E33-D33-F33-G33-H33,"要確認"))</ns0:f>
        <ns0:v/>
      </ns0:c>
      <ns0:c r="J33" s="6" t="n"/>
      <ns0:c r="K33" s="5" t="n"/>
      <ns0:c r="L33" s="9" t="str">
        <ns0:f>IF(AND(B33&lt;&gt;"",J33="在庫"),COUNTIFS($J$5:J33,"在庫",$B$5:B33,"&lt;&gt;"),"")</ns0:f>
        <ns0:v/>
      </ns0:c>
    </ns0:row>
    <ns0:row r="34">
      <ns0:c r="A34" s="5" t="n"/>
      <ns0:c r="B34" s="6" t="n"/>
      <ns0:c r="C34" s="6" t="n"/>
      <ns0:c r="D34" s="7" t="n"/>
      <ns0:c r="E34" s="7" t="n"/>
      <ns0:c r="F34" s="8" t="str">
        <ns0:f>IF(OR(B34="",J34&lt;&gt;"販売済み",E34="",C34=""),"",IFERROR(IF(OR(COUNTIF('手数料マスタ'!$A$5:$A$104,C34)&lt;&gt;1,COUNTIFS('手数料マスタ'!$A$5:$A$104,C34,'手数料マスタ'!$B$5:$B$104,"&lt;&gt;")&lt;&gt;1,NOT(ISNUMBER(VLOOKUP(C34,'手数料マスタ'!$A$5:$B$104,2,FALSE))),VLOOKUP(C34,'手数料マスタ'!$A$5:$B$104,2,FALSE)&lt;0,VLOOKUP(C34,'手数料マスタ'!$A$5:$B$104,2,FALSE)&gt;1),"要確認",ROUND(E34*VLOOKUP(C34,'手数料マスタ'!$A$5:$B$104,2,FALSE),0)),"要確認"))</ns0:f>
        <ns0:v/>
      </ns0:c>
      <ns0:c r="G34" s="7" t="n"/>
      <ns0:c r="H34" s="7" t="n"/>
      <ns0:c r="I34" s="8" t="str">
        <ns0:f>IF(OR(B34="",J34&lt;&gt;"販売済み",D34="",E34="",G34="",H34=""),"",IF(ISNUMBER(F34),E34-D34-F34-G34-H34,"要確認"))</ns0:f>
        <ns0:v/>
      </ns0:c>
      <ns0:c r="J34" s="6" t="n"/>
      <ns0:c r="K34" s="5" t="n"/>
      <ns0:c r="L34" s="9" t="str">
        <ns0:f>IF(AND(B34&lt;&gt;"",J34="在庫"),COUNTIFS($J$5:J34,"在庫",$B$5:B34,"&lt;&gt;"),"")</ns0:f>
        <ns0:v/>
      </ns0:c>
    </ns0:row>
    <ns0:row r="35">
      <ns0:c r="A35" s="5" t="n"/>
      <ns0:c r="B35" s="6" t="n"/>
      <ns0:c r="C35" s="6" t="n"/>
      <ns0:c r="D35" s="7" t="n"/>
      <ns0:c r="E35" s="7" t="n"/>
      <ns0:c r="F35" s="8" t="str">
        <ns0:f>IF(OR(B35="",J35&lt;&gt;"販売済み",E35="",C35=""),"",IFERROR(IF(OR(COUNTIF('手数料マスタ'!$A$5:$A$104,C35)&lt;&gt;1,COUNTIFS('手数料マスタ'!$A$5:$A$104,C35,'手数料マスタ'!$B$5:$B$104,"&lt;&gt;")&lt;&gt;1,NOT(ISNUMBER(VLOOKUP(C35,'手数料マスタ'!$A$5:$B$104,2,FALSE))),VLOOKUP(C35,'手数料マスタ'!$A$5:$B$104,2,FALSE)&lt;0,VLOOKUP(C35,'手数料マスタ'!$A$5:$B$104,2,FALSE)&gt;1),"要確認",ROUND(E35*VLOOKUP(C35,'手数料マスタ'!$A$5:$B$104,2,FALSE),0)),"要確認"))</ns0:f>
        <ns0:v/>
      </ns0:c>
      <ns0:c r="G35" s="7" t="n"/>
      <ns0:c r="H35" s="7" t="n"/>
      <ns0:c r="I35" s="8" t="str">
        <ns0:f>IF(OR(B35="",J35&lt;&gt;"販売済み",D35="",E35="",G35="",H35=""),"",IF(ISNUMBER(F35),E35-D35-F35-G35-H35,"要確認"))</ns0:f>
        <ns0:v/>
      </ns0:c>
      <ns0:c r="J35" s="6" t="n"/>
      <ns0:c r="K35" s="5" t="n"/>
      <ns0:c r="L35" s="9" t="str">
        <ns0:f>IF(AND(B35&lt;&gt;"",J35="在庫"),COUNTIFS($J$5:J35,"在庫",$B$5:B35,"&lt;&gt;"),"")</ns0:f>
        <ns0:v/>
      </ns0:c>
    </ns0:row>
    <ns0:row r="36">
      <ns0:c r="A36" s="5" t="n"/>
      <ns0:c r="B36" s="6" t="n"/>
      <ns0:c r="C36" s="6" t="n"/>
      <ns0:c r="D36" s="7" t="n"/>
      <ns0:c r="E36" s="7" t="n"/>
      <ns0:c r="F36" s="8" t="str">
        <ns0:f>IF(OR(B36="",J36&lt;&gt;"販売済み",E36="",C36=""),"",IFERROR(IF(OR(COUNTIF('手数料マスタ'!$A$5:$A$104,C36)&lt;&gt;1,COUNTIFS('手数料マスタ'!$A$5:$A$104,C36,'手数料マスタ'!$B$5:$B$104,"&lt;&gt;")&lt;&gt;1,NOT(ISNUMBER(VLOOKUP(C36,'手数料マスタ'!$A$5:$B$104,2,FALSE))),VLOOKUP(C36,'手数料マスタ'!$A$5:$B$104,2,FALSE)&lt;0,VLOOKUP(C36,'手数料マスタ'!$A$5:$B$104,2,FALSE)&gt;1),"要確認",ROUND(E36*VLOOKUP(C36,'手数料マスタ'!$A$5:$B$104,2,FALSE),0)),"要確認"))</ns0:f>
        <ns0:v/>
      </ns0:c>
      <ns0:c r="G36" s="7" t="n"/>
      <ns0:c r="H36" s="7" t="n"/>
      <ns0:c r="I36" s="8" t="str">
        <ns0:f>IF(OR(B36="",J36&lt;&gt;"販売済み",D36="",E36="",G36="",H36=""),"",IF(ISNUMBER(F36),E36-D36-F36-G36-H36,"要確認"))</ns0:f>
        <ns0:v/>
      </ns0:c>
      <ns0:c r="J36" s="6" t="n"/>
      <ns0:c r="K36" s="5" t="n"/>
      <ns0:c r="L36" s="9" t="str">
        <ns0:f>IF(AND(B36&lt;&gt;"",J36="在庫"),COUNTIFS($J$5:J36,"在庫",$B$5:B36,"&lt;&gt;"),"")</ns0:f>
        <ns0:v/>
      </ns0:c>
    </ns0:row>
    <ns0:row r="37">
      <ns0:c r="A37" s="5" t="n"/>
      <ns0:c r="B37" s="6" t="n"/>
      <ns0:c r="C37" s="6" t="n"/>
      <ns0:c r="D37" s="7" t="n"/>
      <ns0:c r="E37" s="7" t="n"/>
      <ns0:c r="F37" s="8" t="str">
        <ns0:f>IF(OR(B37="",J37&lt;&gt;"販売済み",E37="",C37=""),"",IFERROR(IF(OR(COUNTIF('手数料マスタ'!$A$5:$A$104,C37)&lt;&gt;1,COUNTIFS('手数料マスタ'!$A$5:$A$104,C37,'手数料マスタ'!$B$5:$B$104,"&lt;&gt;")&lt;&gt;1,NOT(ISNUMBER(VLOOKUP(C37,'手数料マスタ'!$A$5:$B$104,2,FALSE))),VLOOKUP(C37,'手数料マスタ'!$A$5:$B$104,2,FALSE)&lt;0,VLOOKUP(C37,'手数料マスタ'!$A$5:$B$104,2,FALSE)&gt;1),"要確認",ROUND(E37*VLOOKUP(C37,'手数料マスタ'!$A$5:$B$104,2,FALSE),0)),"要確認"))</ns0:f>
        <ns0:v/>
      </ns0:c>
      <ns0:c r="G37" s="7" t="n"/>
      <ns0:c r="H37" s="7" t="n"/>
      <ns0:c r="I37" s="8" t="str">
        <ns0:f>IF(OR(B37="",J37&lt;&gt;"販売済み",D37="",E37="",G37="",H37=""),"",IF(ISNUMBER(F37),E37-D37-F37-G37-H37,"要確認"))</ns0:f>
        <ns0:v/>
      </ns0:c>
      <ns0:c r="J37" s="6" t="n"/>
      <ns0:c r="K37" s="5" t="n"/>
      <ns0:c r="L37" s="9" t="str">
        <ns0:f>IF(AND(B37&lt;&gt;"",J37="在庫"),COUNTIFS($J$5:J37,"在庫",$B$5:B37,"&lt;&gt;"),"")</ns0:f>
        <ns0:v/>
      </ns0:c>
    </ns0:row>
    <ns0:row r="38">
      <ns0:c r="A38" s="5" t="n"/>
      <ns0:c r="B38" s="6" t="n"/>
      <ns0:c r="C38" s="6" t="n"/>
      <ns0:c r="D38" s="7" t="n"/>
      <ns0:c r="E38" s="7" t="n"/>
      <ns0:c r="F38" s="8" t="str">
        <ns0:f>IF(OR(B38="",J38&lt;&gt;"販売済み",E38="",C38=""),"",IFERROR(IF(OR(COUNTIF('手数料マスタ'!$A$5:$A$104,C38)&lt;&gt;1,COUNTIFS('手数料マスタ'!$A$5:$A$104,C38,'手数料マスタ'!$B$5:$B$104,"&lt;&gt;")&lt;&gt;1,NOT(ISNUMBER(VLOOKUP(C38,'手数料マスタ'!$A$5:$B$104,2,FALSE))),VLOOKUP(C38,'手数料マスタ'!$A$5:$B$104,2,FALSE)&lt;0,VLOOKUP(C38,'手数料マスタ'!$A$5:$B$104,2,FALSE)&gt;1),"要確認",ROUND(E38*VLOOKUP(C38,'手数料マスタ'!$A$5:$B$104,2,FALSE),0)),"要確認"))</ns0:f>
        <ns0:v/>
      </ns0:c>
      <ns0:c r="G38" s="7" t="n"/>
      <ns0:c r="H38" s="7" t="n"/>
      <ns0:c r="I38" s="8" t="str">
        <ns0:f>IF(OR(B38="",J38&lt;&gt;"販売済み",D38="",E38="",G38="",H38=""),"",IF(ISNUMBER(F38),E38-D38-F38-G38-H38,"要確認"))</ns0:f>
        <ns0:v/>
      </ns0:c>
      <ns0:c r="J38" s="6" t="n"/>
      <ns0:c r="K38" s="5" t="n"/>
      <ns0:c r="L38" s="9" t="str">
        <ns0:f>IF(AND(B38&lt;&gt;"",J38="在庫"),COUNTIFS($J$5:J38,"在庫",$B$5:B38,"&lt;&gt;"),"")</ns0:f>
        <ns0:v/>
      </ns0:c>
    </ns0:row>
    <ns0:row r="39">
      <ns0:c r="A39" s="5" t="n"/>
      <ns0:c r="B39" s="6" t="n"/>
      <ns0:c r="C39" s="6" t="n"/>
      <ns0:c r="D39" s="7" t="n"/>
      <ns0:c r="E39" s="7" t="n"/>
      <ns0:c r="F39" s="8" t="str">
        <ns0:f>IF(OR(B39="",J39&lt;&gt;"販売済み",E39="",C39=""),"",IFERROR(IF(OR(COUNTIF('手数料マスタ'!$A$5:$A$104,C39)&lt;&gt;1,COUNTIFS('手数料マスタ'!$A$5:$A$104,C39,'手数料マスタ'!$B$5:$B$104,"&lt;&gt;")&lt;&gt;1,NOT(ISNUMBER(VLOOKUP(C39,'手数料マスタ'!$A$5:$B$104,2,FALSE))),VLOOKUP(C39,'手数料マスタ'!$A$5:$B$104,2,FALSE)&lt;0,VLOOKUP(C39,'手数料マスタ'!$A$5:$B$104,2,FALSE)&gt;1),"要確認",ROUND(E39*VLOOKUP(C39,'手数料マスタ'!$A$5:$B$104,2,FALSE),0)),"要確認"))</ns0:f>
        <ns0:v/>
      </ns0:c>
      <ns0:c r="G39" s="7" t="n"/>
      <ns0:c r="H39" s="7" t="n"/>
      <ns0:c r="I39" s="8" t="str">
        <ns0:f>IF(OR(B39="",J39&lt;&gt;"販売済み",D39="",E39="",G39="",H39=""),"",IF(ISNUMBER(F39),E39-D39-F39-G39-H39,"要確認"))</ns0:f>
        <ns0:v/>
      </ns0:c>
      <ns0:c r="J39" s="6" t="n"/>
      <ns0:c r="K39" s="5" t="n"/>
      <ns0:c r="L39" s="9" t="str">
        <ns0:f>IF(AND(B39&lt;&gt;"",J39="在庫"),COUNTIFS($J$5:J39,"在庫",$B$5:B39,"&lt;&gt;"),"")</ns0:f>
        <ns0:v/>
      </ns0:c>
    </ns0:row>
    <ns0:row r="40">
      <ns0:c r="A40" s="5" t="n"/>
      <ns0:c r="B40" s="6" t="n"/>
      <ns0:c r="C40" s="6" t="n"/>
      <ns0:c r="D40" s="7" t="n"/>
      <ns0:c r="E40" s="7" t="n"/>
      <ns0:c r="F40" s="8" t="str">
        <ns0:f>IF(OR(B40="",J40&lt;&gt;"販売済み",E40="",C40=""),"",IFERROR(IF(OR(COUNTIF('手数料マスタ'!$A$5:$A$104,C40)&lt;&gt;1,COUNTIFS('手数料マスタ'!$A$5:$A$104,C40,'手数料マスタ'!$B$5:$B$104,"&lt;&gt;")&lt;&gt;1,NOT(ISNUMBER(VLOOKUP(C40,'手数料マスタ'!$A$5:$B$104,2,FALSE))),VLOOKUP(C40,'手数料マスタ'!$A$5:$B$104,2,FALSE)&lt;0,VLOOKUP(C40,'手数料マスタ'!$A$5:$B$104,2,FALSE)&gt;1),"要確認",ROUND(E40*VLOOKUP(C40,'手数料マスタ'!$A$5:$B$104,2,FALSE),0)),"要確認"))</ns0:f>
        <ns0:v/>
      </ns0:c>
      <ns0:c r="G40" s="7" t="n"/>
      <ns0:c r="H40" s="7" t="n"/>
      <ns0:c r="I40" s="8" t="str">
        <ns0:f>IF(OR(B40="",J40&lt;&gt;"販売済み",D40="",E40="",G40="",H40=""),"",IF(ISNUMBER(F40),E40-D40-F40-G40-H40,"要確認"))</ns0:f>
        <ns0:v/>
      </ns0:c>
      <ns0:c r="J40" s="6" t="n"/>
      <ns0:c r="K40" s="5" t="n"/>
      <ns0:c r="L40" s="9" t="str">
        <ns0:f>IF(AND(B40&lt;&gt;"",J40="在庫"),COUNTIFS($J$5:J40,"在庫",$B$5:B40,"&lt;&gt;"),"")</ns0:f>
        <ns0:v/>
      </ns0:c>
    </ns0:row>
    <ns0:row r="41">
      <ns0:c r="A41" s="5" t="n"/>
      <ns0:c r="B41" s="6" t="n"/>
      <ns0:c r="C41" s="6" t="n"/>
      <ns0:c r="D41" s="7" t="n"/>
      <ns0:c r="E41" s="7" t="n"/>
      <ns0:c r="F41" s="8" t="str">
        <ns0:f>IF(OR(B41="",J41&lt;&gt;"販売済み",E41="",C41=""),"",IFERROR(IF(OR(COUNTIF('手数料マスタ'!$A$5:$A$104,C41)&lt;&gt;1,COUNTIFS('手数料マスタ'!$A$5:$A$104,C41,'手数料マスタ'!$B$5:$B$104,"&lt;&gt;")&lt;&gt;1,NOT(ISNUMBER(VLOOKUP(C41,'手数料マスタ'!$A$5:$B$104,2,FALSE))),VLOOKUP(C41,'手数料マスタ'!$A$5:$B$104,2,FALSE)&lt;0,VLOOKUP(C41,'手数料マスタ'!$A$5:$B$104,2,FALSE)&gt;1),"要確認",ROUND(E41*VLOOKUP(C41,'手数料マスタ'!$A$5:$B$104,2,FALSE),0)),"要確認"))</ns0:f>
        <ns0:v/>
      </ns0:c>
      <ns0:c r="G41" s="7" t="n"/>
      <ns0:c r="H41" s="7" t="n"/>
      <ns0:c r="I41" s="8" t="str">
        <ns0:f>IF(OR(B41="",J41&lt;&gt;"販売済み",D41="",E41="",G41="",H41=""),"",IF(ISNUMBER(F41),E41-D41-F41-G41-H41,"要確認"))</ns0:f>
        <ns0:v/>
      </ns0:c>
      <ns0:c r="J41" s="6" t="n"/>
      <ns0:c r="K41" s="5" t="n"/>
      <ns0:c r="L41" s="9" t="str">
        <ns0:f>IF(AND(B41&lt;&gt;"",J41="在庫"),COUNTIFS($J$5:J41,"在庫",$B$5:B41,"&lt;&gt;"),"")</ns0:f>
        <ns0:v/>
      </ns0:c>
    </ns0:row>
    <ns0:row r="42">
      <ns0:c r="A42" s="5" t="n"/>
      <ns0:c r="B42" s="6" t="n"/>
      <ns0:c r="C42" s="6" t="n"/>
      <ns0:c r="D42" s="7" t="n"/>
      <ns0:c r="E42" s="7" t="n"/>
      <ns0:c r="F42" s="8" t="str">
        <ns0:f>IF(OR(B42="",J42&lt;&gt;"販売済み",E42="",C42=""),"",IFERROR(IF(OR(COUNTIF('手数料マスタ'!$A$5:$A$104,C42)&lt;&gt;1,COUNTIFS('手数料マスタ'!$A$5:$A$104,C42,'手数料マスタ'!$B$5:$B$104,"&lt;&gt;")&lt;&gt;1,NOT(ISNUMBER(VLOOKUP(C42,'手数料マスタ'!$A$5:$B$104,2,FALSE))),VLOOKUP(C42,'手数料マスタ'!$A$5:$B$104,2,FALSE)&lt;0,VLOOKUP(C42,'手数料マスタ'!$A$5:$B$104,2,FALSE)&gt;1),"要確認",ROUND(E42*VLOOKUP(C42,'手数料マスタ'!$A$5:$B$104,2,FALSE),0)),"要確認"))</ns0:f>
        <ns0:v/>
      </ns0:c>
      <ns0:c r="G42" s="7" t="n"/>
      <ns0:c r="H42" s="7" t="n"/>
      <ns0:c r="I42" s="8" t="str">
        <ns0:f>IF(OR(B42="",J42&lt;&gt;"販売済み",D42="",E42="",G42="",H42=""),"",IF(ISNUMBER(F42),E42-D42-F42-G42-H42,"要確認"))</ns0:f>
        <ns0:v/>
      </ns0:c>
      <ns0:c r="J42" s="6" t="n"/>
      <ns0:c r="K42" s="5" t="n"/>
      <ns0:c r="L42" s="9" t="str">
        <ns0:f>IF(AND(B42&lt;&gt;"",J42="在庫"),COUNTIFS($J$5:J42,"在庫",$B$5:B42,"&lt;&gt;"),"")</ns0:f>
        <ns0:v/>
      </ns0:c>
    </ns0:row>
    <ns0:row r="43">
      <ns0:c r="A43" s="5" t="n"/>
      <ns0:c r="B43" s="6" t="n"/>
      <ns0:c r="C43" s="6" t="n"/>
      <ns0:c r="D43" s="7" t="n"/>
      <ns0:c r="E43" s="7" t="n"/>
      <ns0:c r="F43" s="8" t="str">
        <ns0:f>IF(OR(B43="",J43&lt;&gt;"販売済み",E43="",C43=""),"",IFERROR(IF(OR(COUNTIF('手数料マスタ'!$A$5:$A$104,C43)&lt;&gt;1,COUNTIFS('手数料マスタ'!$A$5:$A$104,C43,'手数料マスタ'!$B$5:$B$104,"&lt;&gt;")&lt;&gt;1,NOT(ISNUMBER(VLOOKUP(C43,'手数料マスタ'!$A$5:$B$104,2,FALSE))),VLOOKUP(C43,'手数料マスタ'!$A$5:$B$104,2,FALSE)&lt;0,VLOOKUP(C43,'手数料マスタ'!$A$5:$B$104,2,FALSE)&gt;1),"要確認",ROUND(E43*VLOOKUP(C43,'手数料マスタ'!$A$5:$B$104,2,FALSE),0)),"要確認"))</ns0:f>
        <ns0:v/>
      </ns0:c>
      <ns0:c r="G43" s="7" t="n"/>
      <ns0:c r="H43" s="7" t="n"/>
      <ns0:c r="I43" s="8" t="str">
        <ns0:f>IF(OR(B43="",J43&lt;&gt;"販売済み",D43="",E43="",G43="",H43=""),"",IF(ISNUMBER(F43),E43-D43-F43-G43-H43,"要確認"))</ns0:f>
        <ns0:v/>
      </ns0:c>
      <ns0:c r="J43" s="6" t="n"/>
      <ns0:c r="K43" s="5" t="n"/>
      <ns0:c r="L43" s="9" t="str">
        <ns0:f>IF(AND(B43&lt;&gt;"",J43="在庫"),COUNTIFS($J$5:J43,"在庫",$B$5:B43,"&lt;&gt;"),"")</ns0:f>
        <ns0:v/>
      </ns0:c>
    </ns0:row>
    <ns0:row r="44">
      <ns0:c r="A44" s="5" t="n"/>
      <ns0:c r="B44" s="6" t="n"/>
      <ns0:c r="C44" s="6" t="n"/>
      <ns0:c r="D44" s="7" t="n"/>
      <ns0:c r="E44" s="7" t="n"/>
      <ns0:c r="F44" s="8" t="str">
        <ns0:f>IF(OR(B44="",J44&lt;&gt;"販売済み",E44="",C44=""),"",IFERROR(IF(OR(COUNTIF('手数料マスタ'!$A$5:$A$104,C44)&lt;&gt;1,COUNTIFS('手数料マスタ'!$A$5:$A$104,C44,'手数料マスタ'!$B$5:$B$104,"&lt;&gt;")&lt;&gt;1,NOT(ISNUMBER(VLOOKUP(C44,'手数料マスタ'!$A$5:$B$104,2,FALSE))),VLOOKUP(C44,'手数料マスタ'!$A$5:$B$104,2,FALSE)&lt;0,VLOOKUP(C44,'手数料マスタ'!$A$5:$B$104,2,FALSE)&gt;1),"要確認",ROUND(E44*VLOOKUP(C44,'手数料マスタ'!$A$5:$B$104,2,FALSE),0)),"要確認"))</ns0:f>
        <ns0:v/>
      </ns0:c>
      <ns0:c r="G44" s="7" t="n"/>
      <ns0:c r="H44" s="7" t="n"/>
      <ns0:c r="I44" s="8" t="str">
        <ns0:f>IF(OR(B44="",J44&lt;&gt;"販売済み",D44="",E44="",G44="",H44=""),"",IF(ISNUMBER(F44),E44-D44-F44-G44-H44,"要確認"))</ns0:f>
        <ns0:v/>
      </ns0:c>
      <ns0:c r="J44" s="6" t="n"/>
      <ns0:c r="K44" s="5" t="n"/>
      <ns0:c r="L44" s="9" t="str">
        <ns0:f>IF(AND(B44&lt;&gt;"",J44="在庫"),COUNTIFS($J$5:J44,"在庫",$B$5:B44,"&lt;&gt;"),"")</ns0:f>
        <ns0:v/>
      </ns0:c>
    </ns0:row>
    <ns0:row r="45">
      <ns0:c r="A45" s="5" t="n"/>
      <ns0:c r="B45" s="6" t="n"/>
      <ns0:c r="C45" s="6" t="n"/>
      <ns0:c r="D45" s="7" t="n"/>
      <ns0:c r="E45" s="7" t="n"/>
      <ns0:c r="F45" s="8" t="str">
        <ns0:f>IF(OR(B45="",J45&lt;&gt;"販売済み",E45="",C45=""),"",IFERROR(IF(OR(COUNTIF('手数料マスタ'!$A$5:$A$104,C45)&lt;&gt;1,COUNTIFS('手数料マスタ'!$A$5:$A$104,C45,'手数料マスタ'!$B$5:$B$104,"&lt;&gt;")&lt;&gt;1,NOT(ISNUMBER(VLOOKUP(C45,'手数料マスタ'!$A$5:$B$104,2,FALSE))),VLOOKUP(C45,'手数料マスタ'!$A$5:$B$104,2,FALSE)&lt;0,VLOOKUP(C45,'手数料マスタ'!$A$5:$B$104,2,FALSE)&gt;1),"要確認",ROUND(E45*VLOOKUP(C45,'手数料マスタ'!$A$5:$B$104,2,FALSE),0)),"要確認"))</ns0:f>
        <ns0:v/>
      </ns0:c>
      <ns0:c r="G45" s="7" t="n"/>
      <ns0:c r="H45" s="7" t="n"/>
      <ns0:c r="I45" s="8" t="str">
        <ns0:f>IF(OR(B45="",J45&lt;&gt;"販売済み",D45="",E45="",G45="",H45=""),"",IF(ISNUMBER(F45),E45-D45-F45-G45-H45,"要確認"))</ns0:f>
        <ns0:v/>
      </ns0:c>
      <ns0:c r="J45" s="6" t="n"/>
      <ns0:c r="K45" s="5" t="n"/>
      <ns0:c r="L45" s="9" t="str">
        <ns0:f>IF(AND(B45&lt;&gt;"",J45="在庫"),COUNTIFS($J$5:J45,"在庫",$B$5:B45,"&lt;&gt;"),"")</ns0:f>
        <ns0:v/>
      </ns0:c>
    </ns0:row>
    <ns0:row r="46">
      <ns0:c r="A46" s="5" t="n"/>
      <ns0:c r="B46" s="6" t="n"/>
      <ns0:c r="C46" s="6" t="n"/>
      <ns0:c r="D46" s="7" t="n"/>
      <ns0:c r="E46" s="7" t="n"/>
      <ns0:c r="F46" s="8" t="str">
        <ns0:f>IF(OR(B46="",J46&lt;&gt;"販売済み",E46="",C46=""),"",IFERROR(IF(OR(COUNTIF('手数料マスタ'!$A$5:$A$104,C46)&lt;&gt;1,COUNTIFS('手数料マスタ'!$A$5:$A$104,C46,'手数料マスタ'!$B$5:$B$104,"&lt;&gt;")&lt;&gt;1,NOT(ISNUMBER(VLOOKUP(C46,'手数料マスタ'!$A$5:$B$104,2,FALSE))),VLOOKUP(C46,'手数料マスタ'!$A$5:$B$104,2,FALSE)&lt;0,VLOOKUP(C46,'手数料マスタ'!$A$5:$B$104,2,FALSE)&gt;1),"要確認",ROUND(E46*VLOOKUP(C46,'手数料マスタ'!$A$5:$B$104,2,FALSE),0)),"要確認"))</ns0:f>
        <ns0:v/>
      </ns0:c>
      <ns0:c r="G46" s="7" t="n"/>
      <ns0:c r="H46" s="7" t="n"/>
      <ns0:c r="I46" s="8" t="str">
        <ns0:f>IF(OR(B46="",J46&lt;&gt;"販売済み",D46="",E46="",G46="",H46=""),"",IF(ISNUMBER(F46),E46-D46-F46-G46-H46,"要確認"))</ns0:f>
        <ns0:v/>
      </ns0:c>
      <ns0:c r="J46" s="6" t="n"/>
      <ns0:c r="K46" s="5" t="n"/>
      <ns0:c r="L46" s="9" t="str">
        <ns0:f>IF(AND(B46&lt;&gt;"",J46="在庫"),COUNTIFS($J$5:J46,"在庫",$B$5:B46,"&lt;&gt;"),"")</ns0:f>
        <ns0:v/>
      </ns0:c>
    </ns0:row>
    <ns0:row r="47">
      <ns0:c r="A47" s="5" t="n"/>
      <ns0:c r="B47" s="6" t="n"/>
      <ns0:c r="C47" s="6" t="n"/>
      <ns0:c r="D47" s="7" t="n"/>
      <ns0:c r="E47" s="7" t="n"/>
      <ns0:c r="F47" s="8" t="str">
        <ns0:f>IF(OR(B47="",J47&lt;&gt;"販売済み",E47="",C47=""),"",IFERROR(IF(OR(COUNTIF('手数料マスタ'!$A$5:$A$104,C47)&lt;&gt;1,COUNTIFS('手数料マスタ'!$A$5:$A$104,C47,'手数料マスタ'!$B$5:$B$104,"&lt;&gt;")&lt;&gt;1,NOT(ISNUMBER(VLOOKUP(C47,'手数料マスタ'!$A$5:$B$104,2,FALSE))),VLOOKUP(C47,'手数料マスタ'!$A$5:$B$104,2,FALSE)&lt;0,VLOOKUP(C47,'手数料マスタ'!$A$5:$B$104,2,FALSE)&gt;1),"要確認",ROUND(E47*VLOOKUP(C47,'手数料マスタ'!$A$5:$B$104,2,FALSE),0)),"要確認"))</ns0:f>
        <ns0:v/>
      </ns0:c>
      <ns0:c r="G47" s="7" t="n"/>
      <ns0:c r="H47" s="7" t="n"/>
      <ns0:c r="I47" s="8" t="str">
        <ns0:f>IF(OR(B47="",J47&lt;&gt;"販売済み",D47="",E47="",G47="",H47=""),"",IF(ISNUMBER(F47),E47-D47-F47-G47-H47,"要確認"))</ns0:f>
        <ns0:v/>
      </ns0:c>
      <ns0:c r="J47" s="6" t="n"/>
      <ns0:c r="K47" s="5" t="n"/>
      <ns0:c r="L47" s="9" t="str">
        <ns0:f>IF(AND(B47&lt;&gt;"",J47="在庫"),COUNTIFS($J$5:J47,"在庫",$B$5:B47,"&lt;&gt;"),"")</ns0:f>
        <ns0:v/>
      </ns0:c>
    </ns0:row>
    <ns0:row r="48">
      <ns0:c r="A48" s="5" t="n"/>
      <ns0:c r="B48" s="6" t="n"/>
      <ns0:c r="C48" s="6" t="n"/>
      <ns0:c r="D48" s="7" t="n"/>
      <ns0:c r="E48" s="7" t="n"/>
      <ns0:c r="F48" s="8" t="str">
        <ns0:f>IF(OR(B48="",J48&lt;&gt;"販売済み",E48="",C48=""),"",IFERROR(IF(OR(COUNTIF('手数料マスタ'!$A$5:$A$104,C48)&lt;&gt;1,COUNTIFS('手数料マスタ'!$A$5:$A$104,C48,'手数料マスタ'!$B$5:$B$104,"&lt;&gt;")&lt;&gt;1,NOT(ISNUMBER(VLOOKUP(C48,'手数料マスタ'!$A$5:$B$104,2,FALSE))),VLOOKUP(C48,'手数料マスタ'!$A$5:$B$104,2,FALSE)&lt;0,VLOOKUP(C48,'手数料マスタ'!$A$5:$B$104,2,FALSE)&gt;1),"要確認",ROUND(E48*VLOOKUP(C48,'手数料マスタ'!$A$5:$B$104,2,FALSE),0)),"要確認"))</ns0:f>
        <ns0:v/>
      </ns0:c>
      <ns0:c r="G48" s="7" t="n"/>
      <ns0:c r="H48" s="7" t="n"/>
      <ns0:c r="I48" s="8" t="str">
        <ns0:f>IF(OR(B48="",J48&lt;&gt;"販売済み",D48="",E48="",G48="",H48=""),"",IF(ISNUMBER(F48),E48-D48-F48-G48-H48,"要確認"))</ns0:f>
        <ns0:v/>
      </ns0:c>
      <ns0:c r="J48" s="6" t="n"/>
      <ns0:c r="K48" s="5" t="n"/>
      <ns0:c r="L48" s="9" t="str">
        <ns0:f>IF(AND(B48&lt;&gt;"",J48="在庫"),COUNTIFS($J$5:J48,"在庫",$B$5:B48,"&lt;&gt;"),"")</ns0:f>
        <ns0:v/>
      </ns0:c>
    </ns0:row>
    <ns0:row r="49">
      <ns0:c r="A49" s="5" t="n"/>
      <ns0:c r="B49" s="6" t="n"/>
      <ns0:c r="C49" s="6" t="n"/>
      <ns0:c r="D49" s="7" t="n"/>
      <ns0:c r="E49" s="7" t="n"/>
      <ns0:c r="F49" s="8" t="str">
        <ns0:f>IF(OR(B49="",J49&lt;&gt;"販売済み",E49="",C49=""),"",IFERROR(IF(OR(COUNTIF('手数料マスタ'!$A$5:$A$104,C49)&lt;&gt;1,COUNTIFS('手数料マスタ'!$A$5:$A$104,C49,'手数料マスタ'!$B$5:$B$104,"&lt;&gt;")&lt;&gt;1,NOT(ISNUMBER(VLOOKUP(C49,'手数料マスタ'!$A$5:$B$104,2,FALSE))),VLOOKUP(C49,'手数料マスタ'!$A$5:$B$104,2,FALSE)&lt;0,VLOOKUP(C49,'手数料マスタ'!$A$5:$B$104,2,FALSE)&gt;1),"要確認",ROUND(E49*VLOOKUP(C49,'手数料マスタ'!$A$5:$B$104,2,FALSE),0)),"要確認"))</ns0:f>
        <ns0:v/>
      </ns0:c>
      <ns0:c r="G49" s="7" t="n"/>
      <ns0:c r="H49" s="7" t="n"/>
      <ns0:c r="I49" s="8" t="str">
        <ns0:f>IF(OR(B49="",J49&lt;&gt;"販売済み",D49="",E49="",G49="",H49=""),"",IF(ISNUMBER(F49),E49-D49-F49-G49-H49,"要確認"))</ns0:f>
        <ns0:v/>
      </ns0:c>
      <ns0:c r="J49" s="6" t="n"/>
      <ns0:c r="K49" s="5" t="n"/>
      <ns0:c r="L49" s="9" t="str">
        <ns0:f>IF(AND(B49&lt;&gt;"",J49="在庫"),COUNTIFS($J$5:J49,"在庫",$B$5:B49,"&lt;&gt;"),"")</ns0:f>
        <ns0:v/>
      </ns0:c>
    </ns0:row>
    <ns0:row r="50">
      <ns0:c r="A50" s="5" t="n"/>
      <ns0:c r="B50" s="6" t="n"/>
      <ns0:c r="C50" s="6" t="n"/>
      <ns0:c r="D50" s="7" t="n"/>
      <ns0:c r="E50" s="7" t="n"/>
      <ns0:c r="F50" s="8" t="str">
        <ns0:f>IF(OR(B50="",J50&lt;&gt;"販売済み",E50="",C50=""),"",IFERROR(IF(OR(COUNTIF('手数料マスタ'!$A$5:$A$104,C50)&lt;&gt;1,COUNTIFS('手数料マスタ'!$A$5:$A$104,C50,'手数料マスタ'!$B$5:$B$104,"&lt;&gt;")&lt;&gt;1,NOT(ISNUMBER(VLOOKUP(C50,'手数料マスタ'!$A$5:$B$104,2,FALSE))),VLOOKUP(C50,'手数料マスタ'!$A$5:$B$104,2,FALSE)&lt;0,VLOOKUP(C50,'手数料マスタ'!$A$5:$B$104,2,FALSE)&gt;1),"要確認",ROUND(E50*VLOOKUP(C50,'手数料マスタ'!$A$5:$B$104,2,FALSE),0)),"要確認"))</ns0:f>
        <ns0:v/>
      </ns0:c>
      <ns0:c r="G50" s="7" t="n"/>
      <ns0:c r="H50" s="7" t="n"/>
      <ns0:c r="I50" s="8" t="str">
        <ns0:f>IF(OR(B50="",J50&lt;&gt;"販売済み",D50="",E50="",G50="",H50=""),"",IF(ISNUMBER(F50),E50-D50-F50-G50-H50,"要確認"))</ns0:f>
        <ns0:v/>
      </ns0:c>
      <ns0:c r="J50" s="6" t="n"/>
      <ns0:c r="K50" s="5" t="n"/>
      <ns0:c r="L50" s="9" t="str">
        <ns0:f>IF(AND(B50&lt;&gt;"",J50="在庫"),COUNTIFS($J$5:J50,"在庫",$B$5:B50,"&lt;&gt;"),"")</ns0:f>
        <ns0:v/>
      </ns0:c>
    </ns0:row>
    <ns0:row r="51">
      <ns0:c r="A51" s="5" t="n"/>
      <ns0:c r="B51" s="6" t="n"/>
      <ns0:c r="C51" s="6" t="n"/>
      <ns0:c r="D51" s="7" t="n"/>
      <ns0:c r="E51" s="7" t="n"/>
      <ns0:c r="F51" s="8" t="str">
        <ns0:f>IF(OR(B51="",J51&lt;&gt;"販売済み",E51="",C51=""),"",IFERROR(IF(OR(COUNTIF('手数料マスタ'!$A$5:$A$104,C51)&lt;&gt;1,COUNTIFS('手数料マスタ'!$A$5:$A$104,C51,'手数料マスタ'!$B$5:$B$104,"&lt;&gt;")&lt;&gt;1,NOT(ISNUMBER(VLOOKUP(C51,'手数料マスタ'!$A$5:$B$104,2,FALSE))),VLOOKUP(C51,'手数料マスタ'!$A$5:$B$104,2,FALSE)&lt;0,VLOOKUP(C51,'手数料マスタ'!$A$5:$B$104,2,FALSE)&gt;1),"要確認",ROUND(E51*VLOOKUP(C51,'手数料マスタ'!$A$5:$B$104,2,FALSE),0)),"要確認"))</ns0:f>
        <ns0:v/>
      </ns0:c>
      <ns0:c r="G51" s="7" t="n"/>
      <ns0:c r="H51" s="7" t="n"/>
      <ns0:c r="I51" s="8" t="str">
        <ns0:f>IF(OR(B51="",J51&lt;&gt;"販売済み",D51="",E51="",G51="",H51=""),"",IF(ISNUMBER(F51),E51-D51-F51-G51-H51,"要確認"))</ns0:f>
        <ns0:v/>
      </ns0:c>
      <ns0:c r="J51" s="6" t="n"/>
      <ns0:c r="K51" s="5" t="n"/>
      <ns0:c r="L51" s="9" t="str">
        <ns0:f>IF(AND(B51&lt;&gt;"",J51="在庫"),COUNTIFS($J$5:J51,"在庫",$B$5:B51,"&lt;&gt;"),"")</ns0:f>
        <ns0:v/>
      </ns0:c>
    </ns0:row>
    <ns0:row r="52">
      <ns0:c r="A52" s="5" t="n"/>
      <ns0:c r="B52" s="6" t="n"/>
      <ns0:c r="C52" s="6" t="n"/>
      <ns0:c r="D52" s="7" t="n"/>
      <ns0:c r="E52" s="7" t="n"/>
      <ns0:c r="F52" s="8" t="str">
        <ns0:f>IF(OR(B52="",J52&lt;&gt;"販売済み",E52="",C52=""),"",IFERROR(IF(OR(COUNTIF('手数料マスタ'!$A$5:$A$104,C52)&lt;&gt;1,COUNTIFS('手数料マスタ'!$A$5:$A$104,C52,'手数料マスタ'!$B$5:$B$104,"&lt;&gt;")&lt;&gt;1,NOT(ISNUMBER(VLOOKUP(C52,'手数料マスタ'!$A$5:$B$104,2,FALSE))),VLOOKUP(C52,'手数料マスタ'!$A$5:$B$104,2,FALSE)&lt;0,VLOOKUP(C52,'手数料マスタ'!$A$5:$B$104,2,FALSE)&gt;1),"要確認",ROUND(E52*VLOOKUP(C52,'手数料マスタ'!$A$5:$B$104,2,FALSE),0)),"要確認"))</ns0:f>
        <ns0:v/>
      </ns0:c>
      <ns0:c r="G52" s="7" t="n"/>
      <ns0:c r="H52" s="7" t="n"/>
      <ns0:c r="I52" s="8" t="str">
        <ns0:f>IF(OR(B52="",J52&lt;&gt;"販売済み",D52="",E52="",G52="",H52=""),"",IF(ISNUMBER(F52),E52-D52-F52-G52-H52,"要確認"))</ns0:f>
        <ns0:v/>
      </ns0:c>
      <ns0:c r="J52" s="6" t="n"/>
      <ns0:c r="K52" s="5" t="n"/>
      <ns0:c r="L52" s="9" t="str">
        <ns0:f>IF(AND(B52&lt;&gt;"",J52="在庫"),COUNTIFS($J$5:J52,"在庫",$B$5:B52,"&lt;&gt;"),"")</ns0:f>
        <ns0:v/>
      </ns0:c>
    </ns0:row>
    <ns0:row r="53">
      <ns0:c r="A53" s="5" t="n"/>
      <ns0:c r="B53" s="6" t="n"/>
      <ns0:c r="C53" s="6" t="n"/>
      <ns0:c r="D53" s="7" t="n"/>
      <ns0:c r="E53" s="7" t="n"/>
      <ns0:c r="F53" s="8" t="str">
        <ns0:f>IF(OR(B53="",J53&lt;&gt;"販売済み",E53="",C53=""),"",IFERROR(IF(OR(COUNTIF('手数料マスタ'!$A$5:$A$104,C53)&lt;&gt;1,COUNTIFS('手数料マスタ'!$A$5:$A$104,C53,'手数料マスタ'!$B$5:$B$104,"&lt;&gt;")&lt;&gt;1,NOT(ISNUMBER(VLOOKUP(C53,'手数料マスタ'!$A$5:$B$104,2,FALSE))),VLOOKUP(C53,'手数料マスタ'!$A$5:$B$104,2,FALSE)&lt;0,VLOOKUP(C53,'手数料マスタ'!$A$5:$B$104,2,FALSE)&gt;1),"要確認",ROUND(E53*VLOOKUP(C53,'手数料マスタ'!$A$5:$B$104,2,FALSE),0)),"要確認"))</ns0:f>
        <ns0:v/>
      </ns0:c>
      <ns0:c r="G53" s="7" t="n"/>
      <ns0:c r="H53" s="7" t="n"/>
      <ns0:c r="I53" s="8" t="str">
        <ns0:f>IF(OR(B53="",J53&lt;&gt;"販売済み",D53="",E53="",G53="",H53=""),"",IF(ISNUMBER(F53),E53-D53-F53-G53-H53,"要確認"))</ns0:f>
        <ns0:v/>
      </ns0:c>
      <ns0:c r="J53" s="6" t="n"/>
      <ns0:c r="K53" s="5" t="n"/>
      <ns0:c r="L53" s="9" t="str">
        <ns0:f>IF(AND(B53&lt;&gt;"",J53="在庫"),COUNTIFS($J$5:J53,"在庫",$B$5:B53,"&lt;&gt;"),"")</ns0:f>
        <ns0:v/>
      </ns0:c>
    </ns0:row>
    <ns0:row r="54">
      <ns0:c r="A54" s="5" t="n"/>
      <ns0:c r="B54" s="6" t="n"/>
      <ns0:c r="C54" s="6" t="n"/>
      <ns0:c r="D54" s="7" t="n"/>
      <ns0:c r="E54" s="7" t="n"/>
      <ns0:c r="F54" s="8" t="str">
        <ns0:f>IF(OR(B54="",J54&lt;&gt;"販売済み",E54="",C54=""),"",IFERROR(IF(OR(COUNTIF('手数料マスタ'!$A$5:$A$104,C54)&lt;&gt;1,COUNTIFS('手数料マスタ'!$A$5:$A$104,C54,'手数料マスタ'!$B$5:$B$104,"&lt;&gt;")&lt;&gt;1,NOT(ISNUMBER(VLOOKUP(C54,'手数料マスタ'!$A$5:$B$104,2,FALSE))),VLOOKUP(C54,'手数料マスタ'!$A$5:$B$104,2,FALSE)&lt;0,VLOOKUP(C54,'手数料マスタ'!$A$5:$B$104,2,FALSE)&gt;1),"要確認",ROUND(E54*VLOOKUP(C54,'手数料マスタ'!$A$5:$B$104,2,FALSE),0)),"要確認"))</ns0:f>
        <ns0:v/>
      </ns0:c>
      <ns0:c r="G54" s="7" t="n"/>
      <ns0:c r="H54" s="7" t="n"/>
      <ns0:c r="I54" s="8" t="str">
        <ns0:f>IF(OR(B54="",J54&lt;&gt;"販売済み",D54="",E54="",G54="",H54=""),"",IF(ISNUMBER(F54),E54-D54-F54-G54-H54,"要確認"))</ns0:f>
        <ns0:v/>
      </ns0:c>
      <ns0:c r="J54" s="6" t="n"/>
      <ns0:c r="K54" s="5" t="n"/>
      <ns0:c r="L54" s="9" t="str">
        <ns0:f>IF(AND(B54&lt;&gt;"",J54="在庫"),COUNTIFS($J$5:J54,"在庫",$B$5:B54,"&lt;&gt;"),"")</ns0:f>
        <ns0:v/>
      </ns0:c>
    </ns0:row>
    <ns0:row r="55">
      <ns0:c r="A55" s="5" t="n"/>
      <ns0:c r="B55" s="6" t="n"/>
      <ns0:c r="C55" s="6" t="n"/>
      <ns0:c r="D55" s="7" t="n"/>
      <ns0:c r="E55" s="7" t="n"/>
      <ns0:c r="F55" s="8" t="str">
        <ns0:f>IF(OR(B55="",J55&lt;&gt;"販売済み",E55="",C55=""),"",IFERROR(IF(OR(COUNTIF('手数料マスタ'!$A$5:$A$104,C55)&lt;&gt;1,COUNTIFS('手数料マスタ'!$A$5:$A$104,C55,'手数料マスタ'!$B$5:$B$104,"&lt;&gt;")&lt;&gt;1,NOT(ISNUMBER(VLOOKUP(C55,'手数料マスタ'!$A$5:$B$104,2,FALSE))),VLOOKUP(C55,'手数料マスタ'!$A$5:$B$104,2,FALSE)&lt;0,VLOOKUP(C55,'手数料マスタ'!$A$5:$B$104,2,FALSE)&gt;1),"要確認",ROUND(E55*VLOOKUP(C55,'手数料マスタ'!$A$5:$B$104,2,FALSE),0)),"要確認"))</ns0:f>
        <ns0:v/>
      </ns0:c>
      <ns0:c r="G55" s="7" t="n"/>
      <ns0:c r="H55" s="7" t="n"/>
      <ns0:c r="I55" s="8" t="str">
        <ns0:f>IF(OR(B55="",J55&lt;&gt;"販売済み",D55="",E55="",G55="",H55=""),"",IF(ISNUMBER(F55),E55-D55-F55-G55-H55,"要確認"))</ns0:f>
        <ns0:v/>
      </ns0:c>
      <ns0:c r="J55" s="6" t="n"/>
      <ns0:c r="K55" s="5" t="n"/>
      <ns0:c r="L55" s="9" t="str">
        <ns0:f>IF(AND(B55&lt;&gt;"",J55="在庫"),COUNTIFS($J$5:J55,"在庫",$B$5:B55,"&lt;&gt;"),"")</ns0:f>
        <ns0:v/>
      </ns0:c>
    </ns0:row>
    <ns0:row r="56">
      <ns0:c r="A56" s="5" t="n"/>
      <ns0:c r="B56" s="6" t="n"/>
      <ns0:c r="C56" s="6" t="n"/>
      <ns0:c r="D56" s="7" t="n"/>
      <ns0:c r="E56" s="7" t="n"/>
      <ns0:c r="F56" s="8" t="str">
        <ns0:f>IF(OR(B56="",J56&lt;&gt;"販売済み",E56="",C56=""),"",IFERROR(IF(OR(COUNTIF('手数料マスタ'!$A$5:$A$104,C56)&lt;&gt;1,COUNTIFS('手数料マスタ'!$A$5:$A$104,C56,'手数料マスタ'!$B$5:$B$104,"&lt;&gt;")&lt;&gt;1,NOT(ISNUMBER(VLOOKUP(C56,'手数料マスタ'!$A$5:$B$104,2,FALSE))),VLOOKUP(C56,'手数料マスタ'!$A$5:$B$104,2,FALSE)&lt;0,VLOOKUP(C56,'手数料マスタ'!$A$5:$B$104,2,FALSE)&gt;1),"要確認",ROUND(E56*VLOOKUP(C56,'手数料マスタ'!$A$5:$B$104,2,FALSE),0)),"要確認"))</ns0:f>
        <ns0:v/>
      </ns0:c>
      <ns0:c r="G56" s="7" t="n"/>
      <ns0:c r="H56" s="7" t="n"/>
      <ns0:c r="I56" s="8" t="str">
        <ns0:f>IF(OR(B56="",J56&lt;&gt;"販売済み",D56="",E56="",G56="",H56=""),"",IF(ISNUMBER(F56),E56-D56-F56-G56-H56,"要確認"))</ns0:f>
        <ns0:v/>
      </ns0:c>
      <ns0:c r="J56" s="6" t="n"/>
      <ns0:c r="K56" s="5" t="n"/>
      <ns0:c r="L56" s="9" t="str">
        <ns0:f>IF(AND(B56&lt;&gt;"",J56="在庫"),COUNTIFS($J$5:J56,"在庫",$B$5:B56,"&lt;&gt;"),"")</ns0:f>
        <ns0:v/>
      </ns0:c>
    </ns0:row>
    <ns0:row r="57">
      <ns0:c r="A57" s="5" t="n"/>
      <ns0:c r="B57" s="6" t="n"/>
      <ns0:c r="C57" s="6" t="n"/>
      <ns0:c r="D57" s="7" t="n"/>
      <ns0:c r="E57" s="7" t="n"/>
      <ns0:c r="F57" s="8" t="str">
        <ns0:f>IF(OR(B57="",J57&lt;&gt;"販売済み",E57="",C57=""),"",IFERROR(IF(OR(COUNTIF('手数料マスタ'!$A$5:$A$104,C57)&lt;&gt;1,COUNTIFS('手数料マスタ'!$A$5:$A$104,C57,'手数料マスタ'!$B$5:$B$104,"&lt;&gt;")&lt;&gt;1,NOT(ISNUMBER(VLOOKUP(C57,'手数料マスタ'!$A$5:$B$104,2,FALSE))),VLOOKUP(C57,'手数料マスタ'!$A$5:$B$104,2,FALSE)&lt;0,VLOOKUP(C57,'手数料マスタ'!$A$5:$B$104,2,FALSE)&gt;1),"要確認",ROUND(E57*VLOOKUP(C57,'手数料マスタ'!$A$5:$B$104,2,FALSE),0)),"要確認"))</ns0:f>
        <ns0:v/>
      </ns0:c>
      <ns0:c r="G57" s="7" t="n"/>
      <ns0:c r="H57" s="7" t="n"/>
      <ns0:c r="I57" s="8" t="str">
        <ns0:f>IF(OR(B57="",J57&lt;&gt;"販売済み",D57="",E57="",G57="",H57=""),"",IF(ISNUMBER(F57),E57-D57-F57-G57-H57,"要確認"))</ns0:f>
        <ns0:v/>
      </ns0:c>
      <ns0:c r="J57" s="6" t="n"/>
      <ns0:c r="K57" s="5" t="n"/>
      <ns0:c r="L57" s="9" t="str">
        <ns0:f>IF(AND(B57&lt;&gt;"",J57="在庫"),COUNTIFS($J$5:J57,"在庫",$B$5:B57,"&lt;&gt;"),"")</ns0:f>
        <ns0:v/>
      </ns0:c>
    </ns0:row>
    <ns0:row r="58">
      <ns0:c r="A58" s="5" t="n"/>
      <ns0:c r="B58" s="6" t="n"/>
      <ns0:c r="C58" s="6" t="n"/>
      <ns0:c r="D58" s="7" t="n"/>
      <ns0:c r="E58" s="7" t="n"/>
      <ns0:c r="F58" s="8" t="str">
        <ns0:f>IF(OR(B58="",J58&lt;&gt;"販売済み",E58="",C58=""),"",IFERROR(IF(OR(COUNTIF('手数料マスタ'!$A$5:$A$104,C58)&lt;&gt;1,COUNTIFS('手数料マスタ'!$A$5:$A$104,C58,'手数料マスタ'!$B$5:$B$104,"&lt;&gt;")&lt;&gt;1,NOT(ISNUMBER(VLOOKUP(C58,'手数料マスタ'!$A$5:$B$104,2,FALSE))),VLOOKUP(C58,'手数料マスタ'!$A$5:$B$104,2,FALSE)&lt;0,VLOOKUP(C58,'手数料マスタ'!$A$5:$B$104,2,FALSE)&gt;1),"要確認",ROUND(E58*VLOOKUP(C58,'手数料マスタ'!$A$5:$B$104,2,FALSE),0)),"要確認"))</ns0:f>
        <ns0:v/>
      </ns0:c>
      <ns0:c r="G58" s="7" t="n"/>
      <ns0:c r="H58" s="7" t="n"/>
      <ns0:c r="I58" s="8" t="str">
        <ns0:f>IF(OR(B58="",J58&lt;&gt;"販売済み",D58="",E58="",G58="",H58=""),"",IF(ISNUMBER(F58),E58-D58-F58-G58-H58,"要確認"))</ns0:f>
        <ns0:v/>
      </ns0:c>
      <ns0:c r="J58" s="6" t="n"/>
      <ns0:c r="K58" s="5" t="n"/>
      <ns0:c r="L58" s="9" t="str">
        <ns0:f>IF(AND(B58&lt;&gt;"",J58="在庫"),COUNTIFS($J$5:J58,"在庫",$B$5:B58,"&lt;&gt;"),"")</ns0:f>
        <ns0:v/>
      </ns0:c>
    </ns0:row>
    <ns0:row r="59">
      <ns0:c r="A59" s="5" t="n"/>
      <ns0:c r="B59" s="6" t="n"/>
      <ns0:c r="C59" s="6" t="n"/>
      <ns0:c r="D59" s="7" t="n"/>
      <ns0:c r="E59" s="7" t="n"/>
      <ns0:c r="F59" s="8" t="str">
        <ns0:f>IF(OR(B59="",J59&lt;&gt;"販売済み",E59="",C59=""),"",IFERROR(IF(OR(COUNTIF('手数料マスタ'!$A$5:$A$104,C59)&lt;&gt;1,COUNTIFS('手数料マスタ'!$A$5:$A$104,C59,'手数料マスタ'!$B$5:$B$104,"&lt;&gt;")&lt;&gt;1,NOT(ISNUMBER(VLOOKUP(C59,'手数料マスタ'!$A$5:$B$104,2,FALSE))),VLOOKUP(C59,'手数料マスタ'!$A$5:$B$104,2,FALSE)&lt;0,VLOOKUP(C59,'手数料マスタ'!$A$5:$B$104,2,FALSE)&gt;1),"要確認",ROUND(E59*VLOOKUP(C59,'手数料マスタ'!$A$5:$B$104,2,FALSE),0)),"要確認"))</ns0:f>
        <ns0:v/>
      </ns0:c>
      <ns0:c r="G59" s="7" t="n"/>
      <ns0:c r="H59" s="7" t="n"/>
      <ns0:c r="I59" s="8" t="str">
        <ns0:f>IF(OR(B59="",J59&lt;&gt;"販売済み",D59="",E59="",G59="",H59=""),"",IF(ISNUMBER(F59),E59-D59-F59-G59-H59,"要確認"))</ns0:f>
        <ns0:v/>
      </ns0:c>
      <ns0:c r="J59" s="6" t="n"/>
      <ns0:c r="K59" s="5" t="n"/>
      <ns0:c r="L59" s="9" t="str">
        <ns0:f>IF(AND(B59&lt;&gt;"",J59="在庫"),COUNTIFS($J$5:J59,"在庫",$B$5:B59,"&lt;&gt;"),"")</ns0:f>
        <ns0:v/>
      </ns0:c>
    </ns0:row>
    <ns0:row r="60">
      <ns0:c r="A60" s="5" t="n"/>
      <ns0:c r="B60" s="6" t="n"/>
      <ns0:c r="C60" s="6" t="n"/>
      <ns0:c r="D60" s="7" t="n"/>
      <ns0:c r="E60" s="7" t="n"/>
      <ns0:c r="F60" s="8" t="str">
        <ns0:f>IF(OR(B60="",J60&lt;&gt;"販売済み",E60="",C60=""),"",IFERROR(IF(OR(COUNTIF('手数料マスタ'!$A$5:$A$104,C60)&lt;&gt;1,COUNTIFS('手数料マスタ'!$A$5:$A$104,C60,'手数料マスタ'!$B$5:$B$104,"&lt;&gt;")&lt;&gt;1,NOT(ISNUMBER(VLOOKUP(C60,'手数料マスタ'!$A$5:$B$104,2,FALSE))),VLOOKUP(C60,'手数料マスタ'!$A$5:$B$104,2,FALSE)&lt;0,VLOOKUP(C60,'手数料マスタ'!$A$5:$B$104,2,FALSE)&gt;1),"要確認",ROUND(E60*VLOOKUP(C60,'手数料マスタ'!$A$5:$B$104,2,FALSE),0)),"要確認"))</ns0:f>
        <ns0:v/>
      </ns0:c>
      <ns0:c r="G60" s="7" t="n"/>
      <ns0:c r="H60" s="7" t="n"/>
      <ns0:c r="I60" s="8" t="str">
        <ns0:f>IF(OR(B60="",J60&lt;&gt;"販売済み",D60="",E60="",G60="",H60=""),"",IF(ISNUMBER(F60),E60-D60-F60-G60-H60,"要確認"))</ns0:f>
        <ns0:v/>
      </ns0:c>
      <ns0:c r="J60" s="6" t="n"/>
      <ns0:c r="K60" s="5" t="n"/>
      <ns0:c r="L60" s="9" t="str">
        <ns0:f>IF(AND(B60&lt;&gt;"",J60="在庫"),COUNTIFS($J$5:J60,"在庫",$B$5:B60,"&lt;&gt;"),"")</ns0:f>
        <ns0:v/>
      </ns0:c>
    </ns0:row>
    <ns0:row r="61">
      <ns0:c r="A61" s="5" t="n"/>
      <ns0:c r="B61" s="6" t="n"/>
      <ns0:c r="C61" s="6" t="n"/>
      <ns0:c r="D61" s="7" t="n"/>
      <ns0:c r="E61" s="7" t="n"/>
      <ns0:c r="F61" s="8" t="str">
        <ns0:f>IF(OR(B61="",J61&lt;&gt;"販売済み",E61="",C61=""),"",IFERROR(IF(OR(COUNTIF('手数料マスタ'!$A$5:$A$104,C61)&lt;&gt;1,COUNTIFS('手数料マスタ'!$A$5:$A$104,C61,'手数料マスタ'!$B$5:$B$104,"&lt;&gt;")&lt;&gt;1,NOT(ISNUMBER(VLOOKUP(C61,'手数料マスタ'!$A$5:$B$104,2,FALSE))),VLOOKUP(C61,'手数料マスタ'!$A$5:$B$104,2,FALSE)&lt;0,VLOOKUP(C61,'手数料マスタ'!$A$5:$B$104,2,FALSE)&gt;1),"要確認",ROUND(E61*VLOOKUP(C61,'手数料マスタ'!$A$5:$B$104,2,FALSE),0)),"要確認"))</ns0:f>
        <ns0:v/>
      </ns0:c>
      <ns0:c r="G61" s="7" t="n"/>
      <ns0:c r="H61" s="7" t="n"/>
      <ns0:c r="I61" s="8" t="str">
        <ns0:f>IF(OR(B61="",J61&lt;&gt;"販売済み",D61="",E61="",G61="",H61=""),"",IF(ISNUMBER(F61),E61-D61-F61-G61-H61,"要確認"))</ns0:f>
        <ns0:v/>
      </ns0:c>
      <ns0:c r="J61" s="6" t="n"/>
      <ns0:c r="K61" s="5" t="n"/>
      <ns0:c r="L61" s="9" t="str">
        <ns0:f>IF(AND(B61&lt;&gt;"",J61="在庫"),COUNTIFS($J$5:J61,"在庫",$B$5:B61,"&lt;&gt;"),"")</ns0:f>
        <ns0:v/>
      </ns0:c>
    </ns0:row>
    <ns0:row r="62">
      <ns0:c r="A62" s="5" t="n"/>
      <ns0:c r="B62" s="6" t="n"/>
      <ns0:c r="C62" s="6" t="n"/>
      <ns0:c r="D62" s="7" t="n"/>
      <ns0:c r="E62" s="7" t="n"/>
      <ns0:c r="F62" s="8" t="str">
        <ns0:f>IF(OR(B62="",J62&lt;&gt;"販売済み",E62="",C62=""),"",IFERROR(IF(OR(COUNTIF('手数料マスタ'!$A$5:$A$104,C62)&lt;&gt;1,COUNTIFS('手数料マスタ'!$A$5:$A$104,C62,'手数料マスタ'!$B$5:$B$104,"&lt;&gt;")&lt;&gt;1,NOT(ISNUMBER(VLOOKUP(C62,'手数料マスタ'!$A$5:$B$104,2,FALSE))),VLOOKUP(C62,'手数料マスタ'!$A$5:$B$104,2,FALSE)&lt;0,VLOOKUP(C62,'手数料マスタ'!$A$5:$B$104,2,FALSE)&gt;1),"要確認",ROUND(E62*VLOOKUP(C62,'手数料マスタ'!$A$5:$B$104,2,FALSE),0)),"要確認"))</ns0:f>
        <ns0:v/>
      </ns0:c>
      <ns0:c r="G62" s="7" t="n"/>
      <ns0:c r="H62" s="7" t="n"/>
      <ns0:c r="I62" s="8" t="str">
        <ns0:f>IF(OR(B62="",J62&lt;&gt;"販売済み",D62="",E62="",G62="",H62=""),"",IF(ISNUMBER(F62),E62-D62-F62-G62-H62,"要確認"))</ns0:f>
        <ns0:v/>
      </ns0:c>
      <ns0:c r="J62" s="6" t="n"/>
      <ns0:c r="K62" s="5" t="n"/>
      <ns0:c r="L62" s="9" t="str">
        <ns0:f>IF(AND(B62&lt;&gt;"",J62="在庫"),COUNTIFS($J$5:J62,"在庫",$B$5:B62,"&lt;&gt;"),"")</ns0:f>
        <ns0:v/>
      </ns0:c>
    </ns0:row>
    <ns0:row r="63">
      <ns0:c r="A63" s="5" t="n"/>
      <ns0:c r="B63" s="6" t="n"/>
      <ns0:c r="C63" s="6" t="n"/>
      <ns0:c r="D63" s="7" t="n"/>
      <ns0:c r="E63" s="7" t="n"/>
      <ns0:c r="F63" s="8" t="str">
        <ns0:f>IF(OR(B63="",J63&lt;&gt;"販売済み",E63="",C63=""),"",IFERROR(IF(OR(COUNTIF('手数料マスタ'!$A$5:$A$104,C63)&lt;&gt;1,COUNTIFS('手数料マスタ'!$A$5:$A$104,C63,'手数料マスタ'!$B$5:$B$104,"&lt;&gt;")&lt;&gt;1,NOT(ISNUMBER(VLOOKUP(C63,'手数料マスタ'!$A$5:$B$104,2,FALSE))),VLOOKUP(C63,'手数料マスタ'!$A$5:$B$104,2,FALSE)&lt;0,VLOOKUP(C63,'手数料マスタ'!$A$5:$B$104,2,FALSE)&gt;1),"要確認",ROUND(E63*VLOOKUP(C63,'手数料マスタ'!$A$5:$B$104,2,FALSE),0)),"要確認"))</ns0:f>
        <ns0:v/>
      </ns0:c>
      <ns0:c r="G63" s="7" t="n"/>
      <ns0:c r="H63" s="7" t="n"/>
      <ns0:c r="I63" s="8" t="str">
        <ns0:f>IF(OR(B63="",J63&lt;&gt;"販売済み",D63="",E63="",G63="",H63=""),"",IF(ISNUMBER(F63),E63-D63-F63-G63-H63,"要確認"))</ns0:f>
        <ns0:v/>
      </ns0:c>
      <ns0:c r="J63" s="6" t="n"/>
      <ns0:c r="K63" s="5" t="n"/>
      <ns0:c r="L63" s="9" t="str">
        <ns0:f>IF(AND(B63&lt;&gt;"",J63="在庫"),COUNTIFS($J$5:J63,"在庫",$B$5:B63,"&lt;&gt;"),"")</ns0:f>
        <ns0:v/>
      </ns0:c>
    </ns0:row>
    <ns0:row r="64">
      <ns0:c r="A64" s="5" t="n"/>
      <ns0:c r="B64" s="6" t="n"/>
      <ns0:c r="C64" s="6" t="n"/>
      <ns0:c r="D64" s="7" t="n"/>
      <ns0:c r="E64" s="7" t="n"/>
      <ns0:c r="F64" s="8" t="str">
        <ns0:f>IF(OR(B64="",J64&lt;&gt;"販売済み",E64="",C64=""),"",IFERROR(IF(OR(COUNTIF('手数料マスタ'!$A$5:$A$104,C64)&lt;&gt;1,COUNTIFS('手数料マスタ'!$A$5:$A$104,C64,'手数料マスタ'!$B$5:$B$104,"&lt;&gt;")&lt;&gt;1,NOT(ISNUMBER(VLOOKUP(C64,'手数料マスタ'!$A$5:$B$104,2,FALSE))),VLOOKUP(C64,'手数料マスタ'!$A$5:$B$104,2,FALSE)&lt;0,VLOOKUP(C64,'手数料マスタ'!$A$5:$B$104,2,FALSE)&gt;1),"要確認",ROUND(E64*VLOOKUP(C64,'手数料マスタ'!$A$5:$B$104,2,FALSE),0)),"要確認"))</ns0:f>
        <ns0:v/>
      </ns0:c>
      <ns0:c r="G64" s="7" t="n"/>
      <ns0:c r="H64" s="7" t="n"/>
      <ns0:c r="I64" s="8" t="str">
        <ns0:f>IF(OR(B64="",J64&lt;&gt;"販売済み",D64="",E64="",G64="",H64=""),"",IF(ISNUMBER(F64),E64-D64-F64-G64-H64,"要確認"))</ns0:f>
        <ns0:v/>
      </ns0:c>
      <ns0:c r="J64" s="6" t="n"/>
      <ns0:c r="K64" s="5" t="n"/>
      <ns0:c r="L64" s="9" t="str">
        <ns0:f>IF(AND(B64&lt;&gt;"",J64="在庫"),COUNTIFS($J$5:J64,"在庫",$B$5:B64,"&lt;&gt;"),"")</ns0:f>
        <ns0:v/>
      </ns0:c>
    </ns0:row>
    <ns0:row r="65">
      <ns0:c r="A65" s="5" t="n"/>
      <ns0:c r="B65" s="6" t="n"/>
      <ns0:c r="C65" s="6" t="n"/>
      <ns0:c r="D65" s="7" t="n"/>
      <ns0:c r="E65" s="7" t="n"/>
      <ns0:c r="F65" s="8" t="str">
        <ns0:f>IF(OR(B65="",J65&lt;&gt;"販売済み",E65="",C65=""),"",IFERROR(IF(OR(COUNTIF('手数料マスタ'!$A$5:$A$104,C65)&lt;&gt;1,COUNTIFS('手数料マスタ'!$A$5:$A$104,C65,'手数料マスタ'!$B$5:$B$104,"&lt;&gt;")&lt;&gt;1,NOT(ISNUMBER(VLOOKUP(C65,'手数料マスタ'!$A$5:$B$104,2,FALSE))),VLOOKUP(C65,'手数料マスタ'!$A$5:$B$104,2,FALSE)&lt;0,VLOOKUP(C65,'手数料マスタ'!$A$5:$B$104,2,FALSE)&gt;1),"要確認",ROUND(E65*VLOOKUP(C65,'手数料マスタ'!$A$5:$B$104,2,FALSE),0)),"要確認"))</ns0:f>
        <ns0:v/>
      </ns0:c>
      <ns0:c r="G65" s="7" t="n"/>
      <ns0:c r="H65" s="7" t="n"/>
      <ns0:c r="I65" s="8" t="str">
        <ns0:f>IF(OR(B65="",J65&lt;&gt;"販売済み",D65="",E65="",G65="",H65=""),"",IF(ISNUMBER(F65),E65-D65-F65-G65-H65,"要確認"))</ns0:f>
        <ns0:v/>
      </ns0:c>
      <ns0:c r="J65" s="6" t="n"/>
      <ns0:c r="K65" s="5" t="n"/>
      <ns0:c r="L65" s="9" t="str">
        <ns0:f>IF(AND(B65&lt;&gt;"",J65="在庫"),COUNTIFS($J$5:J65,"在庫",$B$5:B65,"&lt;&gt;"),"")</ns0:f>
        <ns0:v/>
      </ns0:c>
    </ns0:row>
    <ns0:row r="66">
      <ns0:c r="A66" s="5" t="n"/>
      <ns0:c r="B66" s="6" t="n"/>
      <ns0:c r="C66" s="6" t="n"/>
      <ns0:c r="D66" s="7" t="n"/>
      <ns0:c r="E66" s="7" t="n"/>
      <ns0:c r="F66" s="8" t="str">
        <ns0:f>IF(OR(B66="",J66&lt;&gt;"販売済み",E66="",C66=""),"",IFERROR(IF(OR(COUNTIF('手数料マスタ'!$A$5:$A$104,C66)&lt;&gt;1,COUNTIFS('手数料マスタ'!$A$5:$A$104,C66,'手数料マスタ'!$B$5:$B$104,"&lt;&gt;")&lt;&gt;1,NOT(ISNUMBER(VLOOKUP(C66,'手数料マスタ'!$A$5:$B$104,2,FALSE))),VLOOKUP(C66,'手数料マスタ'!$A$5:$B$104,2,FALSE)&lt;0,VLOOKUP(C66,'手数料マスタ'!$A$5:$B$104,2,FALSE)&gt;1),"要確認",ROUND(E66*VLOOKUP(C66,'手数料マスタ'!$A$5:$B$104,2,FALSE),0)),"要確認"))</ns0:f>
        <ns0:v/>
      </ns0:c>
      <ns0:c r="G66" s="7" t="n"/>
      <ns0:c r="H66" s="7" t="n"/>
      <ns0:c r="I66" s="8" t="str">
        <ns0:f>IF(OR(B66="",J66&lt;&gt;"販売済み",D66="",E66="",G66="",H66=""),"",IF(ISNUMBER(F66),E66-D66-F66-G66-H66,"要確認"))</ns0:f>
        <ns0:v/>
      </ns0:c>
      <ns0:c r="J66" s="6" t="n"/>
      <ns0:c r="K66" s="5" t="n"/>
      <ns0:c r="L66" s="9" t="str">
        <ns0:f>IF(AND(B66&lt;&gt;"",J66="在庫"),COUNTIFS($J$5:J66,"在庫",$B$5:B66,"&lt;&gt;"),"")</ns0:f>
        <ns0:v/>
      </ns0:c>
    </ns0:row>
    <ns0:row r="67">
      <ns0:c r="A67" s="5" t="n"/>
      <ns0:c r="B67" s="6" t="n"/>
      <ns0:c r="C67" s="6" t="n"/>
      <ns0:c r="D67" s="7" t="n"/>
      <ns0:c r="E67" s="7" t="n"/>
      <ns0:c r="F67" s="8" t="str">
        <ns0:f>IF(OR(B67="",J67&lt;&gt;"販売済み",E67="",C67=""),"",IFERROR(IF(OR(COUNTIF('手数料マスタ'!$A$5:$A$104,C67)&lt;&gt;1,COUNTIFS('手数料マスタ'!$A$5:$A$104,C67,'手数料マスタ'!$B$5:$B$104,"&lt;&gt;")&lt;&gt;1,NOT(ISNUMBER(VLOOKUP(C67,'手数料マスタ'!$A$5:$B$104,2,FALSE))),VLOOKUP(C67,'手数料マスタ'!$A$5:$B$104,2,FALSE)&lt;0,VLOOKUP(C67,'手数料マスタ'!$A$5:$B$104,2,FALSE)&gt;1),"要確認",ROUND(E67*VLOOKUP(C67,'手数料マスタ'!$A$5:$B$104,2,FALSE),0)),"要確認"))</ns0:f>
        <ns0:v/>
      </ns0:c>
      <ns0:c r="G67" s="7" t="n"/>
      <ns0:c r="H67" s="7" t="n"/>
      <ns0:c r="I67" s="8" t="str">
        <ns0:f>IF(OR(B67="",J67&lt;&gt;"販売済み",D67="",E67="",G67="",H67=""),"",IF(ISNUMBER(F67),E67-D67-F67-G67-H67,"要確認"))</ns0:f>
        <ns0:v/>
      </ns0:c>
      <ns0:c r="J67" s="6" t="n"/>
      <ns0:c r="K67" s="5" t="n"/>
      <ns0:c r="L67" s="9" t="str">
        <ns0:f>IF(AND(B67&lt;&gt;"",J67="在庫"),COUNTIFS($J$5:J67,"在庫",$B$5:B67,"&lt;&gt;"),"")</ns0:f>
        <ns0:v/>
      </ns0:c>
    </ns0:row>
    <ns0:row r="68">
      <ns0:c r="A68" s="5" t="n"/>
      <ns0:c r="B68" s="6" t="n"/>
      <ns0:c r="C68" s="6" t="n"/>
      <ns0:c r="D68" s="7" t="n"/>
      <ns0:c r="E68" s="7" t="n"/>
      <ns0:c r="F68" s="8" t="str">
        <ns0:f>IF(OR(B68="",J68&lt;&gt;"販売済み",E68="",C68=""),"",IFERROR(IF(OR(COUNTIF('手数料マスタ'!$A$5:$A$104,C68)&lt;&gt;1,COUNTIFS('手数料マスタ'!$A$5:$A$104,C68,'手数料マスタ'!$B$5:$B$104,"&lt;&gt;")&lt;&gt;1,NOT(ISNUMBER(VLOOKUP(C68,'手数料マスタ'!$A$5:$B$104,2,FALSE))),VLOOKUP(C68,'手数料マスタ'!$A$5:$B$104,2,FALSE)&lt;0,VLOOKUP(C68,'手数料マスタ'!$A$5:$B$104,2,FALSE)&gt;1),"要確認",ROUND(E68*VLOOKUP(C68,'手数料マスタ'!$A$5:$B$104,2,FALSE),0)),"要確認"))</ns0:f>
        <ns0:v/>
      </ns0:c>
      <ns0:c r="G68" s="7" t="n"/>
      <ns0:c r="H68" s="7" t="n"/>
      <ns0:c r="I68" s="8" t="str">
        <ns0:f>IF(OR(B68="",J68&lt;&gt;"販売済み",D68="",E68="",G68="",H68=""),"",IF(ISNUMBER(F68),E68-D68-F68-G68-H68,"要確認"))</ns0:f>
        <ns0:v/>
      </ns0:c>
      <ns0:c r="J68" s="6" t="n"/>
      <ns0:c r="K68" s="5" t="n"/>
      <ns0:c r="L68" s="9" t="str">
        <ns0:f>IF(AND(B68&lt;&gt;"",J68="在庫"),COUNTIFS($J$5:J68,"在庫",$B$5:B68,"&lt;&gt;"),"")</ns0:f>
        <ns0:v/>
      </ns0:c>
    </ns0:row>
    <ns0:row r="69">
      <ns0:c r="A69" s="5" t="n"/>
      <ns0:c r="B69" s="6" t="n"/>
      <ns0:c r="C69" s="6" t="n"/>
      <ns0:c r="D69" s="7" t="n"/>
      <ns0:c r="E69" s="7" t="n"/>
      <ns0:c r="F69" s="8" t="str">
        <ns0:f>IF(OR(B69="",J69&lt;&gt;"販売済み",E69="",C69=""),"",IFERROR(IF(OR(COUNTIF('手数料マスタ'!$A$5:$A$104,C69)&lt;&gt;1,COUNTIFS('手数料マスタ'!$A$5:$A$104,C69,'手数料マスタ'!$B$5:$B$104,"&lt;&gt;")&lt;&gt;1,NOT(ISNUMBER(VLOOKUP(C69,'手数料マスタ'!$A$5:$B$104,2,FALSE))),VLOOKUP(C69,'手数料マスタ'!$A$5:$B$104,2,FALSE)&lt;0,VLOOKUP(C69,'手数料マスタ'!$A$5:$B$104,2,FALSE)&gt;1),"要確認",ROUND(E69*VLOOKUP(C69,'手数料マスタ'!$A$5:$B$104,2,FALSE),0)),"要確認"))</ns0:f>
        <ns0:v/>
      </ns0:c>
      <ns0:c r="G69" s="7" t="n"/>
      <ns0:c r="H69" s="7" t="n"/>
      <ns0:c r="I69" s="8" t="str">
        <ns0:f>IF(OR(B69="",J69&lt;&gt;"販売済み",D69="",E69="",G69="",H69=""),"",IF(ISNUMBER(F69),E69-D69-F69-G69-H69,"要確認"))</ns0:f>
        <ns0:v/>
      </ns0:c>
      <ns0:c r="J69" s="6" t="n"/>
      <ns0:c r="K69" s="5" t="n"/>
      <ns0:c r="L69" s="9" t="str">
        <ns0:f>IF(AND(B69&lt;&gt;"",J69="在庫"),COUNTIFS($J$5:J69,"在庫",$B$5:B69,"&lt;&gt;"),"")</ns0:f>
        <ns0:v/>
      </ns0:c>
    </ns0:row>
    <ns0:row r="70">
      <ns0:c r="A70" s="5" t="n"/>
      <ns0:c r="B70" s="6" t="n"/>
      <ns0:c r="C70" s="6" t="n"/>
      <ns0:c r="D70" s="7" t="n"/>
      <ns0:c r="E70" s="7" t="n"/>
      <ns0:c r="F70" s="8" t="str">
        <ns0:f>IF(OR(B70="",J70&lt;&gt;"販売済み",E70="",C70=""),"",IFERROR(IF(OR(COUNTIF('手数料マスタ'!$A$5:$A$104,C70)&lt;&gt;1,COUNTIFS('手数料マスタ'!$A$5:$A$104,C70,'手数料マスタ'!$B$5:$B$104,"&lt;&gt;")&lt;&gt;1,NOT(ISNUMBER(VLOOKUP(C70,'手数料マスタ'!$A$5:$B$104,2,FALSE))),VLOOKUP(C70,'手数料マスタ'!$A$5:$B$104,2,FALSE)&lt;0,VLOOKUP(C70,'手数料マスタ'!$A$5:$B$104,2,FALSE)&gt;1),"要確認",ROUND(E70*VLOOKUP(C70,'手数料マスタ'!$A$5:$B$104,2,FALSE),0)),"要確認"))</ns0:f>
        <ns0:v/>
      </ns0:c>
      <ns0:c r="G70" s="7" t="n"/>
      <ns0:c r="H70" s="7" t="n"/>
      <ns0:c r="I70" s="8" t="str">
        <ns0:f>IF(OR(B70="",J70&lt;&gt;"販売済み",D70="",E70="",G70="",H70=""),"",IF(ISNUMBER(F70),E70-D70-F70-G70-H70,"要確認"))</ns0:f>
        <ns0:v/>
      </ns0:c>
      <ns0:c r="J70" s="6" t="n"/>
      <ns0:c r="K70" s="5" t="n"/>
      <ns0:c r="L70" s="9" t="str">
        <ns0:f>IF(AND(B70&lt;&gt;"",J70="在庫"),COUNTIFS($J$5:J70,"在庫",$B$5:B70,"&lt;&gt;"),"")</ns0:f>
        <ns0:v/>
      </ns0:c>
    </ns0:row>
    <ns0:row r="71">
      <ns0:c r="A71" s="5" t="n"/>
      <ns0:c r="B71" s="6" t="n"/>
      <ns0:c r="C71" s="6" t="n"/>
      <ns0:c r="D71" s="7" t="n"/>
      <ns0:c r="E71" s="7" t="n"/>
      <ns0:c r="F71" s="8" t="str">
        <ns0:f>IF(OR(B71="",J71&lt;&gt;"販売済み",E71="",C71=""),"",IFERROR(IF(OR(COUNTIF('手数料マスタ'!$A$5:$A$104,C71)&lt;&gt;1,COUNTIFS('手数料マスタ'!$A$5:$A$104,C71,'手数料マスタ'!$B$5:$B$104,"&lt;&gt;")&lt;&gt;1,NOT(ISNUMBER(VLOOKUP(C71,'手数料マスタ'!$A$5:$B$104,2,FALSE))),VLOOKUP(C71,'手数料マスタ'!$A$5:$B$104,2,FALSE)&lt;0,VLOOKUP(C71,'手数料マスタ'!$A$5:$B$104,2,FALSE)&gt;1),"要確認",ROUND(E71*VLOOKUP(C71,'手数料マスタ'!$A$5:$B$104,2,FALSE),0)),"要確認"))</ns0:f>
        <ns0:v/>
      </ns0:c>
      <ns0:c r="G71" s="7" t="n"/>
      <ns0:c r="H71" s="7" t="n"/>
      <ns0:c r="I71" s="8" t="str">
        <ns0:f>IF(OR(B71="",J71&lt;&gt;"販売済み",D71="",E71="",G71="",H71=""),"",IF(ISNUMBER(F71),E71-D71-F71-G71-H71,"要確認"))</ns0:f>
        <ns0:v/>
      </ns0:c>
      <ns0:c r="J71" s="6" t="n"/>
      <ns0:c r="K71" s="5" t="n"/>
      <ns0:c r="L71" s="9" t="str">
        <ns0:f>IF(AND(B71&lt;&gt;"",J71="在庫"),COUNTIFS($J$5:J71,"在庫",$B$5:B71,"&lt;&gt;"),"")</ns0:f>
        <ns0:v/>
      </ns0:c>
    </ns0:row>
    <ns0:row r="72">
      <ns0:c r="A72" s="5" t="n"/>
      <ns0:c r="B72" s="6" t="n"/>
      <ns0:c r="C72" s="6" t="n"/>
      <ns0:c r="D72" s="7" t="n"/>
      <ns0:c r="E72" s="7" t="n"/>
      <ns0:c r="F72" s="8" t="str">
        <ns0:f>IF(OR(B72="",J72&lt;&gt;"販売済み",E72="",C72=""),"",IFERROR(IF(OR(COUNTIF('手数料マスタ'!$A$5:$A$104,C72)&lt;&gt;1,COUNTIFS('手数料マスタ'!$A$5:$A$104,C72,'手数料マスタ'!$B$5:$B$104,"&lt;&gt;")&lt;&gt;1,NOT(ISNUMBER(VLOOKUP(C72,'手数料マスタ'!$A$5:$B$104,2,FALSE))),VLOOKUP(C72,'手数料マスタ'!$A$5:$B$104,2,FALSE)&lt;0,VLOOKUP(C72,'手数料マスタ'!$A$5:$B$104,2,FALSE)&gt;1),"要確認",ROUND(E72*VLOOKUP(C72,'手数料マスタ'!$A$5:$B$104,2,FALSE),0)),"要確認"))</ns0:f>
        <ns0:v/>
      </ns0:c>
      <ns0:c r="G72" s="7" t="n"/>
      <ns0:c r="H72" s="7" t="n"/>
      <ns0:c r="I72" s="8" t="str">
        <ns0:f>IF(OR(B72="",J72&lt;&gt;"販売済み",D72="",E72="",G72="",H72=""),"",IF(ISNUMBER(F72),E72-D72-F72-G72-H72,"要確認"))</ns0:f>
        <ns0:v/>
      </ns0:c>
      <ns0:c r="J72" s="6" t="n"/>
      <ns0:c r="K72" s="5" t="n"/>
      <ns0:c r="L72" s="9" t="str">
        <ns0:f>IF(AND(B72&lt;&gt;"",J72="在庫"),COUNTIFS($J$5:J72,"在庫",$B$5:B72,"&lt;&gt;"),"")</ns0:f>
        <ns0:v/>
      </ns0:c>
    </ns0:row>
    <ns0:row r="73">
      <ns0:c r="A73" s="5" t="n"/>
      <ns0:c r="B73" s="6" t="n"/>
      <ns0:c r="C73" s="6" t="n"/>
      <ns0:c r="D73" s="7" t="n"/>
      <ns0:c r="E73" s="7" t="n"/>
      <ns0:c r="F73" s="8" t="str">
        <ns0:f>IF(OR(B73="",J73&lt;&gt;"販売済み",E73="",C73=""),"",IFERROR(IF(OR(COUNTIF('手数料マスタ'!$A$5:$A$104,C73)&lt;&gt;1,COUNTIFS('手数料マスタ'!$A$5:$A$104,C73,'手数料マスタ'!$B$5:$B$104,"&lt;&gt;")&lt;&gt;1,NOT(ISNUMBER(VLOOKUP(C73,'手数料マスタ'!$A$5:$B$104,2,FALSE))),VLOOKUP(C73,'手数料マスタ'!$A$5:$B$104,2,FALSE)&lt;0,VLOOKUP(C73,'手数料マスタ'!$A$5:$B$104,2,FALSE)&gt;1),"要確認",ROUND(E73*VLOOKUP(C73,'手数料マスタ'!$A$5:$B$104,2,FALSE),0)),"要確認"))</ns0:f>
        <ns0:v/>
      </ns0:c>
      <ns0:c r="G73" s="7" t="n"/>
      <ns0:c r="H73" s="7" t="n"/>
      <ns0:c r="I73" s="8" t="str">
        <ns0:f>IF(OR(B73="",J73&lt;&gt;"販売済み",D73="",E73="",G73="",H73=""),"",IF(ISNUMBER(F73),E73-D73-F73-G73-H73,"要確認"))</ns0:f>
        <ns0:v/>
      </ns0:c>
      <ns0:c r="J73" s="6" t="n"/>
      <ns0:c r="K73" s="5" t="n"/>
      <ns0:c r="L73" s="9" t="str">
        <ns0:f>IF(AND(B73&lt;&gt;"",J73="在庫"),COUNTIFS($J$5:J73,"在庫",$B$5:B73,"&lt;&gt;"),"")</ns0:f>
        <ns0:v/>
      </ns0:c>
    </ns0:row>
    <ns0:row r="74">
      <ns0:c r="A74" s="5" t="n"/>
      <ns0:c r="B74" s="6" t="n"/>
      <ns0:c r="C74" s="6" t="n"/>
      <ns0:c r="D74" s="7" t="n"/>
      <ns0:c r="E74" s="7" t="n"/>
      <ns0:c r="F74" s="8" t="str">
        <ns0:f>IF(OR(B74="",J74&lt;&gt;"販売済み",E74="",C74=""),"",IFERROR(IF(OR(COUNTIF('手数料マスタ'!$A$5:$A$104,C74)&lt;&gt;1,COUNTIFS('手数料マスタ'!$A$5:$A$104,C74,'手数料マスタ'!$B$5:$B$104,"&lt;&gt;")&lt;&gt;1,NOT(ISNUMBER(VLOOKUP(C74,'手数料マスタ'!$A$5:$B$104,2,FALSE))),VLOOKUP(C74,'手数料マスタ'!$A$5:$B$104,2,FALSE)&lt;0,VLOOKUP(C74,'手数料マスタ'!$A$5:$B$104,2,FALSE)&gt;1),"要確認",ROUND(E74*VLOOKUP(C74,'手数料マスタ'!$A$5:$B$104,2,FALSE),0)),"要確認"))</ns0:f>
        <ns0:v/>
      </ns0:c>
      <ns0:c r="G74" s="7" t="n"/>
      <ns0:c r="H74" s="7" t="n"/>
      <ns0:c r="I74" s="8" t="str">
        <ns0:f>IF(OR(B74="",J74&lt;&gt;"販売済み",D74="",E74="",G74="",H74=""),"",IF(ISNUMBER(F74),E74-D74-F74-G74-H74,"要確認"))</ns0:f>
        <ns0:v/>
      </ns0:c>
      <ns0:c r="J74" s="6" t="n"/>
      <ns0:c r="K74" s="5" t="n"/>
      <ns0:c r="L74" s="9" t="str">
        <ns0:f>IF(AND(B74&lt;&gt;"",J74="在庫"),COUNTIFS($J$5:J74,"在庫",$B$5:B74,"&lt;&gt;"),"")</ns0:f>
        <ns0:v/>
      </ns0:c>
    </ns0:row>
    <ns0:row r="75">
      <ns0:c r="A75" s="5" t="n"/>
      <ns0:c r="B75" s="6" t="n"/>
      <ns0:c r="C75" s="6" t="n"/>
      <ns0:c r="D75" s="7" t="n"/>
      <ns0:c r="E75" s="7" t="n"/>
      <ns0:c r="F75" s="8" t="str">
        <ns0:f>IF(OR(B75="",J75&lt;&gt;"販売済み",E75="",C75=""),"",IFERROR(IF(OR(COUNTIF('手数料マスタ'!$A$5:$A$104,C75)&lt;&gt;1,COUNTIFS('手数料マスタ'!$A$5:$A$104,C75,'手数料マスタ'!$B$5:$B$104,"&lt;&gt;")&lt;&gt;1,NOT(ISNUMBER(VLOOKUP(C75,'手数料マスタ'!$A$5:$B$104,2,FALSE))),VLOOKUP(C75,'手数料マスタ'!$A$5:$B$104,2,FALSE)&lt;0,VLOOKUP(C75,'手数料マスタ'!$A$5:$B$104,2,FALSE)&gt;1),"要確認",ROUND(E75*VLOOKUP(C75,'手数料マスタ'!$A$5:$B$104,2,FALSE),0)),"要確認"))</ns0:f>
        <ns0:v/>
      </ns0:c>
      <ns0:c r="G75" s="7" t="n"/>
      <ns0:c r="H75" s="7" t="n"/>
      <ns0:c r="I75" s="8" t="str">
        <ns0:f>IF(OR(B75="",J75&lt;&gt;"販売済み",D75="",E75="",G75="",H75=""),"",IF(ISNUMBER(F75),E75-D75-F75-G75-H75,"要確認"))</ns0:f>
        <ns0:v/>
      </ns0:c>
      <ns0:c r="J75" s="6" t="n"/>
      <ns0:c r="K75" s="5" t="n"/>
      <ns0:c r="L75" s="9" t="str">
        <ns0:f>IF(AND(B75&lt;&gt;"",J75="在庫"),COUNTIFS($J$5:J75,"在庫",$B$5:B75,"&lt;&gt;"),"")</ns0:f>
        <ns0:v/>
      </ns0:c>
    </ns0:row>
    <ns0:row r="76">
      <ns0:c r="A76" s="5" t="n"/>
      <ns0:c r="B76" s="6" t="n"/>
      <ns0:c r="C76" s="6" t="n"/>
      <ns0:c r="D76" s="7" t="n"/>
      <ns0:c r="E76" s="7" t="n"/>
      <ns0:c r="F76" s="8" t="str">
        <ns0:f>IF(OR(B76="",J76&lt;&gt;"販売済み",E76="",C76=""),"",IFERROR(IF(OR(COUNTIF('手数料マスタ'!$A$5:$A$104,C76)&lt;&gt;1,COUNTIFS('手数料マスタ'!$A$5:$A$104,C76,'手数料マスタ'!$B$5:$B$104,"&lt;&gt;")&lt;&gt;1,NOT(ISNUMBER(VLOOKUP(C76,'手数料マスタ'!$A$5:$B$104,2,FALSE))),VLOOKUP(C76,'手数料マスタ'!$A$5:$B$104,2,FALSE)&lt;0,VLOOKUP(C76,'手数料マスタ'!$A$5:$B$104,2,FALSE)&gt;1),"要確認",ROUND(E76*VLOOKUP(C76,'手数料マスタ'!$A$5:$B$104,2,FALSE),0)),"要確認"))</ns0:f>
        <ns0:v/>
      </ns0:c>
      <ns0:c r="G76" s="7" t="n"/>
      <ns0:c r="H76" s="7" t="n"/>
      <ns0:c r="I76" s="8" t="str">
        <ns0:f>IF(OR(B76="",J76&lt;&gt;"販売済み",D76="",E76="",G76="",H76=""),"",IF(ISNUMBER(F76),E76-D76-F76-G76-H76,"要確認"))</ns0:f>
        <ns0:v/>
      </ns0:c>
      <ns0:c r="J76" s="6" t="n"/>
      <ns0:c r="K76" s="5" t="n"/>
      <ns0:c r="L76" s="9" t="str">
        <ns0:f>IF(AND(B76&lt;&gt;"",J76="在庫"),COUNTIFS($J$5:J76,"在庫",$B$5:B76,"&lt;&gt;"),"")</ns0:f>
        <ns0:v/>
      </ns0:c>
    </ns0:row>
    <ns0:row r="77">
      <ns0:c r="A77" s="5" t="n"/>
      <ns0:c r="B77" s="6" t="n"/>
      <ns0:c r="C77" s="6" t="n"/>
      <ns0:c r="D77" s="7" t="n"/>
      <ns0:c r="E77" s="7" t="n"/>
      <ns0:c r="F77" s="8" t="str">
        <ns0:f>IF(OR(B77="",J77&lt;&gt;"販売済み",E77="",C77=""),"",IFERROR(IF(OR(COUNTIF('手数料マスタ'!$A$5:$A$104,C77)&lt;&gt;1,COUNTIFS('手数料マスタ'!$A$5:$A$104,C77,'手数料マスタ'!$B$5:$B$104,"&lt;&gt;")&lt;&gt;1,NOT(ISNUMBER(VLOOKUP(C77,'手数料マスタ'!$A$5:$B$104,2,FALSE))),VLOOKUP(C77,'手数料マスタ'!$A$5:$B$104,2,FALSE)&lt;0,VLOOKUP(C77,'手数料マスタ'!$A$5:$B$104,2,FALSE)&gt;1),"要確認",ROUND(E77*VLOOKUP(C77,'手数料マスタ'!$A$5:$B$104,2,FALSE),0)),"要確認"))</ns0:f>
        <ns0:v/>
      </ns0:c>
      <ns0:c r="G77" s="7" t="n"/>
      <ns0:c r="H77" s="7" t="n"/>
      <ns0:c r="I77" s="8" t="str">
        <ns0:f>IF(OR(B77="",J77&lt;&gt;"販売済み",D77="",E77="",G77="",H77=""),"",IF(ISNUMBER(F77),E77-D77-F77-G77-H77,"要確認"))</ns0:f>
        <ns0:v/>
      </ns0:c>
      <ns0:c r="J77" s="6" t="n"/>
      <ns0:c r="K77" s="5" t="n"/>
      <ns0:c r="L77" s="9" t="str">
        <ns0:f>IF(AND(B77&lt;&gt;"",J77="在庫"),COUNTIFS($J$5:J77,"在庫",$B$5:B77,"&lt;&gt;"),"")</ns0:f>
        <ns0:v/>
      </ns0:c>
    </ns0:row>
    <ns0:row r="78">
      <ns0:c r="A78" s="5" t="n"/>
      <ns0:c r="B78" s="6" t="n"/>
      <ns0:c r="C78" s="6" t="n"/>
      <ns0:c r="D78" s="7" t="n"/>
      <ns0:c r="E78" s="7" t="n"/>
      <ns0:c r="F78" s="8" t="str">
        <ns0:f>IF(OR(B78="",J78&lt;&gt;"販売済み",E78="",C78=""),"",IFERROR(IF(OR(COUNTIF('手数料マスタ'!$A$5:$A$104,C78)&lt;&gt;1,COUNTIFS('手数料マスタ'!$A$5:$A$104,C78,'手数料マスタ'!$B$5:$B$104,"&lt;&gt;")&lt;&gt;1,NOT(ISNUMBER(VLOOKUP(C78,'手数料マスタ'!$A$5:$B$104,2,FALSE))),VLOOKUP(C78,'手数料マスタ'!$A$5:$B$104,2,FALSE)&lt;0,VLOOKUP(C78,'手数料マスタ'!$A$5:$B$104,2,FALSE)&gt;1),"要確認",ROUND(E78*VLOOKUP(C78,'手数料マスタ'!$A$5:$B$104,2,FALSE),0)),"要確認"))</ns0:f>
        <ns0:v/>
      </ns0:c>
      <ns0:c r="G78" s="7" t="n"/>
      <ns0:c r="H78" s="7" t="n"/>
      <ns0:c r="I78" s="8" t="str">
        <ns0:f>IF(OR(B78="",J78&lt;&gt;"販売済み",D78="",E78="",G78="",H78=""),"",IF(ISNUMBER(F78),E78-D78-F78-G78-H78,"要確認"))</ns0:f>
        <ns0:v/>
      </ns0:c>
      <ns0:c r="J78" s="6" t="n"/>
      <ns0:c r="K78" s="5" t="n"/>
      <ns0:c r="L78" s="9" t="str">
        <ns0:f>IF(AND(B78&lt;&gt;"",J78="在庫"),COUNTIFS($J$5:J78,"在庫",$B$5:B78,"&lt;&gt;"),"")</ns0:f>
        <ns0:v/>
      </ns0:c>
    </ns0:row>
    <ns0:row r="79">
      <ns0:c r="A79" s="5" t="n"/>
      <ns0:c r="B79" s="6" t="n"/>
      <ns0:c r="C79" s="6" t="n"/>
      <ns0:c r="D79" s="7" t="n"/>
      <ns0:c r="E79" s="7" t="n"/>
      <ns0:c r="F79" s="8" t="str">
        <ns0:f>IF(OR(B79="",J79&lt;&gt;"販売済み",E79="",C79=""),"",IFERROR(IF(OR(COUNTIF('手数料マスタ'!$A$5:$A$104,C79)&lt;&gt;1,COUNTIFS('手数料マスタ'!$A$5:$A$104,C79,'手数料マスタ'!$B$5:$B$104,"&lt;&gt;")&lt;&gt;1,NOT(ISNUMBER(VLOOKUP(C79,'手数料マスタ'!$A$5:$B$104,2,FALSE))),VLOOKUP(C79,'手数料マスタ'!$A$5:$B$104,2,FALSE)&lt;0,VLOOKUP(C79,'手数料マスタ'!$A$5:$B$104,2,FALSE)&gt;1),"要確認",ROUND(E79*VLOOKUP(C79,'手数料マスタ'!$A$5:$B$104,2,FALSE),0)),"要確認"))</ns0:f>
        <ns0:v/>
      </ns0:c>
      <ns0:c r="G79" s="7" t="n"/>
      <ns0:c r="H79" s="7" t="n"/>
      <ns0:c r="I79" s="8" t="str">
        <ns0:f>IF(OR(B79="",J79&lt;&gt;"販売済み",D79="",E79="",G79="",H79=""),"",IF(ISNUMBER(F79),E79-D79-F79-G79-H79,"要確認"))</ns0:f>
        <ns0:v/>
      </ns0:c>
      <ns0:c r="J79" s="6" t="n"/>
      <ns0:c r="K79" s="5" t="n"/>
      <ns0:c r="L79" s="9" t="str">
        <ns0:f>IF(AND(B79&lt;&gt;"",J79="在庫"),COUNTIFS($J$5:J79,"在庫",$B$5:B79,"&lt;&gt;"),"")</ns0:f>
        <ns0:v/>
      </ns0:c>
    </ns0:row>
    <ns0:row r="80">
      <ns0:c r="A80" s="5" t="n"/>
      <ns0:c r="B80" s="6" t="n"/>
      <ns0:c r="C80" s="6" t="n"/>
      <ns0:c r="D80" s="7" t="n"/>
      <ns0:c r="E80" s="7" t="n"/>
      <ns0:c r="F80" s="8" t="str">
        <ns0:f>IF(OR(B80="",J80&lt;&gt;"販売済み",E80="",C80=""),"",IFERROR(IF(OR(COUNTIF('手数料マスタ'!$A$5:$A$104,C80)&lt;&gt;1,COUNTIFS('手数料マスタ'!$A$5:$A$104,C80,'手数料マスタ'!$B$5:$B$104,"&lt;&gt;")&lt;&gt;1,NOT(ISNUMBER(VLOOKUP(C80,'手数料マスタ'!$A$5:$B$104,2,FALSE))),VLOOKUP(C80,'手数料マスタ'!$A$5:$B$104,2,FALSE)&lt;0,VLOOKUP(C80,'手数料マスタ'!$A$5:$B$104,2,FALSE)&gt;1),"要確認",ROUND(E80*VLOOKUP(C80,'手数料マスタ'!$A$5:$B$104,2,FALSE),0)),"要確認"))</ns0:f>
        <ns0:v/>
      </ns0:c>
      <ns0:c r="G80" s="7" t="n"/>
      <ns0:c r="H80" s="7" t="n"/>
      <ns0:c r="I80" s="8" t="str">
        <ns0:f>IF(OR(B80="",J80&lt;&gt;"販売済み",D80="",E80="",G80="",H80=""),"",IF(ISNUMBER(F80),E80-D80-F80-G80-H80,"要確認"))</ns0:f>
        <ns0:v/>
      </ns0:c>
      <ns0:c r="J80" s="6" t="n"/>
      <ns0:c r="K80" s="5" t="n"/>
      <ns0:c r="L80" s="9" t="str">
        <ns0:f>IF(AND(B80&lt;&gt;"",J80="在庫"),COUNTIFS($J$5:J80,"在庫",$B$5:B80,"&lt;&gt;"),"")</ns0:f>
        <ns0:v/>
      </ns0:c>
    </ns0:row>
    <ns0:row r="81">
      <ns0:c r="A81" s="5" t="n"/>
      <ns0:c r="B81" s="6" t="n"/>
      <ns0:c r="C81" s="6" t="n"/>
      <ns0:c r="D81" s="7" t="n"/>
      <ns0:c r="E81" s="7" t="n"/>
      <ns0:c r="F81" s="8" t="str">
        <ns0:f>IF(OR(B81="",J81&lt;&gt;"販売済み",E81="",C81=""),"",IFERROR(IF(OR(COUNTIF('手数料マスタ'!$A$5:$A$104,C81)&lt;&gt;1,COUNTIFS('手数料マスタ'!$A$5:$A$104,C81,'手数料マスタ'!$B$5:$B$104,"&lt;&gt;")&lt;&gt;1,NOT(ISNUMBER(VLOOKUP(C81,'手数料マスタ'!$A$5:$B$104,2,FALSE))),VLOOKUP(C81,'手数料マスタ'!$A$5:$B$104,2,FALSE)&lt;0,VLOOKUP(C81,'手数料マスタ'!$A$5:$B$104,2,FALSE)&gt;1),"要確認",ROUND(E81*VLOOKUP(C81,'手数料マスタ'!$A$5:$B$104,2,FALSE),0)),"要確認"))</ns0:f>
        <ns0:v/>
      </ns0:c>
      <ns0:c r="G81" s="7" t="n"/>
      <ns0:c r="H81" s="7" t="n"/>
      <ns0:c r="I81" s="8" t="str">
        <ns0:f>IF(OR(B81="",J81&lt;&gt;"販売済み",D81="",E81="",G81="",H81=""),"",IF(ISNUMBER(F81),E81-D81-F81-G81-H81,"要確認"))</ns0:f>
        <ns0:v/>
      </ns0:c>
      <ns0:c r="J81" s="6" t="n"/>
      <ns0:c r="K81" s="5" t="n"/>
      <ns0:c r="L81" s="9" t="str">
        <ns0:f>IF(AND(B81&lt;&gt;"",J81="在庫"),COUNTIFS($J$5:J81,"在庫",$B$5:B81,"&lt;&gt;"),"")</ns0:f>
        <ns0:v/>
      </ns0:c>
    </ns0:row>
    <ns0:row r="82">
      <ns0:c r="A82" s="5" t="n"/>
      <ns0:c r="B82" s="6" t="n"/>
      <ns0:c r="C82" s="6" t="n"/>
      <ns0:c r="D82" s="7" t="n"/>
      <ns0:c r="E82" s="7" t="n"/>
      <ns0:c r="F82" s="8" t="str">
        <ns0:f>IF(OR(B82="",J82&lt;&gt;"販売済み",E82="",C82=""),"",IFERROR(IF(OR(COUNTIF('手数料マスタ'!$A$5:$A$104,C82)&lt;&gt;1,COUNTIFS('手数料マスタ'!$A$5:$A$104,C82,'手数料マスタ'!$B$5:$B$104,"&lt;&gt;")&lt;&gt;1,NOT(ISNUMBER(VLOOKUP(C82,'手数料マスタ'!$A$5:$B$104,2,FALSE))),VLOOKUP(C82,'手数料マスタ'!$A$5:$B$104,2,FALSE)&lt;0,VLOOKUP(C82,'手数料マスタ'!$A$5:$B$104,2,FALSE)&gt;1),"要確認",ROUND(E82*VLOOKUP(C82,'手数料マスタ'!$A$5:$B$104,2,FALSE),0)),"要確認"))</ns0:f>
        <ns0:v/>
      </ns0:c>
      <ns0:c r="G82" s="7" t="n"/>
      <ns0:c r="H82" s="7" t="n"/>
      <ns0:c r="I82" s="8" t="str">
        <ns0:f>IF(OR(B82="",J82&lt;&gt;"販売済み",D82="",E82="",G82="",H82=""),"",IF(ISNUMBER(F82),E82-D82-F82-G82-H82,"要確認"))</ns0:f>
        <ns0:v/>
      </ns0:c>
      <ns0:c r="J82" s="6" t="n"/>
      <ns0:c r="K82" s="5" t="n"/>
      <ns0:c r="L82" s="9" t="str">
        <ns0:f>IF(AND(B82&lt;&gt;"",J82="在庫"),COUNTIFS($J$5:J82,"在庫",$B$5:B82,"&lt;&gt;"),"")</ns0:f>
        <ns0:v/>
      </ns0:c>
    </ns0:row>
    <ns0:row r="83">
      <ns0:c r="A83" s="5" t="n"/>
      <ns0:c r="B83" s="6" t="n"/>
      <ns0:c r="C83" s="6" t="n"/>
      <ns0:c r="D83" s="7" t="n"/>
      <ns0:c r="E83" s="7" t="n"/>
      <ns0:c r="F83" s="8" t="str">
        <ns0:f>IF(OR(B83="",J83&lt;&gt;"販売済み",E83="",C83=""),"",IFERROR(IF(OR(COUNTIF('手数料マスタ'!$A$5:$A$104,C83)&lt;&gt;1,COUNTIFS('手数料マスタ'!$A$5:$A$104,C83,'手数料マスタ'!$B$5:$B$104,"&lt;&gt;")&lt;&gt;1,NOT(ISNUMBER(VLOOKUP(C83,'手数料マスタ'!$A$5:$B$104,2,FALSE))),VLOOKUP(C83,'手数料マスタ'!$A$5:$B$104,2,FALSE)&lt;0,VLOOKUP(C83,'手数料マスタ'!$A$5:$B$104,2,FALSE)&gt;1),"要確認",ROUND(E83*VLOOKUP(C83,'手数料マスタ'!$A$5:$B$104,2,FALSE),0)),"要確認"))</ns0:f>
        <ns0:v/>
      </ns0:c>
      <ns0:c r="G83" s="7" t="n"/>
      <ns0:c r="H83" s="7" t="n"/>
      <ns0:c r="I83" s="8" t="str">
        <ns0:f>IF(OR(B83="",J83&lt;&gt;"販売済み",D83="",E83="",G83="",H83=""),"",IF(ISNUMBER(F83),E83-D83-F83-G83-H83,"要確認"))</ns0:f>
        <ns0:v/>
      </ns0:c>
      <ns0:c r="J83" s="6" t="n"/>
      <ns0:c r="K83" s="5" t="n"/>
      <ns0:c r="L83" s="9" t="str">
        <ns0:f>IF(AND(B83&lt;&gt;"",J83="在庫"),COUNTIFS($J$5:J83,"在庫",$B$5:B83,"&lt;&gt;"),"")</ns0:f>
        <ns0:v/>
      </ns0:c>
    </ns0:row>
    <ns0:row r="84">
      <ns0:c r="A84" s="5" t="n"/>
      <ns0:c r="B84" s="6" t="n"/>
      <ns0:c r="C84" s="6" t="n"/>
      <ns0:c r="D84" s="7" t="n"/>
      <ns0:c r="E84" s="7" t="n"/>
      <ns0:c r="F84" s="8" t="str">
        <ns0:f>IF(OR(B84="",J84&lt;&gt;"販売済み",E84="",C84=""),"",IFERROR(IF(OR(COUNTIF('手数料マスタ'!$A$5:$A$104,C84)&lt;&gt;1,COUNTIFS('手数料マスタ'!$A$5:$A$104,C84,'手数料マスタ'!$B$5:$B$104,"&lt;&gt;")&lt;&gt;1,NOT(ISNUMBER(VLOOKUP(C84,'手数料マスタ'!$A$5:$B$104,2,FALSE))),VLOOKUP(C84,'手数料マスタ'!$A$5:$B$104,2,FALSE)&lt;0,VLOOKUP(C84,'手数料マスタ'!$A$5:$B$104,2,FALSE)&gt;1),"要確認",ROUND(E84*VLOOKUP(C84,'手数料マスタ'!$A$5:$B$104,2,FALSE),0)),"要確認"))</ns0:f>
        <ns0:v/>
      </ns0:c>
      <ns0:c r="G84" s="7" t="n"/>
      <ns0:c r="H84" s="7" t="n"/>
      <ns0:c r="I84" s="8" t="str">
        <ns0:f>IF(OR(B84="",J84&lt;&gt;"販売済み",D84="",E84="",G84="",H84=""),"",IF(ISNUMBER(F84),E84-D84-F84-G84-H84,"要確認"))</ns0:f>
        <ns0:v/>
      </ns0:c>
      <ns0:c r="J84" s="6" t="n"/>
      <ns0:c r="K84" s="5" t="n"/>
      <ns0:c r="L84" s="9" t="str">
        <ns0:f>IF(AND(B84&lt;&gt;"",J84="在庫"),COUNTIFS($J$5:J84,"在庫",$B$5:B84,"&lt;&gt;"),"")</ns0:f>
        <ns0:v/>
      </ns0:c>
    </ns0:row>
    <ns0:row r="85">
      <ns0:c r="A85" s="5" t="n"/>
      <ns0:c r="B85" s="6" t="n"/>
      <ns0:c r="C85" s="6" t="n"/>
      <ns0:c r="D85" s="7" t="n"/>
      <ns0:c r="E85" s="7" t="n"/>
      <ns0:c r="F85" s="8" t="str">
        <ns0:f>IF(OR(B85="",J85&lt;&gt;"販売済み",E85="",C85=""),"",IFERROR(IF(OR(COUNTIF('手数料マスタ'!$A$5:$A$104,C85)&lt;&gt;1,COUNTIFS('手数料マスタ'!$A$5:$A$104,C85,'手数料マスタ'!$B$5:$B$104,"&lt;&gt;")&lt;&gt;1,NOT(ISNUMBER(VLOOKUP(C85,'手数料マスタ'!$A$5:$B$104,2,FALSE))),VLOOKUP(C85,'手数料マスタ'!$A$5:$B$104,2,FALSE)&lt;0,VLOOKUP(C85,'手数料マスタ'!$A$5:$B$104,2,FALSE)&gt;1),"要確認",ROUND(E85*VLOOKUP(C85,'手数料マスタ'!$A$5:$B$104,2,FALSE),0)),"要確認"))</ns0:f>
        <ns0:v/>
      </ns0:c>
      <ns0:c r="G85" s="7" t="n"/>
      <ns0:c r="H85" s="7" t="n"/>
      <ns0:c r="I85" s="8" t="str">
        <ns0:f>IF(OR(B85="",J85&lt;&gt;"販売済み",D85="",E85="",G85="",H85=""),"",IF(ISNUMBER(F85),E85-D85-F85-G85-H85,"要確認"))</ns0:f>
        <ns0:v/>
      </ns0:c>
      <ns0:c r="J85" s="6" t="n"/>
      <ns0:c r="K85" s="5" t="n"/>
      <ns0:c r="L85" s="9" t="str">
        <ns0:f>IF(AND(B85&lt;&gt;"",J85="在庫"),COUNTIFS($J$5:J85,"在庫",$B$5:B85,"&lt;&gt;"),"")</ns0:f>
        <ns0:v/>
      </ns0:c>
    </ns0:row>
    <ns0:row r="86">
      <ns0:c r="A86" s="5" t="n"/>
      <ns0:c r="B86" s="6" t="n"/>
      <ns0:c r="C86" s="6" t="n"/>
      <ns0:c r="D86" s="7" t="n"/>
      <ns0:c r="E86" s="7" t="n"/>
      <ns0:c r="F86" s="8" t="str">
        <ns0:f>IF(OR(B86="",J86&lt;&gt;"販売済み",E86="",C86=""),"",IFERROR(IF(OR(COUNTIF('手数料マスタ'!$A$5:$A$104,C86)&lt;&gt;1,COUNTIFS('手数料マスタ'!$A$5:$A$104,C86,'手数料マスタ'!$B$5:$B$104,"&lt;&gt;")&lt;&gt;1,NOT(ISNUMBER(VLOOKUP(C86,'手数料マスタ'!$A$5:$B$104,2,FALSE))),VLOOKUP(C86,'手数料マスタ'!$A$5:$B$104,2,FALSE)&lt;0,VLOOKUP(C86,'手数料マスタ'!$A$5:$B$104,2,FALSE)&gt;1),"要確認",ROUND(E86*VLOOKUP(C86,'手数料マスタ'!$A$5:$B$104,2,FALSE),0)),"要確認"))</ns0:f>
        <ns0:v/>
      </ns0:c>
      <ns0:c r="G86" s="7" t="n"/>
      <ns0:c r="H86" s="7" t="n"/>
      <ns0:c r="I86" s="8" t="str">
        <ns0:f>IF(OR(B86="",J86&lt;&gt;"販売済み",D86="",E86="",G86="",H86=""),"",IF(ISNUMBER(F86),E86-D86-F86-G86-H86,"要確認"))</ns0:f>
        <ns0:v/>
      </ns0:c>
      <ns0:c r="J86" s="6" t="n"/>
      <ns0:c r="K86" s="5" t="n"/>
      <ns0:c r="L86" s="9" t="str">
        <ns0:f>IF(AND(B86&lt;&gt;"",J86="在庫"),COUNTIFS($J$5:J86,"在庫",$B$5:B86,"&lt;&gt;"),"")</ns0:f>
        <ns0:v/>
      </ns0:c>
    </ns0:row>
    <ns0:row r="87">
      <ns0:c r="A87" s="5" t="n"/>
      <ns0:c r="B87" s="6" t="n"/>
      <ns0:c r="C87" s="6" t="n"/>
      <ns0:c r="D87" s="7" t="n"/>
      <ns0:c r="E87" s="7" t="n"/>
      <ns0:c r="F87" s="8" t="str">
        <ns0:f>IF(OR(B87="",J87&lt;&gt;"販売済み",E87="",C87=""),"",IFERROR(IF(OR(COUNTIF('手数料マスタ'!$A$5:$A$104,C87)&lt;&gt;1,COUNTIFS('手数料マスタ'!$A$5:$A$104,C87,'手数料マスタ'!$B$5:$B$104,"&lt;&gt;")&lt;&gt;1,NOT(ISNUMBER(VLOOKUP(C87,'手数料マスタ'!$A$5:$B$104,2,FALSE))),VLOOKUP(C87,'手数料マスタ'!$A$5:$B$104,2,FALSE)&lt;0,VLOOKUP(C87,'手数料マスタ'!$A$5:$B$104,2,FALSE)&gt;1),"要確認",ROUND(E87*VLOOKUP(C87,'手数料マスタ'!$A$5:$B$104,2,FALSE),0)),"要確認"))</ns0:f>
        <ns0:v/>
      </ns0:c>
      <ns0:c r="G87" s="7" t="n"/>
      <ns0:c r="H87" s="7" t="n"/>
      <ns0:c r="I87" s="8" t="str">
        <ns0:f>IF(OR(B87="",J87&lt;&gt;"販売済み",D87="",E87="",G87="",H87=""),"",IF(ISNUMBER(F87),E87-D87-F87-G87-H87,"要確認"))</ns0:f>
        <ns0:v/>
      </ns0:c>
      <ns0:c r="J87" s="6" t="n"/>
      <ns0:c r="K87" s="5" t="n"/>
      <ns0:c r="L87" s="9" t="str">
        <ns0:f>IF(AND(B87&lt;&gt;"",J87="在庫"),COUNTIFS($J$5:J87,"在庫",$B$5:B87,"&lt;&gt;"),"")</ns0:f>
        <ns0:v/>
      </ns0:c>
    </ns0:row>
    <ns0:row r="88">
      <ns0:c r="A88" s="5" t="n"/>
      <ns0:c r="B88" s="6" t="n"/>
      <ns0:c r="C88" s="6" t="n"/>
      <ns0:c r="D88" s="7" t="n"/>
      <ns0:c r="E88" s="7" t="n"/>
      <ns0:c r="F88" s="8" t="str">
        <ns0:f>IF(OR(B88="",J88&lt;&gt;"販売済み",E88="",C88=""),"",IFERROR(IF(OR(COUNTIF('手数料マスタ'!$A$5:$A$104,C88)&lt;&gt;1,COUNTIFS('手数料マスタ'!$A$5:$A$104,C88,'手数料マスタ'!$B$5:$B$104,"&lt;&gt;")&lt;&gt;1,NOT(ISNUMBER(VLOOKUP(C88,'手数料マスタ'!$A$5:$B$104,2,FALSE))),VLOOKUP(C88,'手数料マスタ'!$A$5:$B$104,2,FALSE)&lt;0,VLOOKUP(C88,'手数料マスタ'!$A$5:$B$104,2,FALSE)&gt;1),"要確認",ROUND(E88*VLOOKUP(C88,'手数料マスタ'!$A$5:$B$104,2,FALSE),0)),"要確認"))</ns0:f>
        <ns0:v/>
      </ns0:c>
      <ns0:c r="G88" s="7" t="n"/>
      <ns0:c r="H88" s="7" t="n"/>
      <ns0:c r="I88" s="8" t="str">
        <ns0:f>IF(OR(B88="",J88&lt;&gt;"販売済み",D88="",E88="",G88="",H88=""),"",IF(ISNUMBER(F88),E88-D88-F88-G88-H88,"要確認"))</ns0:f>
        <ns0:v/>
      </ns0:c>
      <ns0:c r="J88" s="6" t="n"/>
      <ns0:c r="K88" s="5" t="n"/>
      <ns0:c r="L88" s="9" t="str">
        <ns0:f>IF(AND(B88&lt;&gt;"",J88="在庫"),COUNTIFS($J$5:J88,"在庫",$B$5:B88,"&lt;&gt;"),"")</ns0:f>
        <ns0:v/>
      </ns0:c>
    </ns0:row>
    <ns0:row r="89">
      <ns0:c r="A89" s="5" t="n"/>
      <ns0:c r="B89" s="6" t="n"/>
      <ns0:c r="C89" s="6" t="n"/>
      <ns0:c r="D89" s="7" t="n"/>
      <ns0:c r="E89" s="7" t="n"/>
      <ns0:c r="F89" s="8" t="str">
        <ns0:f>IF(OR(B89="",J89&lt;&gt;"販売済み",E89="",C89=""),"",IFERROR(IF(OR(COUNTIF('手数料マスタ'!$A$5:$A$104,C89)&lt;&gt;1,COUNTIFS('手数料マスタ'!$A$5:$A$104,C89,'手数料マスタ'!$B$5:$B$104,"&lt;&gt;")&lt;&gt;1,NOT(ISNUMBER(VLOOKUP(C89,'手数料マスタ'!$A$5:$B$104,2,FALSE))),VLOOKUP(C89,'手数料マスタ'!$A$5:$B$104,2,FALSE)&lt;0,VLOOKUP(C89,'手数料マスタ'!$A$5:$B$104,2,FALSE)&gt;1),"要確認",ROUND(E89*VLOOKUP(C89,'手数料マスタ'!$A$5:$B$104,2,FALSE),0)),"要確認"))</ns0:f>
        <ns0:v/>
      </ns0:c>
      <ns0:c r="G89" s="7" t="n"/>
      <ns0:c r="H89" s="7" t="n"/>
      <ns0:c r="I89" s="8" t="str">
        <ns0:f>IF(OR(B89="",J89&lt;&gt;"販売済み",D89="",E89="",G89="",H89=""),"",IF(ISNUMBER(F89),E89-D89-F89-G89-H89,"要確認"))</ns0:f>
        <ns0:v/>
      </ns0:c>
      <ns0:c r="J89" s="6" t="n"/>
      <ns0:c r="K89" s="5" t="n"/>
      <ns0:c r="L89" s="9" t="str">
        <ns0:f>IF(AND(B89&lt;&gt;"",J89="在庫"),COUNTIFS($J$5:J89,"在庫",$B$5:B89,"&lt;&gt;"),"")</ns0:f>
        <ns0:v/>
      </ns0:c>
    </ns0:row>
    <ns0:row r="90">
      <ns0:c r="A90" s="5" t="n"/>
      <ns0:c r="B90" s="6" t="n"/>
      <ns0:c r="C90" s="6" t="n"/>
      <ns0:c r="D90" s="7" t="n"/>
      <ns0:c r="E90" s="7" t="n"/>
      <ns0:c r="F90" s="8" t="str">
        <ns0:f>IF(OR(B90="",J90&lt;&gt;"販売済み",E90="",C90=""),"",IFERROR(IF(OR(COUNTIF('手数料マスタ'!$A$5:$A$104,C90)&lt;&gt;1,COUNTIFS('手数料マスタ'!$A$5:$A$104,C90,'手数料マスタ'!$B$5:$B$104,"&lt;&gt;")&lt;&gt;1,NOT(ISNUMBER(VLOOKUP(C90,'手数料マスタ'!$A$5:$B$104,2,FALSE))),VLOOKUP(C90,'手数料マスタ'!$A$5:$B$104,2,FALSE)&lt;0,VLOOKUP(C90,'手数料マスタ'!$A$5:$B$104,2,FALSE)&gt;1),"要確認",ROUND(E90*VLOOKUP(C90,'手数料マスタ'!$A$5:$B$104,2,FALSE),0)),"要確認"))</ns0:f>
        <ns0:v/>
      </ns0:c>
      <ns0:c r="G90" s="7" t="n"/>
      <ns0:c r="H90" s="7" t="n"/>
      <ns0:c r="I90" s="8" t="str">
        <ns0:f>IF(OR(B90="",J90&lt;&gt;"販売済み",D90="",E90="",G90="",H90=""),"",IF(ISNUMBER(F90),E90-D90-F90-G90-H90,"要確認"))</ns0:f>
        <ns0:v/>
      </ns0:c>
      <ns0:c r="J90" s="6" t="n"/>
      <ns0:c r="K90" s="5" t="n"/>
      <ns0:c r="L90" s="9" t="str">
        <ns0:f>IF(AND(B90&lt;&gt;"",J90="在庫"),COUNTIFS($J$5:J90,"在庫",$B$5:B90,"&lt;&gt;"),"")</ns0:f>
        <ns0:v/>
      </ns0:c>
    </ns0:row>
    <ns0:row r="91">
      <ns0:c r="A91" s="5" t="n"/>
      <ns0:c r="B91" s="6" t="n"/>
      <ns0:c r="C91" s="6" t="n"/>
      <ns0:c r="D91" s="7" t="n"/>
      <ns0:c r="E91" s="7" t="n"/>
      <ns0:c r="F91" s="8" t="str">
        <ns0:f>IF(OR(B91="",J91&lt;&gt;"販売済み",E91="",C91=""),"",IFERROR(IF(OR(COUNTIF('手数料マスタ'!$A$5:$A$104,C91)&lt;&gt;1,COUNTIFS('手数料マスタ'!$A$5:$A$104,C91,'手数料マスタ'!$B$5:$B$104,"&lt;&gt;")&lt;&gt;1,NOT(ISNUMBER(VLOOKUP(C91,'手数料マスタ'!$A$5:$B$104,2,FALSE))),VLOOKUP(C91,'手数料マスタ'!$A$5:$B$104,2,FALSE)&lt;0,VLOOKUP(C91,'手数料マスタ'!$A$5:$B$104,2,FALSE)&gt;1),"要確認",ROUND(E91*VLOOKUP(C91,'手数料マスタ'!$A$5:$B$104,2,FALSE),0)),"要確認"))</ns0:f>
        <ns0:v/>
      </ns0:c>
      <ns0:c r="G91" s="7" t="n"/>
      <ns0:c r="H91" s="7" t="n"/>
      <ns0:c r="I91" s="8" t="str">
        <ns0:f>IF(OR(B91="",J91&lt;&gt;"販売済み",D91="",E91="",G91="",H91=""),"",IF(ISNUMBER(F91),E91-D91-F91-G91-H91,"要確認"))</ns0:f>
        <ns0:v/>
      </ns0:c>
      <ns0:c r="J91" s="6" t="n"/>
      <ns0:c r="K91" s="5" t="n"/>
      <ns0:c r="L91" s="9" t="str">
        <ns0:f>IF(AND(B91&lt;&gt;"",J91="在庫"),COUNTIFS($J$5:J91,"在庫",$B$5:B91,"&lt;&gt;"),"")</ns0:f>
        <ns0:v/>
      </ns0:c>
    </ns0:row>
    <ns0:row r="92">
      <ns0:c r="A92" s="5" t="n"/>
      <ns0:c r="B92" s="6" t="n"/>
      <ns0:c r="C92" s="6" t="n"/>
      <ns0:c r="D92" s="7" t="n"/>
      <ns0:c r="E92" s="7" t="n"/>
      <ns0:c r="F92" s="8" t="str">
        <ns0:f>IF(OR(B92="",J92&lt;&gt;"販売済み",E92="",C92=""),"",IFERROR(IF(OR(COUNTIF('手数料マスタ'!$A$5:$A$104,C92)&lt;&gt;1,COUNTIFS('手数料マスタ'!$A$5:$A$104,C92,'手数料マスタ'!$B$5:$B$104,"&lt;&gt;")&lt;&gt;1,NOT(ISNUMBER(VLOOKUP(C92,'手数料マスタ'!$A$5:$B$104,2,FALSE))),VLOOKUP(C92,'手数料マスタ'!$A$5:$B$104,2,FALSE)&lt;0,VLOOKUP(C92,'手数料マスタ'!$A$5:$B$104,2,FALSE)&gt;1),"要確認",ROUND(E92*VLOOKUP(C92,'手数料マスタ'!$A$5:$B$104,2,FALSE),0)),"要確認"))</ns0:f>
        <ns0:v/>
      </ns0:c>
      <ns0:c r="G92" s="7" t="n"/>
      <ns0:c r="H92" s="7" t="n"/>
      <ns0:c r="I92" s="8" t="str">
        <ns0:f>IF(OR(B92="",J92&lt;&gt;"販売済み",D92="",E92="",G92="",H92=""),"",IF(ISNUMBER(F92),E92-D92-F92-G92-H92,"要確認"))</ns0:f>
        <ns0:v/>
      </ns0:c>
      <ns0:c r="J92" s="6" t="n"/>
      <ns0:c r="K92" s="5" t="n"/>
      <ns0:c r="L92" s="9" t="str">
        <ns0:f>IF(AND(B92&lt;&gt;"",J92="在庫"),COUNTIFS($J$5:J92,"在庫",$B$5:B92,"&lt;&gt;"),"")</ns0:f>
        <ns0:v/>
      </ns0:c>
    </ns0:row>
    <ns0:row r="93">
      <ns0:c r="A93" s="5" t="n"/>
      <ns0:c r="B93" s="6" t="n"/>
      <ns0:c r="C93" s="6" t="n"/>
      <ns0:c r="D93" s="7" t="n"/>
      <ns0:c r="E93" s="7" t="n"/>
      <ns0:c r="F93" s="8" t="str">
        <ns0:f>IF(OR(B93="",J93&lt;&gt;"販売済み",E93="",C93=""),"",IFERROR(IF(OR(COUNTIF('手数料マスタ'!$A$5:$A$104,C93)&lt;&gt;1,COUNTIFS('手数料マスタ'!$A$5:$A$104,C93,'手数料マスタ'!$B$5:$B$104,"&lt;&gt;")&lt;&gt;1,NOT(ISNUMBER(VLOOKUP(C93,'手数料マスタ'!$A$5:$B$104,2,FALSE))),VLOOKUP(C93,'手数料マスタ'!$A$5:$B$104,2,FALSE)&lt;0,VLOOKUP(C93,'手数料マスタ'!$A$5:$B$104,2,FALSE)&gt;1),"要確認",ROUND(E93*VLOOKUP(C93,'手数料マスタ'!$A$5:$B$104,2,FALSE),0)),"要確認"))</ns0:f>
        <ns0:v/>
      </ns0:c>
      <ns0:c r="G93" s="7" t="n"/>
      <ns0:c r="H93" s="7" t="n"/>
      <ns0:c r="I93" s="8" t="str">
        <ns0:f>IF(OR(B93="",J93&lt;&gt;"販売済み",D93="",E93="",G93="",H93=""),"",IF(ISNUMBER(F93),E93-D93-F93-G93-H93,"要確認"))</ns0:f>
        <ns0:v/>
      </ns0:c>
      <ns0:c r="J93" s="6" t="n"/>
      <ns0:c r="K93" s="5" t="n"/>
      <ns0:c r="L93" s="9" t="str">
        <ns0:f>IF(AND(B93&lt;&gt;"",J93="在庫"),COUNTIFS($J$5:J93,"在庫",$B$5:B93,"&lt;&gt;"),"")</ns0:f>
        <ns0:v/>
      </ns0:c>
    </ns0:row>
    <ns0:row r="94">
      <ns0:c r="A94" s="5" t="n"/>
      <ns0:c r="B94" s="6" t="n"/>
      <ns0:c r="C94" s="6" t="n"/>
      <ns0:c r="D94" s="7" t="n"/>
      <ns0:c r="E94" s="7" t="n"/>
      <ns0:c r="F94" s="8" t="str">
        <ns0:f>IF(OR(B94="",J94&lt;&gt;"販売済み",E94="",C94=""),"",IFERROR(IF(OR(COUNTIF('手数料マスタ'!$A$5:$A$104,C94)&lt;&gt;1,COUNTIFS('手数料マスタ'!$A$5:$A$104,C94,'手数料マスタ'!$B$5:$B$104,"&lt;&gt;")&lt;&gt;1,NOT(ISNUMBER(VLOOKUP(C94,'手数料マスタ'!$A$5:$B$104,2,FALSE))),VLOOKUP(C94,'手数料マスタ'!$A$5:$B$104,2,FALSE)&lt;0,VLOOKUP(C94,'手数料マスタ'!$A$5:$B$104,2,FALSE)&gt;1),"要確認",ROUND(E94*VLOOKUP(C94,'手数料マスタ'!$A$5:$B$104,2,FALSE),0)),"要確認"))</ns0:f>
        <ns0:v/>
      </ns0:c>
      <ns0:c r="G94" s="7" t="n"/>
      <ns0:c r="H94" s="7" t="n"/>
      <ns0:c r="I94" s="8" t="str">
        <ns0:f>IF(OR(B94="",J94&lt;&gt;"販売済み",D94="",E94="",G94="",H94=""),"",IF(ISNUMBER(F94),E94-D94-F94-G94-H94,"要確認"))</ns0:f>
        <ns0:v/>
      </ns0:c>
      <ns0:c r="J94" s="6" t="n"/>
      <ns0:c r="K94" s="5" t="n"/>
      <ns0:c r="L94" s="9" t="str">
        <ns0:f>IF(AND(B94&lt;&gt;"",J94="在庫"),COUNTIFS($J$5:J94,"在庫",$B$5:B94,"&lt;&gt;"),"")</ns0:f>
        <ns0:v/>
      </ns0:c>
    </ns0:row>
    <ns0:row r="95">
      <ns0:c r="A95" s="5" t="n"/>
      <ns0:c r="B95" s="6" t="n"/>
      <ns0:c r="C95" s="6" t="n"/>
      <ns0:c r="D95" s="7" t="n"/>
      <ns0:c r="E95" s="7" t="n"/>
      <ns0:c r="F95" s="8" t="str">
        <ns0:f>IF(OR(B95="",J95&lt;&gt;"販売済み",E95="",C95=""),"",IFERROR(IF(OR(COUNTIF('手数料マスタ'!$A$5:$A$104,C95)&lt;&gt;1,COUNTIFS('手数料マスタ'!$A$5:$A$104,C95,'手数料マスタ'!$B$5:$B$104,"&lt;&gt;")&lt;&gt;1,NOT(ISNUMBER(VLOOKUP(C95,'手数料マスタ'!$A$5:$B$104,2,FALSE))),VLOOKUP(C95,'手数料マスタ'!$A$5:$B$104,2,FALSE)&lt;0,VLOOKUP(C95,'手数料マスタ'!$A$5:$B$104,2,FALSE)&gt;1),"要確認",ROUND(E95*VLOOKUP(C95,'手数料マスタ'!$A$5:$B$104,2,FALSE),0)),"要確認"))</ns0:f>
        <ns0:v/>
      </ns0:c>
      <ns0:c r="G95" s="7" t="n"/>
      <ns0:c r="H95" s="7" t="n"/>
      <ns0:c r="I95" s="8" t="str">
        <ns0:f>IF(OR(B95="",J95&lt;&gt;"販売済み",D95="",E95="",G95="",H95=""),"",IF(ISNUMBER(F95),E95-D95-F95-G95-H95,"要確認"))</ns0:f>
        <ns0:v/>
      </ns0:c>
      <ns0:c r="J95" s="6" t="n"/>
      <ns0:c r="K95" s="5" t="n"/>
      <ns0:c r="L95" s="9" t="str">
        <ns0:f>IF(AND(B95&lt;&gt;"",J95="在庫"),COUNTIFS($J$5:J95,"在庫",$B$5:B95,"&lt;&gt;"),"")</ns0:f>
        <ns0:v/>
      </ns0:c>
    </ns0:row>
    <ns0:row r="96">
      <ns0:c r="A96" s="5" t="n"/>
      <ns0:c r="B96" s="6" t="n"/>
      <ns0:c r="C96" s="6" t="n"/>
      <ns0:c r="D96" s="7" t="n"/>
      <ns0:c r="E96" s="7" t="n"/>
      <ns0:c r="F96" s="8" t="str">
        <ns0:f>IF(OR(B96="",J96&lt;&gt;"販売済み",E96="",C96=""),"",IFERROR(IF(OR(COUNTIF('手数料マスタ'!$A$5:$A$104,C96)&lt;&gt;1,COUNTIFS('手数料マスタ'!$A$5:$A$104,C96,'手数料マスタ'!$B$5:$B$104,"&lt;&gt;")&lt;&gt;1,NOT(ISNUMBER(VLOOKUP(C96,'手数料マスタ'!$A$5:$B$104,2,FALSE))),VLOOKUP(C96,'手数料マスタ'!$A$5:$B$104,2,FALSE)&lt;0,VLOOKUP(C96,'手数料マスタ'!$A$5:$B$104,2,FALSE)&gt;1),"要確認",ROUND(E96*VLOOKUP(C96,'手数料マスタ'!$A$5:$B$104,2,FALSE),0)),"要確認"))</ns0:f>
        <ns0:v/>
      </ns0:c>
      <ns0:c r="G96" s="7" t="n"/>
      <ns0:c r="H96" s="7" t="n"/>
      <ns0:c r="I96" s="8" t="str">
        <ns0:f>IF(OR(B96="",J96&lt;&gt;"販売済み",D96="",E96="",G96="",H96=""),"",IF(ISNUMBER(F96),E96-D96-F96-G96-H96,"要確認"))</ns0:f>
        <ns0:v/>
      </ns0:c>
      <ns0:c r="J96" s="6" t="n"/>
      <ns0:c r="K96" s="5" t="n"/>
      <ns0:c r="L96" s="9" t="str">
        <ns0:f>IF(AND(B96&lt;&gt;"",J96="在庫"),COUNTIFS($J$5:J96,"在庫",$B$5:B96,"&lt;&gt;"),"")</ns0:f>
        <ns0:v/>
      </ns0:c>
    </ns0:row>
    <ns0:row r="97">
      <ns0:c r="A97" s="5" t="n"/>
      <ns0:c r="B97" s="6" t="n"/>
      <ns0:c r="C97" s="6" t="n"/>
      <ns0:c r="D97" s="7" t="n"/>
      <ns0:c r="E97" s="7" t="n"/>
      <ns0:c r="F97" s="8" t="str">
        <ns0:f>IF(OR(B97="",J97&lt;&gt;"販売済み",E97="",C97=""),"",IFERROR(IF(OR(COUNTIF('手数料マスタ'!$A$5:$A$104,C97)&lt;&gt;1,COUNTIFS('手数料マスタ'!$A$5:$A$104,C97,'手数料マスタ'!$B$5:$B$104,"&lt;&gt;")&lt;&gt;1,NOT(ISNUMBER(VLOOKUP(C97,'手数料マスタ'!$A$5:$B$104,2,FALSE))),VLOOKUP(C97,'手数料マスタ'!$A$5:$B$104,2,FALSE)&lt;0,VLOOKUP(C97,'手数料マスタ'!$A$5:$B$104,2,FALSE)&gt;1),"要確認",ROUND(E97*VLOOKUP(C97,'手数料マスタ'!$A$5:$B$104,2,FALSE),0)),"要確認"))</ns0:f>
        <ns0:v/>
      </ns0:c>
      <ns0:c r="G97" s="7" t="n"/>
      <ns0:c r="H97" s="7" t="n"/>
      <ns0:c r="I97" s="8" t="str">
        <ns0:f>IF(OR(B97="",J97&lt;&gt;"販売済み",D97="",E97="",G97="",H97=""),"",IF(ISNUMBER(F97),E97-D97-F97-G97-H97,"要確認"))</ns0:f>
        <ns0:v/>
      </ns0:c>
      <ns0:c r="J97" s="6" t="n"/>
      <ns0:c r="K97" s="5" t="n"/>
      <ns0:c r="L97" s="9" t="str">
        <ns0:f>IF(AND(B97&lt;&gt;"",J97="在庫"),COUNTIFS($J$5:J97,"在庫",$B$5:B97,"&lt;&gt;"),"")</ns0:f>
        <ns0:v/>
      </ns0:c>
    </ns0:row>
    <ns0:row r="98">
      <ns0:c r="A98" s="5" t="n"/>
      <ns0:c r="B98" s="6" t="n"/>
      <ns0:c r="C98" s="6" t="n"/>
      <ns0:c r="D98" s="7" t="n"/>
      <ns0:c r="E98" s="7" t="n"/>
      <ns0:c r="F98" s="8" t="str">
        <ns0:f>IF(OR(B98="",J98&lt;&gt;"販売済み",E98="",C98=""),"",IFERROR(IF(OR(COUNTIF('手数料マスタ'!$A$5:$A$104,C98)&lt;&gt;1,COUNTIFS('手数料マスタ'!$A$5:$A$104,C98,'手数料マスタ'!$B$5:$B$104,"&lt;&gt;")&lt;&gt;1,NOT(ISNUMBER(VLOOKUP(C98,'手数料マスタ'!$A$5:$B$104,2,FALSE))),VLOOKUP(C98,'手数料マスタ'!$A$5:$B$104,2,FALSE)&lt;0,VLOOKUP(C98,'手数料マスタ'!$A$5:$B$104,2,FALSE)&gt;1),"要確認",ROUND(E98*VLOOKUP(C98,'手数料マスタ'!$A$5:$B$104,2,FALSE),0)),"要確認"))</ns0:f>
        <ns0:v/>
      </ns0:c>
      <ns0:c r="G98" s="7" t="n"/>
      <ns0:c r="H98" s="7" t="n"/>
      <ns0:c r="I98" s="8" t="str">
        <ns0:f>IF(OR(B98="",J98&lt;&gt;"販売済み",D98="",E98="",G98="",H98=""),"",IF(ISNUMBER(F98),E98-D98-F98-G98-H98,"要確認"))</ns0:f>
        <ns0:v/>
      </ns0:c>
      <ns0:c r="J98" s="6" t="n"/>
      <ns0:c r="K98" s="5" t="n"/>
      <ns0:c r="L98" s="9" t="str">
        <ns0:f>IF(AND(B98&lt;&gt;"",J98="在庫"),COUNTIFS($J$5:J98,"在庫",$B$5:B98,"&lt;&gt;"),"")</ns0:f>
        <ns0:v/>
      </ns0:c>
    </ns0:row>
    <ns0:row r="99">
      <ns0:c r="A99" s="5" t="n"/>
      <ns0:c r="B99" s="6" t="n"/>
      <ns0:c r="C99" s="6" t="n"/>
      <ns0:c r="D99" s="7" t="n"/>
      <ns0:c r="E99" s="7" t="n"/>
      <ns0:c r="F99" s="8" t="str">
        <ns0:f>IF(OR(B99="",J99&lt;&gt;"販売済み",E99="",C99=""),"",IFERROR(IF(OR(COUNTIF('手数料マスタ'!$A$5:$A$104,C99)&lt;&gt;1,COUNTIFS('手数料マスタ'!$A$5:$A$104,C99,'手数料マスタ'!$B$5:$B$104,"&lt;&gt;")&lt;&gt;1,NOT(ISNUMBER(VLOOKUP(C99,'手数料マスタ'!$A$5:$B$104,2,FALSE))),VLOOKUP(C99,'手数料マスタ'!$A$5:$B$104,2,FALSE)&lt;0,VLOOKUP(C99,'手数料マスタ'!$A$5:$B$104,2,FALSE)&gt;1),"要確認",ROUND(E99*VLOOKUP(C99,'手数料マスタ'!$A$5:$B$104,2,FALSE),0)),"要確認"))</ns0:f>
        <ns0:v/>
      </ns0:c>
      <ns0:c r="G99" s="7" t="n"/>
      <ns0:c r="H99" s="7" t="n"/>
      <ns0:c r="I99" s="8" t="str">
        <ns0:f>IF(OR(B99="",J99&lt;&gt;"販売済み",D99="",E99="",G99="",H99=""),"",IF(ISNUMBER(F99),E99-D99-F99-G99-H99,"要確認"))</ns0:f>
        <ns0:v/>
      </ns0:c>
      <ns0:c r="J99" s="6" t="n"/>
      <ns0:c r="K99" s="5" t="n"/>
      <ns0:c r="L99" s="9" t="str">
        <ns0:f>IF(AND(B99&lt;&gt;"",J99="在庫"),COUNTIFS($J$5:J99,"在庫",$B$5:B99,"&lt;&gt;"),"")</ns0:f>
        <ns0:v/>
      </ns0:c>
    </ns0:row>
    <ns0:row r="100">
      <ns0:c r="A100" s="5" t="n"/>
      <ns0:c r="B100" s="6" t="n"/>
      <ns0:c r="C100" s="6" t="n"/>
      <ns0:c r="D100" s="7" t="n"/>
      <ns0:c r="E100" s="7" t="n"/>
      <ns0:c r="F100" s="8" t="str">
        <ns0:f>IF(OR(B100="",J100&lt;&gt;"販売済み",E100="",C100=""),"",IFERROR(IF(OR(COUNTIF('手数料マスタ'!$A$5:$A$104,C100)&lt;&gt;1,COUNTIFS('手数料マスタ'!$A$5:$A$104,C100,'手数料マスタ'!$B$5:$B$104,"&lt;&gt;")&lt;&gt;1,NOT(ISNUMBER(VLOOKUP(C100,'手数料マスタ'!$A$5:$B$104,2,FALSE))),VLOOKUP(C100,'手数料マスタ'!$A$5:$B$104,2,FALSE)&lt;0,VLOOKUP(C100,'手数料マスタ'!$A$5:$B$104,2,FALSE)&gt;1),"要確認",ROUND(E100*VLOOKUP(C100,'手数料マスタ'!$A$5:$B$104,2,FALSE),0)),"要確認"))</ns0:f>
        <ns0:v/>
      </ns0:c>
      <ns0:c r="G100" s="7" t="n"/>
      <ns0:c r="H100" s="7" t="n"/>
      <ns0:c r="I100" s="8" t="str">
        <ns0:f>IF(OR(B100="",J100&lt;&gt;"販売済み",D100="",E100="",G100="",H100=""),"",IF(ISNUMBER(F100),E100-D100-F100-G100-H100,"要確認"))</ns0:f>
        <ns0:v/>
      </ns0:c>
      <ns0:c r="J100" s="6" t="n"/>
      <ns0:c r="K100" s="5" t="n"/>
      <ns0:c r="L100" s="9" t="str">
        <ns0:f>IF(AND(B100&lt;&gt;"",J100="在庫"),COUNTIFS($J$5:J100,"在庫",$B$5:B100,"&lt;&gt;"),"")</ns0:f>
        <ns0:v/>
      </ns0:c>
    </ns0:row>
    <ns0:row r="101">
      <ns0:c r="A101" s="5" t="n"/>
      <ns0:c r="B101" s="6" t="n"/>
      <ns0:c r="C101" s="6" t="n"/>
      <ns0:c r="D101" s="7" t="n"/>
      <ns0:c r="E101" s="7" t="n"/>
      <ns0:c r="F101" s="8" t="str">
        <ns0:f>IF(OR(B101="",J101&lt;&gt;"販売済み",E101="",C101=""),"",IFERROR(IF(OR(COUNTIF('手数料マスタ'!$A$5:$A$104,C101)&lt;&gt;1,COUNTIFS('手数料マスタ'!$A$5:$A$104,C101,'手数料マスタ'!$B$5:$B$104,"&lt;&gt;")&lt;&gt;1,NOT(ISNUMBER(VLOOKUP(C101,'手数料マスタ'!$A$5:$B$104,2,FALSE))),VLOOKUP(C101,'手数料マスタ'!$A$5:$B$104,2,FALSE)&lt;0,VLOOKUP(C101,'手数料マスタ'!$A$5:$B$104,2,FALSE)&gt;1),"要確認",ROUND(E101*VLOOKUP(C101,'手数料マスタ'!$A$5:$B$104,2,FALSE),0)),"要確認"))</ns0:f>
        <ns0:v/>
      </ns0:c>
      <ns0:c r="G101" s="7" t="n"/>
      <ns0:c r="H101" s="7" t="n"/>
      <ns0:c r="I101" s="8" t="str">
        <ns0:f>IF(OR(B101="",J101&lt;&gt;"販売済み",D101="",E101="",G101="",H101=""),"",IF(ISNUMBER(F101),E101-D101-F101-G101-H101,"要確認"))</ns0:f>
        <ns0:v/>
      </ns0:c>
      <ns0:c r="J101" s="6" t="n"/>
      <ns0:c r="K101" s="5" t="n"/>
      <ns0:c r="L101" s="9" t="str">
        <ns0:f>IF(AND(B101&lt;&gt;"",J101="在庫"),COUNTIFS($J$5:J101,"在庫",$B$5:B101,"&lt;&gt;"),"")</ns0:f>
        <ns0:v/>
      </ns0:c>
    </ns0:row>
    <ns0:row r="102">
      <ns0:c r="A102" s="5" t="n"/>
      <ns0:c r="B102" s="6" t="n"/>
      <ns0:c r="C102" s="6" t="n"/>
      <ns0:c r="D102" s="7" t="n"/>
      <ns0:c r="E102" s="7" t="n"/>
      <ns0:c r="F102" s="8" t="str">
        <ns0:f>IF(OR(B102="",J102&lt;&gt;"販売済み",E102="",C102=""),"",IFERROR(IF(OR(COUNTIF('手数料マスタ'!$A$5:$A$104,C102)&lt;&gt;1,COUNTIFS('手数料マスタ'!$A$5:$A$104,C102,'手数料マスタ'!$B$5:$B$104,"&lt;&gt;")&lt;&gt;1,NOT(ISNUMBER(VLOOKUP(C102,'手数料マスタ'!$A$5:$B$104,2,FALSE))),VLOOKUP(C102,'手数料マスタ'!$A$5:$B$104,2,FALSE)&lt;0,VLOOKUP(C102,'手数料マスタ'!$A$5:$B$104,2,FALSE)&gt;1),"要確認",ROUND(E102*VLOOKUP(C102,'手数料マスタ'!$A$5:$B$104,2,FALSE),0)),"要確認"))</ns0:f>
        <ns0:v/>
      </ns0:c>
      <ns0:c r="G102" s="7" t="n"/>
      <ns0:c r="H102" s="7" t="n"/>
      <ns0:c r="I102" s="8" t="str">
        <ns0:f>IF(OR(B102="",J102&lt;&gt;"販売済み",D102="",E102="",G102="",H102=""),"",IF(ISNUMBER(F102),E102-D102-F102-G102-H102,"要確認"))</ns0:f>
        <ns0:v/>
      </ns0:c>
      <ns0:c r="J102" s="6" t="n"/>
      <ns0:c r="K102" s="5" t="n"/>
      <ns0:c r="L102" s="9" t="str">
        <ns0:f>IF(AND(B102&lt;&gt;"",J102="在庫"),COUNTIFS($J$5:J102,"在庫",$B$5:B102,"&lt;&gt;"),"")</ns0:f>
        <ns0:v/>
      </ns0:c>
    </ns0:row>
    <ns0:row r="103">
      <ns0:c r="A103" s="5" t="n"/>
      <ns0:c r="B103" s="6" t="n"/>
      <ns0:c r="C103" s="6" t="n"/>
      <ns0:c r="D103" s="7" t="n"/>
      <ns0:c r="E103" s="7" t="n"/>
      <ns0:c r="F103" s="8" t="str">
        <ns0:f>IF(OR(B103="",J103&lt;&gt;"販売済み",E103="",C103=""),"",IFERROR(IF(OR(COUNTIF('手数料マスタ'!$A$5:$A$104,C103)&lt;&gt;1,COUNTIFS('手数料マスタ'!$A$5:$A$104,C103,'手数料マスタ'!$B$5:$B$104,"&lt;&gt;")&lt;&gt;1,NOT(ISNUMBER(VLOOKUP(C103,'手数料マスタ'!$A$5:$B$104,2,FALSE))),VLOOKUP(C103,'手数料マスタ'!$A$5:$B$104,2,FALSE)&lt;0,VLOOKUP(C103,'手数料マスタ'!$A$5:$B$104,2,FALSE)&gt;1),"要確認",ROUND(E103*VLOOKUP(C103,'手数料マスタ'!$A$5:$B$104,2,FALSE),0)),"要確認"))</ns0:f>
        <ns0:v/>
      </ns0:c>
      <ns0:c r="G103" s="7" t="n"/>
      <ns0:c r="H103" s="7" t="n"/>
      <ns0:c r="I103" s="8" t="str">
        <ns0:f>IF(OR(B103="",J103&lt;&gt;"販売済み",D103="",E103="",G103="",H103=""),"",IF(ISNUMBER(F103),E103-D103-F103-G103-H103,"要確認"))</ns0:f>
        <ns0:v/>
      </ns0:c>
      <ns0:c r="J103" s="6" t="n"/>
      <ns0:c r="K103" s="5" t="n"/>
      <ns0:c r="L103" s="9" t="str">
        <ns0:f>IF(AND(B103&lt;&gt;"",J103="在庫"),COUNTIFS($J$5:J103,"在庫",$B$5:B103,"&lt;&gt;"),"")</ns0:f>
        <ns0:v/>
      </ns0:c>
    </ns0:row>
    <ns0:row r="104">
      <ns0:c r="A104" s="5" t="n"/>
      <ns0:c r="B104" s="6" t="n"/>
      <ns0:c r="C104" s="6" t="n"/>
      <ns0:c r="D104" s="7" t="n"/>
      <ns0:c r="E104" s="7" t="n"/>
      <ns0:c r="F104" s="8" t="str">
        <ns0:f>IF(OR(B104="",J104&lt;&gt;"販売済み",E104="",C104=""),"",IFERROR(IF(OR(COUNTIF('手数料マスタ'!$A$5:$A$104,C104)&lt;&gt;1,COUNTIFS('手数料マスタ'!$A$5:$A$104,C104,'手数料マスタ'!$B$5:$B$104,"&lt;&gt;")&lt;&gt;1,NOT(ISNUMBER(VLOOKUP(C104,'手数料マスタ'!$A$5:$B$104,2,FALSE))),VLOOKUP(C104,'手数料マスタ'!$A$5:$B$104,2,FALSE)&lt;0,VLOOKUP(C104,'手数料マスタ'!$A$5:$B$104,2,FALSE)&gt;1),"要確認",ROUND(E104*VLOOKUP(C104,'手数料マスタ'!$A$5:$B$104,2,FALSE),0)),"要確認"))</ns0:f>
        <ns0:v/>
      </ns0:c>
      <ns0:c r="G104" s="7" t="n"/>
      <ns0:c r="H104" s="7" t="n"/>
      <ns0:c r="I104" s="8" t="str">
        <ns0:f>IF(OR(B104="",J104&lt;&gt;"販売済み",D104="",E104="",G104="",H104=""),"",IF(ISNUMBER(F104),E104-D104-F104-G104-H104,"要確認"))</ns0:f>
        <ns0:v/>
      </ns0:c>
      <ns0:c r="J104" s="6" t="n"/>
      <ns0:c r="K104" s="5" t="n"/>
      <ns0:c r="L104" s="9" t="str">
        <ns0:f>IF(AND(B104&lt;&gt;"",J104="在庫"),COUNTIFS($J$5:J104,"在庫",$B$5:B104,"&lt;&gt;"),"")</ns0:f>
        <ns0:v/>
      </ns0:c>
    </ns0:row>
    <ns0:row r="105">
      <ns0:c r="A105" s="5" t="n"/>
      <ns0:c r="B105" s="6" t="n"/>
      <ns0:c r="C105" s="6" t="n"/>
      <ns0:c r="D105" s="7" t="n"/>
      <ns0:c r="E105" s="7" t="n"/>
      <ns0:c r="F105" s="8" t="str">
        <ns0:f>IF(OR(B105="",J105&lt;&gt;"販売済み",E105="",C105=""),"",IFERROR(IF(OR(COUNTIF('手数料マスタ'!$A$5:$A$104,C105)&lt;&gt;1,COUNTIFS('手数料マスタ'!$A$5:$A$104,C105,'手数料マスタ'!$B$5:$B$104,"&lt;&gt;")&lt;&gt;1,NOT(ISNUMBER(VLOOKUP(C105,'手数料マスタ'!$A$5:$B$104,2,FALSE))),VLOOKUP(C105,'手数料マスタ'!$A$5:$B$104,2,FALSE)&lt;0,VLOOKUP(C105,'手数料マスタ'!$A$5:$B$104,2,FALSE)&gt;1),"要確認",ROUND(E105*VLOOKUP(C105,'手数料マスタ'!$A$5:$B$104,2,FALSE),0)),"要確認"))</ns0:f>
        <ns0:v/>
      </ns0:c>
      <ns0:c r="G105" s="7" t="n"/>
      <ns0:c r="H105" s="7" t="n"/>
      <ns0:c r="I105" s="8" t="str">
        <ns0:f>IF(OR(B105="",J105&lt;&gt;"販売済み",D105="",E105="",G105="",H105=""),"",IF(ISNUMBER(F105),E105-D105-F105-G105-H105,"要確認"))</ns0:f>
        <ns0:v/>
      </ns0:c>
      <ns0:c r="J105" s="6" t="n"/>
      <ns0:c r="K105" s="5" t="n"/>
      <ns0:c r="L105" s="9" t="str">
        <ns0:f>IF(AND(B105&lt;&gt;"",J105="在庫"),COUNTIFS($J$5:J105,"在庫",$B$5:B105,"&lt;&gt;"),"")</ns0:f>
        <ns0:v/>
      </ns0:c>
    </ns0:row>
    <ns0:row r="106">
      <ns0:c r="A106" s="5" t="n"/>
      <ns0:c r="B106" s="6" t="n"/>
      <ns0:c r="C106" s="6" t="n"/>
      <ns0:c r="D106" s="7" t="n"/>
      <ns0:c r="E106" s="7" t="n"/>
      <ns0:c r="F106" s="8" t="str">
        <ns0:f>IF(OR(B106="",J106&lt;&gt;"販売済み",E106="",C106=""),"",IFERROR(IF(OR(COUNTIF('手数料マスタ'!$A$5:$A$104,C106)&lt;&gt;1,COUNTIFS('手数料マスタ'!$A$5:$A$104,C106,'手数料マスタ'!$B$5:$B$104,"&lt;&gt;")&lt;&gt;1,NOT(ISNUMBER(VLOOKUP(C106,'手数料マスタ'!$A$5:$B$104,2,FALSE))),VLOOKUP(C106,'手数料マスタ'!$A$5:$B$104,2,FALSE)&lt;0,VLOOKUP(C106,'手数料マスタ'!$A$5:$B$104,2,FALSE)&gt;1),"要確認",ROUND(E106*VLOOKUP(C106,'手数料マスタ'!$A$5:$B$104,2,FALSE),0)),"要確認"))</ns0:f>
        <ns0:v/>
      </ns0:c>
      <ns0:c r="G106" s="7" t="n"/>
      <ns0:c r="H106" s="7" t="n"/>
      <ns0:c r="I106" s="8" t="str">
        <ns0:f>IF(OR(B106="",J106&lt;&gt;"販売済み",D106="",E106="",G106="",H106=""),"",IF(ISNUMBER(F106),E106-D106-F106-G106-H106,"要確認"))</ns0:f>
        <ns0:v/>
      </ns0:c>
      <ns0:c r="J106" s="6" t="n"/>
      <ns0:c r="K106" s="5" t="n"/>
      <ns0:c r="L106" s="9" t="str">
        <ns0:f>IF(AND(B106&lt;&gt;"",J106="在庫"),COUNTIFS($J$5:J106,"在庫",$B$5:B106,"&lt;&gt;"),"")</ns0:f>
        <ns0:v/>
      </ns0:c>
    </ns0:row>
    <ns0:row r="107">
      <ns0:c r="A107" s="5" t="n"/>
      <ns0:c r="B107" s="6" t="n"/>
      <ns0:c r="C107" s="6" t="n"/>
      <ns0:c r="D107" s="7" t="n"/>
      <ns0:c r="E107" s="7" t="n"/>
      <ns0:c r="F107" s="8" t="str">
        <ns0:f>IF(OR(B107="",J107&lt;&gt;"販売済み",E107="",C107=""),"",IFERROR(IF(OR(COUNTIF('手数料マスタ'!$A$5:$A$104,C107)&lt;&gt;1,COUNTIFS('手数料マスタ'!$A$5:$A$104,C107,'手数料マスタ'!$B$5:$B$104,"&lt;&gt;")&lt;&gt;1,NOT(ISNUMBER(VLOOKUP(C107,'手数料マスタ'!$A$5:$B$104,2,FALSE))),VLOOKUP(C107,'手数料マスタ'!$A$5:$B$104,2,FALSE)&lt;0,VLOOKUP(C107,'手数料マスタ'!$A$5:$B$104,2,FALSE)&gt;1),"要確認",ROUND(E107*VLOOKUP(C107,'手数料マスタ'!$A$5:$B$104,2,FALSE),0)),"要確認"))</ns0:f>
        <ns0:v/>
      </ns0:c>
      <ns0:c r="G107" s="7" t="n"/>
      <ns0:c r="H107" s="7" t="n"/>
      <ns0:c r="I107" s="8" t="str">
        <ns0:f>IF(OR(B107="",J107&lt;&gt;"販売済み",D107="",E107="",G107="",H107=""),"",IF(ISNUMBER(F107),E107-D107-F107-G107-H107,"要確認"))</ns0:f>
        <ns0:v/>
      </ns0:c>
      <ns0:c r="J107" s="6" t="n"/>
      <ns0:c r="K107" s="5" t="n"/>
      <ns0:c r="L107" s="9" t="str">
        <ns0:f>IF(AND(B107&lt;&gt;"",J107="在庫"),COUNTIFS($J$5:J107,"在庫",$B$5:B107,"&lt;&gt;"),"")</ns0:f>
        <ns0:v/>
      </ns0:c>
    </ns0:row>
    <ns0:row r="108">
      <ns0:c r="A108" s="5" t="n"/>
      <ns0:c r="B108" s="6" t="n"/>
      <ns0:c r="C108" s="6" t="n"/>
      <ns0:c r="D108" s="7" t="n"/>
      <ns0:c r="E108" s="7" t="n"/>
      <ns0:c r="F108" s="8" t="str">
        <ns0:f>IF(OR(B108="",J108&lt;&gt;"販売済み",E108="",C108=""),"",IFERROR(IF(OR(COUNTIF('手数料マスタ'!$A$5:$A$104,C108)&lt;&gt;1,COUNTIFS('手数料マスタ'!$A$5:$A$104,C108,'手数料マスタ'!$B$5:$B$104,"&lt;&gt;")&lt;&gt;1,NOT(ISNUMBER(VLOOKUP(C108,'手数料マスタ'!$A$5:$B$104,2,FALSE))),VLOOKUP(C108,'手数料マスタ'!$A$5:$B$104,2,FALSE)&lt;0,VLOOKUP(C108,'手数料マスタ'!$A$5:$B$104,2,FALSE)&gt;1),"要確認",ROUND(E108*VLOOKUP(C108,'手数料マスタ'!$A$5:$B$104,2,FALSE),0)),"要確認"))</ns0:f>
        <ns0:v/>
      </ns0:c>
      <ns0:c r="G108" s="7" t="n"/>
      <ns0:c r="H108" s="7" t="n"/>
      <ns0:c r="I108" s="8" t="str">
        <ns0:f>IF(OR(B108="",J108&lt;&gt;"販売済み",D108="",E108="",G108="",H108=""),"",IF(ISNUMBER(F108),E108-D108-F108-G108-H108,"要確認"))</ns0:f>
        <ns0:v/>
      </ns0:c>
      <ns0:c r="J108" s="6" t="n"/>
      <ns0:c r="K108" s="5" t="n"/>
      <ns0:c r="L108" s="9" t="str">
        <ns0:f>IF(AND(B108&lt;&gt;"",J108="在庫"),COUNTIFS($J$5:J108,"在庫",$B$5:B108,"&lt;&gt;"),"")</ns0:f>
        <ns0:v/>
      </ns0:c>
    </ns0:row>
    <ns0:row r="109">
      <ns0:c r="A109" s="5" t="n"/>
      <ns0:c r="B109" s="6" t="n"/>
      <ns0:c r="C109" s="6" t="n"/>
      <ns0:c r="D109" s="7" t="n"/>
      <ns0:c r="E109" s="7" t="n"/>
      <ns0:c r="F109" s="8" t="str">
        <ns0:f>IF(OR(B109="",J109&lt;&gt;"販売済み",E109="",C109=""),"",IFERROR(IF(OR(COUNTIF('手数料マスタ'!$A$5:$A$104,C109)&lt;&gt;1,COUNTIFS('手数料マスタ'!$A$5:$A$104,C109,'手数料マスタ'!$B$5:$B$104,"&lt;&gt;")&lt;&gt;1,NOT(ISNUMBER(VLOOKUP(C109,'手数料マスタ'!$A$5:$B$104,2,FALSE))),VLOOKUP(C109,'手数料マスタ'!$A$5:$B$104,2,FALSE)&lt;0,VLOOKUP(C109,'手数料マスタ'!$A$5:$B$104,2,FALSE)&gt;1),"要確認",ROUND(E109*VLOOKUP(C109,'手数料マスタ'!$A$5:$B$104,2,FALSE),0)),"要確認"))</ns0:f>
        <ns0:v/>
      </ns0:c>
      <ns0:c r="G109" s="7" t="n"/>
      <ns0:c r="H109" s="7" t="n"/>
      <ns0:c r="I109" s="8" t="str">
        <ns0:f>IF(OR(B109="",J109&lt;&gt;"販売済み",D109="",E109="",G109="",H109=""),"",IF(ISNUMBER(F109),E109-D109-F109-G109-H109,"要確認"))</ns0:f>
        <ns0:v/>
      </ns0:c>
      <ns0:c r="J109" s="6" t="n"/>
      <ns0:c r="K109" s="5" t="n"/>
      <ns0:c r="L109" s="9" t="str">
        <ns0:f>IF(AND(B109&lt;&gt;"",J109="在庫"),COUNTIFS($J$5:J109,"在庫",$B$5:B109,"&lt;&gt;"),"")</ns0:f>
        <ns0:v/>
      </ns0:c>
    </ns0:row>
    <ns0:row r="110">
      <ns0:c r="A110" s="5" t="n"/>
      <ns0:c r="B110" s="6" t="n"/>
      <ns0:c r="C110" s="6" t="n"/>
      <ns0:c r="D110" s="7" t="n"/>
      <ns0:c r="E110" s="7" t="n"/>
      <ns0:c r="F110" s="8" t="str">
        <ns0:f>IF(OR(B110="",J110&lt;&gt;"販売済み",E110="",C110=""),"",IFERROR(IF(OR(COUNTIF('手数料マスタ'!$A$5:$A$104,C110)&lt;&gt;1,COUNTIFS('手数料マスタ'!$A$5:$A$104,C110,'手数料マスタ'!$B$5:$B$104,"&lt;&gt;")&lt;&gt;1,NOT(ISNUMBER(VLOOKUP(C110,'手数料マスタ'!$A$5:$B$104,2,FALSE))),VLOOKUP(C110,'手数料マスタ'!$A$5:$B$104,2,FALSE)&lt;0,VLOOKUP(C110,'手数料マスタ'!$A$5:$B$104,2,FALSE)&gt;1),"要確認",ROUND(E110*VLOOKUP(C110,'手数料マスタ'!$A$5:$B$104,2,FALSE),0)),"要確認"))</ns0:f>
        <ns0:v/>
      </ns0:c>
      <ns0:c r="G110" s="7" t="n"/>
      <ns0:c r="H110" s="7" t="n"/>
      <ns0:c r="I110" s="8" t="str">
        <ns0:f>IF(OR(B110="",J110&lt;&gt;"販売済み",D110="",E110="",G110="",H110=""),"",IF(ISNUMBER(F110),E110-D110-F110-G110-H110,"要確認"))</ns0:f>
        <ns0:v/>
      </ns0:c>
      <ns0:c r="J110" s="6" t="n"/>
      <ns0:c r="K110" s="5" t="n"/>
      <ns0:c r="L110" s="9" t="str">
        <ns0:f>IF(AND(B110&lt;&gt;"",J110="在庫"),COUNTIFS($J$5:J110,"在庫",$B$5:B110,"&lt;&gt;"),"")</ns0:f>
        <ns0:v/>
      </ns0:c>
    </ns0:row>
    <ns0:row r="111">
      <ns0:c r="A111" s="5" t="n"/>
      <ns0:c r="B111" s="6" t="n"/>
      <ns0:c r="C111" s="6" t="n"/>
      <ns0:c r="D111" s="7" t="n"/>
      <ns0:c r="E111" s="7" t="n"/>
      <ns0:c r="F111" s="8" t="str">
        <ns0:f>IF(OR(B111="",J111&lt;&gt;"販売済み",E111="",C111=""),"",IFERROR(IF(OR(COUNTIF('手数料マスタ'!$A$5:$A$104,C111)&lt;&gt;1,COUNTIFS('手数料マスタ'!$A$5:$A$104,C111,'手数料マスタ'!$B$5:$B$104,"&lt;&gt;")&lt;&gt;1,NOT(ISNUMBER(VLOOKUP(C111,'手数料マスタ'!$A$5:$B$104,2,FALSE))),VLOOKUP(C111,'手数料マスタ'!$A$5:$B$104,2,FALSE)&lt;0,VLOOKUP(C111,'手数料マスタ'!$A$5:$B$104,2,FALSE)&gt;1),"要確認",ROUND(E111*VLOOKUP(C111,'手数料マスタ'!$A$5:$B$104,2,FALSE),0)),"要確認"))</ns0:f>
        <ns0:v/>
      </ns0:c>
      <ns0:c r="G111" s="7" t="n"/>
      <ns0:c r="H111" s="7" t="n"/>
      <ns0:c r="I111" s="8" t="str">
        <ns0:f>IF(OR(B111="",J111&lt;&gt;"販売済み",D111="",E111="",G111="",H111=""),"",IF(ISNUMBER(F111),E111-D111-F111-G111-H111,"要確認"))</ns0:f>
        <ns0:v/>
      </ns0:c>
      <ns0:c r="J111" s="6" t="n"/>
      <ns0:c r="K111" s="5" t="n"/>
      <ns0:c r="L111" s="9" t="str">
        <ns0:f>IF(AND(B111&lt;&gt;"",J111="在庫"),COUNTIFS($J$5:J111,"在庫",$B$5:B111,"&lt;&gt;"),"")</ns0:f>
        <ns0:v/>
      </ns0:c>
    </ns0:row>
    <ns0:row r="112">
      <ns0:c r="A112" s="5" t="n"/>
      <ns0:c r="B112" s="6" t="n"/>
      <ns0:c r="C112" s="6" t="n"/>
      <ns0:c r="D112" s="7" t="n"/>
      <ns0:c r="E112" s="7" t="n"/>
      <ns0:c r="F112" s="8" t="str">
        <ns0:f>IF(OR(B112="",J112&lt;&gt;"販売済み",E112="",C112=""),"",IFERROR(IF(OR(COUNTIF('手数料マスタ'!$A$5:$A$104,C112)&lt;&gt;1,COUNTIFS('手数料マスタ'!$A$5:$A$104,C112,'手数料マスタ'!$B$5:$B$104,"&lt;&gt;")&lt;&gt;1,NOT(ISNUMBER(VLOOKUP(C112,'手数料マスタ'!$A$5:$B$104,2,FALSE))),VLOOKUP(C112,'手数料マスタ'!$A$5:$B$104,2,FALSE)&lt;0,VLOOKUP(C112,'手数料マスタ'!$A$5:$B$104,2,FALSE)&gt;1),"要確認",ROUND(E112*VLOOKUP(C112,'手数料マスタ'!$A$5:$B$104,2,FALSE),0)),"要確認"))</ns0:f>
        <ns0:v/>
      </ns0:c>
      <ns0:c r="G112" s="7" t="n"/>
      <ns0:c r="H112" s="7" t="n"/>
      <ns0:c r="I112" s="8" t="str">
        <ns0:f>IF(OR(B112="",J112&lt;&gt;"販売済み",D112="",E112="",G112="",H112=""),"",IF(ISNUMBER(F112),E112-D112-F112-G112-H112,"要確認"))</ns0:f>
        <ns0:v/>
      </ns0:c>
      <ns0:c r="J112" s="6" t="n"/>
      <ns0:c r="K112" s="5" t="n"/>
      <ns0:c r="L112" s="9" t="str">
        <ns0:f>IF(AND(B112&lt;&gt;"",J112="在庫"),COUNTIFS($J$5:J112,"在庫",$B$5:B112,"&lt;&gt;"),"")</ns0:f>
        <ns0:v/>
      </ns0:c>
    </ns0:row>
    <ns0:row r="113">
      <ns0:c r="A113" s="5" t="n"/>
      <ns0:c r="B113" s="6" t="n"/>
      <ns0:c r="C113" s="6" t="n"/>
      <ns0:c r="D113" s="7" t="n"/>
      <ns0:c r="E113" s="7" t="n"/>
      <ns0:c r="F113" s="8" t="str">
        <ns0:f>IF(OR(B113="",J113&lt;&gt;"販売済み",E113="",C113=""),"",IFERROR(IF(OR(COUNTIF('手数料マスタ'!$A$5:$A$104,C113)&lt;&gt;1,COUNTIFS('手数料マスタ'!$A$5:$A$104,C113,'手数料マスタ'!$B$5:$B$104,"&lt;&gt;")&lt;&gt;1,NOT(ISNUMBER(VLOOKUP(C113,'手数料マスタ'!$A$5:$B$104,2,FALSE))),VLOOKUP(C113,'手数料マスタ'!$A$5:$B$104,2,FALSE)&lt;0,VLOOKUP(C113,'手数料マスタ'!$A$5:$B$104,2,FALSE)&gt;1),"要確認",ROUND(E113*VLOOKUP(C113,'手数料マスタ'!$A$5:$B$104,2,FALSE),0)),"要確認"))</ns0:f>
        <ns0:v/>
      </ns0:c>
      <ns0:c r="G113" s="7" t="n"/>
      <ns0:c r="H113" s="7" t="n"/>
      <ns0:c r="I113" s="8" t="str">
        <ns0:f>IF(OR(B113="",J113&lt;&gt;"販売済み",D113="",E113="",G113="",H113=""),"",IF(ISNUMBER(F113),E113-D113-F113-G113-H113,"要確認"))</ns0:f>
        <ns0:v/>
      </ns0:c>
      <ns0:c r="J113" s="6" t="n"/>
      <ns0:c r="K113" s="5" t="n"/>
      <ns0:c r="L113" s="9" t="str">
        <ns0:f>IF(AND(B113&lt;&gt;"",J113="在庫"),COUNTIFS($J$5:J113,"在庫",$B$5:B113,"&lt;&gt;"),"")</ns0:f>
        <ns0:v/>
      </ns0:c>
    </ns0:row>
    <ns0:row r="114">
      <ns0:c r="A114" s="5" t="n"/>
      <ns0:c r="B114" s="6" t="n"/>
      <ns0:c r="C114" s="6" t="n"/>
      <ns0:c r="D114" s="7" t="n"/>
      <ns0:c r="E114" s="7" t="n"/>
      <ns0:c r="F114" s="8" t="str">
        <ns0:f>IF(OR(B114="",J114&lt;&gt;"販売済み",E114="",C114=""),"",IFERROR(IF(OR(COUNTIF('手数料マスタ'!$A$5:$A$104,C114)&lt;&gt;1,COUNTIFS('手数料マスタ'!$A$5:$A$104,C114,'手数料マスタ'!$B$5:$B$104,"&lt;&gt;")&lt;&gt;1,NOT(ISNUMBER(VLOOKUP(C114,'手数料マスタ'!$A$5:$B$104,2,FALSE))),VLOOKUP(C114,'手数料マスタ'!$A$5:$B$104,2,FALSE)&lt;0,VLOOKUP(C114,'手数料マスタ'!$A$5:$B$104,2,FALSE)&gt;1),"要確認",ROUND(E114*VLOOKUP(C114,'手数料マスタ'!$A$5:$B$104,2,FALSE),0)),"要確認"))</ns0:f>
        <ns0:v/>
      </ns0:c>
      <ns0:c r="G114" s="7" t="n"/>
      <ns0:c r="H114" s="7" t="n"/>
      <ns0:c r="I114" s="8" t="str">
        <ns0:f>IF(OR(B114="",J114&lt;&gt;"販売済み",D114="",E114="",G114="",H114=""),"",IF(ISNUMBER(F114),E114-D114-F114-G114-H114,"要確認"))</ns0:f>
        <ns0:v/>
      </ns0:c>
      <ns0:c r="J114" s="6" t="n"/>
      <ns0:c r="K114" s="5" t="n"/>
      <ns0:c r="L114" s="9" t="str">
        <ns0:f>IF(AND(B114&lt;&gt;"",J114="在庫"),COUNTIFS($J$5:J114,"在庫",$B$5:B114,"&lt;&gt;"),"")</ns0:f>
        <ns0:v/>
      </ns0:c>
    </ns0:row>
    <ns0:row r="115">
      <ns0:c r="A115" s="5" t="n"/>
      <ns0:c r="B115" s="6" t="n"/>
      <ns0:c r="C115" s="6" t="n"/>
      <ns0:c r="D115" s="7" t="n"/>
      <ns0:c r="E115" s="7" t="n"/>
      <ns0:c r="F115" s="8" t="str">
        <ns0:f>IF(OR(B115="",J115&lt;&gt;"販売済み",E115="",C115=""),"",IFERROR(IF(OR(COUNTIF('手数料マスタ'!$A$5:$A$104,C115)&lt;&gt;1,COUNTIFS('手数料マスタ'!$A$5:$A$104,C115,'手数料マスタ'!$B$5:$B$104,"&lt;&gt;")&lt;&gt;1,NOT(ISNUMBER(VLOOKUP(C115,'手数料マスタ'!$A$5:$B$104,2,FALSE))),VLOOKUP(C115,'手数料マスタ'!$A$5:$B$104,2,FALSE)&lt;0,VLOOKUP(C115,'手数料マスタ'!$A$5:$B$104,2,FALSE)&gt;1),"要確認",ROUND(E115*VLOOKUP(C115,'手数料マスタ'!$A$5:$B$104,2,FALSE),0)),"要確認"))</ns0:f>
        <ns0:v/>
      </ns0:c>
      <ns0:c r="G115" s="7" t="n"/>
      <ns0:c r="H115" s="7" t="n"/>
      <ns0:c r="I115" s="8" t="str">
        <ns0:f>IF(OR(B115="",J115&lt;&gt;"販売済み",D115="",E115="",G115="",H115=""),"",IF(ISNUMBER(F115),E115-D115-F115-G115-H115,"要確認"))</ns0:f>
        <ns0:v/>
      </ns0:c>
      <ns0:c r="J115" s="6" t="n"/>
      <ns0:c r="K115" s="5" t="n"/>
      <ns0:c r="L115" s="9" t="str">
        <ns0:f>IF(AND(B115&lt;&gt;"",J115="在庫"),COUNTIFS($J$5:J115,"在庫",$B$5:B115,"&lt;&gt;"),"")</ns0:f>
        <ns0:v/>
      </ns0:c>
    </ns0:row>
    <ns0:row r="116">
      <ns0:c r="A116" s="5" t="n"/>
      <ns0:c r="B116" s="6" t="n"/>
      <ns0:c r="C116" s="6" t="n"/>
      <ns0:c r="D116" s="7" t="n"/>
      <ns0:c r="E116" s="7" t="n"/>
      <ns0:c r="F116" s="8" t="str">
        <ns0:f>IF(OR(B116="",J116&lt;&gt;"販売済み",E116="",C116=""),"",IFERROR(IF(OR(COUNTIF('手数料マスタ'!$A$5:$A$104,C116)&lt;&gt;1,COUNTIFS('手数料マスタ'!$A$5:$A$104,C116,'手数料マスタ'!$B$5:$B$104,"&lt;&gt;")&lt;&gt;1,NOT(ISNUMBER(VLOOKUP(C116,'手数料マスタ'!$A$5:$B$104,2,FALSE))),VLOOKUP(C116,'手数料マスタ'!$A$5:$B$104,2,FALSE)&lt;0,VLOOKUP(C116,'手数料マスタ'!$A$5:$B$104,2,FALSE)&gt;1),"要確認",ROUND(E116*VLOOKUP(C116,'手数料マスタ'!$A$5:$B$104,2,FALSE),0)),"要確認"))</ns0:f>
        <ns0:v/>
      </ns0:c>
      <ns0:c r="G116" s="7" t="n"/>
      <ns0:c r="H116" s="7" t="n"/>
      <ns0:c r="I116" s="8" t="str">
        <ns0:f>IF(OR(B116="",J116&lt;&gt;"販売済み",D116="",E116="",G116="",H116=""),"",IF(ISNUMBER(F116),E116-D116-F116-G116-H116,"要確認"))</ns0:f>
        <ns0:v/>
      </ns0:c>
      <ns0:c r="J116" s="6" t="n"/>
      <ns0:c r="K116" s="5" t="n"/>
      <ns0:c r="L116" s="9" t="str">
        <ns0:f>IF(AND(B116&lt;&gt;"",J116="在庫"),COUNTIFS($J$5:J116,"在庫",$B$5:B116,"&lt;&gt;"),"")</ns0:f>
        <ns0:v/>
      </ns0:c>
    </ns0:row>
    <ns0:row r="117">
      <ns0:c r="A117" s="5" t="n"/>
      <ns0:c r="B117" s="6" t="n"/>
      <ns0:c r="C117" s="6" t="n"/>
      <ns0:c r="D117" s="7" t="n"/>
      <ns0:c r="E117" s="7" t="n"/>
      <ns0:c r="F117" s="8" t="str">
        <ns0:f>IF(OR(B117="",J117&lt;&gt;"販売済み",E117="",C117=""),"",IFERROR(IF(OR(COUNTIF('手数料マスタ'!$A$5:$A$104,C117)&lt;&gt;1,COUNTIFS('手数料マスタ'!$A$5:$A$104,C117,'手数料マスタ'!$B$5:$B$104,"&lt;&gt;")&lt;&gt;1,NOT(ISNUMBER(VLOOKUP(C117,'手数料マスタ'!$A$5:$B$104,2,FALSE))),VLOOKUP(C117,'手数料マスタ'!$A$5:$B$104,2,FALSE)&lt;0,VLOOKUP(C117,'手数料マスタ'!$A$5:$B$104,2,FALSE)&gt;1),"要確認",ROUND(E117*VLOOKUP(C117,'手数料マスタ'!$A$5:$B$104,2,FALSE),0)),"要確認"))</ns0:f>
        <ns0:v/>
      </ns0:c>
      <ns0:c r="G117" s="7" t="n"/>
      <ns0:c r="H117" s="7" t="n"/>
      <ns0:c r="I117" s="8" t="str">
        <ns0:f>IF(OR(B117="",J117&lt;&gt;"販売済み",D117="",E117="",G117="",H117=""),"",IF(ISNUMBER(F117),E117-D117-F117-G117-H117,"要確認"))</ns0:f>
        <ns0:v/>
      </ns0:c>
      <ns0:c r="J117" s="6" t="n"/>
      <ns0:c r="K117" s="5" t="n"/>
      <ns0:c r="L117" s="9" t="str">
        <ns0:f>IF(AND(B117&lt;&gt;"",J117="在庫"),COUNTIFS($J$5:J117,"在庫",$B$5:B117,"&lt;&gt;"),"")</ns0:f>
        <ns0:v/>
      </ns0:c>
    </ns0:row>
    <ns0:row r="118">
      <ns0:c r="A118" s="5" t="n"/>
      <ns0:c r="B118" s="6" t="n"/>
      <ns0:c r="C118" s="6" t="n"/>
      <ns0:c r="D118" s="7" t="n"/>
      <ns0:c r="E118" s="7" t="n"/>
      <ns0:c r="F118" s="8" t="str">
        <ns0:f>IF(OR(B118="",J118&lt;&gt;"販売済み",E118="",C118=""),"",IFERROR(IF(OR(COUNTIF('手数料マスタ'!$A$5:$A$104,C118)&lt;&gt;1,COUNTIFS('手数料マスタ'!$A$5:$A$104,C118,'手数料マスタ'!$B$5:$B$104,"&lt;&gt;")&lt;&gt;1,NOT(ISNUMBER(VLOOKUP(C118,'手数料マスタ'!$A$5:$B$104,2,FALSE))),VLOOKUP(C118,'手数料マスタ'!$A$5:$B$104,2,FALSE)&lt;0,VLOOKUP(C118,'手数料マスタ'!$A$5:$B$104,2,FALSE)&gt;1),"要確認",ROUND(E118*VLOOKUP(C118,'手数料マスタ'!$A$5:$B$104,2,FALSE),0)),"要確認"))</ns0:f>
        <ns0:v/>
      </ns0:c>
      <ns0:c r="G118" s="7" t="n"/>
      <ns0:c r="H118" s="7" t="n"/>
      <ns0:c r="I118" s="8" t="str">
        <ns0:f>IF(OR(B118="",J118&lt;&gt;"販売済み",D118="",E118="",G118="",H118=""),"",IF(ISNUMBER(F118),E118-D118-F118-G118-H118,"要確認"))</ns0:f>
        <ns0:v/>
      </ns0:c>
      <ns0:c r="J118" s="6" t="n"/>
      <ns0:c r="K118" s="5" t="n"/>
      <ns0:c r="L118" s="9" t="str">
        <ns0:f>IF(AND(B118&lt;&gt;"",J118="在庫"),COUNTIFS($J$5:J118,"在庫",$B$5:B118,"&lt;&gt;"),"")</ns0:f>
        <ns0:v/>
      </ns0:c>
    </ns0:row>
    <ns0:row r="119">
      <ns0:c r="A119" s="5" t="n"/>
      <ns0:c r="B119" s="6" t="n"/>
      <ns0:c r="C119" s="6" t="n"/>
      <ns0:c r="D119" s="7" t="n"/>
      <ns0:c r="E119" s="7" t="n"/>
      <ns0:c r="F119" s="8" t="str">
        <ns0:f>IF(OR(B119="",J119&lt;&gt;"販売済み",E119="",C119=""),"",IFERROR(IF(OR(COUNTIF('手数料マスタ'!$A$5:$A$104,C119)&lt;&gt;1,COUNTIFS('手数料マスタ'!$A$5:$A$104,C119,'手数料マスタ'!$B$5:$B$104,"&lt;&gt;")&lt;&gt;1,NOT(ISNUMBER(VLOOKUP(C119,'手数料マスタ'!$A$5:$B$104,2,FALSE))),VLOOKUP(C119,'手数料マスタ'!$A$5:$B$104,2,FALSE)&lt;0,VLOOKUP(C119,'手数料マスタ'!$A$5:$B$104,2,FALSE)&gt;1),"要確認",ROUND(E119*VLOOKUP(C119,'手数料マスタ'!$A$5:$B$104,2,FALSE),0)),"要確認"))</ns0:f>
        <ns0:v/>
      </ns0:c>
      <ns0:c r="G119" s="7" t="n"/>
      <ns0:c r="H119" s="7" t="n"/>
      <ns0:c r="I119" s="8" t="str">
        <ns0:f>IF(OR(B119="",J119&lt;&gt;"販売済み",D119="",E119="",G119="",H119=""),"",IF(ISNUMBER(F119),E119-D119-F119-G119-H119,"要確認"))</ns0:f>
        <ns0:v/>
      </ns0:c>
      <ns0:c r="J119" s="6" t="n"/>
      <ns0:c r="K119" s="5" t="n"/>
      <ns0:c r="L119" s="9" t="str">
        <ns0:f>IF(AND(B119&lt;&gt;"",J119="在庫"),COUNTIFS($J$5:J119,"在庫",$B$5:B119,"&lt;&gt;"),"")</ns0:f>
        <ns0:v/>
      </ns0:c>
    </ns0:row>
    <ns0:row r="120">
      <ns0:c r="A120" s="5" t="n"/>
      <ns0:c r="B120" s="6" t="n"/>
      <ns0:c r="C120" s="6" t="n"/>
      <ns0:c r="D120" s="7" t="n"/>
      <ns0:c r="E120" s="7" t="n"/>
      <ns0:c r="F120" s="8" t="str">
        <ns0:f>IF(OR(B120="",J120&lt;&gt;"販売済み",E120="",C120=""),"",IFERROR(IF(OR(COUNTIF('手数料マスタ'!$A$5:$A$104,C120)&lt;&gt;1,COUNTIFS('手数料マスタ'!$A$5:$A$104,C120,'手数料マスタ'!$B$5:$B$104,"&lt;&gt;")&lt;&gt;1,NOT(ISNUMBER(VLOOKUP(C120,'手数料マスタ'!$A$5:$B$104,2,FALSE))),VLOOKUP(C120,'手数料マスタ'!$A$5:$B$104,2,FALSE)&lt;0,VLOOKUP(C120,'手数料マスタ'!$A$5:$B$104,2,FALSE)&gt;1),"要確認",ROUND(E120*VLOOKUP(C120,'手数料マスタ'!$A$5:$B$104,2,FALSE),0)),"要確認"))</ns0:f>
        <ns0:v/>
      </ns0:c>
      <ns0:c r="G120" s="7" t="n"/>
      <ns0:c r="H120" s="7" t="n"/>
      <ns0:c r="I120" s="8" t="str">
        <ns0:f>IF(OR(B120="",J120&lt;&gt;"販売済み",D120="",E120="",G120="",H120=""),"",IF(ISNUMBER(F120),E120-D120-F120-G120-H120,"要確認"))</ns0:f>
        <ns0:v/>
      </ns0:c>
      <ns0:c r="J120" s="6" t="n"/>
      <ns0:c r="K120" s="5" t="n"/>
      <ns0:c r="L120" s="9" t="str">
        <ns0:f>IF(AND(B120&lt;&gt;"",J120="在庫"),COUNTIFS($J$5:J120,"在庫",$B$5:B120,"&lt;&gt;"),"")</ns0:f>
        <ns0:v/>
      </ns0:c>
    </ns0:row>
    <ns0:row r="121">
      <ns0:c r="A121" s="5" t="n"/>
      <ns0:c r="B121" s="6" t="n"/>
      <ns0:c r="C121" s="6" t="n"/>
      <ns0:c r="D121" s="7" t="n"/>
      <ns0:c r="E121" s="7" t="n"/>
      <ns0:c r="F121" s="8" t="str">
        <ns0:f>IF(OR(B121="",J121&lt;&gt;"販売済み",E121="",C121=""),"",IFERROR(IF(OR(COUNTIF('手数料マスタ'!$A$5:$A$104,C121)&lt;&gt;1,COUNTIFS('手数料マスタ'!$A$5:$A$104,C121,'手数料マスタ'!$B$5:$B$104,"&lt;&gt;")&lt;&gt;1,NOT(ISNUMBER(VLOOKUP(C121,'手数料マスタ'!$A$5:$B$104,2,FALSE))),VLOOKUP(C121,'手数料マスタ'!$A$5:$B$104,2,FALSE)&lt;0,VLOOKUP(C121,'手数料マスタ'!$A$5:$B$104,2,FALSE)&gt;1),"要確認",ROUND(E121*VLOOKUP(C121,'手数料マスタ'!$A$5:$B$104,2,FALSE),0)),"要確認"))</ns0:f>
        <ns0:v/>
      </ns0:c>
      <ns0:c r="G121" s="7" t="n"/>
      <ns0:c r="H121" s="7" t="n"/>
      <ns0:c r="I121" s="8" t="str">
        <ns0:f>IF(OR(B121="",J121&lt;&gt;"販売済み",D121="",E121="",G121="",H121=""),"",IF(ISNUMBER(F121),E121-D121-F121-G121-H121,"要確認"))</ns0:f>
        <ns0:v/>
      </ns0:c>
      <ns0:c r="J121" s="6" t="n"/>
      <ns0:c r="K121" s="5" t="n"/>
      <ns0:c r="L121" s="9" t="str">
        <ns0:f>IF(AND(B121&lt;&gt;"",J121="在庫"),COUNTIFS($J$5:J121,"在庫",$B$5:B121,"&lt;&gt;"),"")</ns0:f>
        <ns0:v/>
      </ns0:c>
    </ns0:row>
    <ns0:row r="122">
      <ns0:c r="A122" s="5" t="n"/>
      <ns0:c r="B122" s="6" t="n"/>
      <ns0:c r="C122" s="6" t="n"/>
      <ns0:c r="D122" s="7" t="n"/>
      <ns0:c r="E122" s="7" t="n"/>
      <ns0:c r="F122" s="8" t="str">
        <ns0:f>IF(OR(B122="",J122&lt;&gt;"販売済み",E122="",C122=""),"",IFERROR(IF(OR(COUNTIF('手数料マスタ'!$A$5:$A$104,C122)&lt;&gt;1,COUNTIFS('手数料マスタ'!$A$5:$A$104,C122,'手数料マスタ'!$B$5:$B$104,"&lt;&gt;")&lt;&gt;1,NOT(ISNUMBER(VLOOKUP(C122,'手数料マスタ'!$A$5:$B$104,2,FALSE))),VLOOKUP(C122,'手数料マスタ'!$A$5:$B$104,2,FALSE)&lt;0,VLOOKUP(C122,'手数料マスタ'!$A$5:$B$104,2,FALSE)&gt;1),"要確認",ROUND(E122*VLOOKUP(C122,'手数料マスタ'!$A$5:$B$104,2,FALSE),0)),"要確認"))</ns0:f>
        <ns0:v/>
      </ns0:c>
      <ns0:c r="G122" s="7" t="n"/>
      <ns0:c r="H122" s="7" t="n"/>
      <ns0:c r="I122" s="8" t="str">
        <ns0:f>IF(OR(B122="",J122&lt;&gt;"販売済み",D122="",E122="",G122="",H122=""),"",IF(ISNUMBER(F122),E122-D122-F122-G122-H122,"要確認"))</ns0:f>
        <ns0:v/>
      </ns0:c>
      <ns0:c r="J122" s="6" t="n"/>
      <ns0:c r="K122" s="5" t="n"/>
      <ns0:c r="L122" s="9" t="str">
        <ns0:f>IF(AND(B122&lt;&gt;"",J122="在庫"),COUNTIFS($J$5:J122,"在庫",$B$5:B122,"&lt;&gt;"),"")</ns0:f>
        <ns0:v/>
      </ns0:c>
    </ns0:row>
    <ns0:row r="123">
      <ns0:c r="A123" s="5" t="n"/>
      <ns0:c r="B123" s="6" t="n"/>
      <ns0:c r="C123" s="6" t="n"/>
      <ns0:c r="D123" s="7" t="n"/>
      <ns0:c r="E123" s="7" t="n"/>
      <ns0:c r="F123" s="8" t="str">
        <ns0:f>IF(OR(B123="",J123&lt;&gt;"販売済み",E123="",C123=""),"",IFERROR(IF(OR(COUNTIF('手数料マスタ'!$A$5:$A$104,C123)&lt;&gt;1,COUNTIFS('手数料マスタ'!$A$5:$A$104,C123,'手数料マスタ'!$B$5:$B$104,"&lt;&gt;")&lt;&gt;1,NOT(ISNUMBER(VLOOKUP(C123,'手数料マスタ'!$A$5:$B$104,2,FALSE))),VLOOKUP(C123,'手数料マスタ'!$A$5:$B$104,2,FALSE)&lt;0,VLOOKUP(C123,'手数料マスタ'!$A$5:$B$104,2,FALSE)&gt;1),"要確認",ROUND(E123*VLOOKUP(C123,'手数料マスタ'!$A$5:$B$104,2,FALSE),0)),"要確認"))</ns0:f>
        <ns0:v/>
      </ns0:c>
      <ns0:c r="G123" s="7" t="n"/>
      <ns0:c r="H123" s="7" t="n"/>
      <ns0:c r="I123" s="8" t="str">
        <ns0:f>IF(OR(B123="",J123&lt;&gt;"販売済み",D123="",E123="",G123="",H123=""),"",IF(ISNUMBER(F123),E123-D123-F123-G123-H123,"要確認"))</ns0:f>
        <ns0:v/>
      </ns0:c>
      <ns0:c r="J123" s="6" t="n"/>
      <ns0:c r="K123" s="5" t="n"/>
      <ns0:c r="L123" s="9" t="str">
        <ns0:f>IF(AND(B123&lt;&gt;"",J123="在庫"),COUNTIFS($J$5:J123,"在庫",$B$5:B123,"&lt;&gt;"),"")</ns0:f>
        <ns0:v/>
      </ns0:c>
    </ns0:row>
    <ns0:row r="124">
      <ns0:c r="A124" s="5" t="n"/>
      <ns0:c r="B124" s="6" t="n"/>
      <ns0:c r="C124" s="6" t="n"/>
      <ns0:c r="D124" s="7" t="n"/>
      <ns0:c r="E124" s="7" t="n"/>
      <ns0:c r="F124" s="8" t="str">
        <ns0:f>IF(OR(B124="",J124&lt;&gt;"販売済み",E124="",C124=""),"",IFERROR(IF(OR(COUNTIF('手数料マスタ'!$A$5:$A$104,C124)&lt;&gt;1,COUNTIFS('手数料マスタ'!$A$5:$A$104,C124,'手数料マスタ'!$B$5:$B$104,"&lt;&gt;")&lt;&gt;1,NOT(ISNUMBER(VLOOKUP(C124,'手数料マスタ'!$A$5:$B$104,2,FALSE))),VLOOKUP(C124,'手数料マスタ'!$A$5:$B$104,2,FALSE)&lt;0,VLOOKUP(C124,'手数料マスタ'!$A$5:$B$104,2,FALSE)&gt;1),"要確認",ROUND(E124*VLOOKUP(C124,'手数料マスタ'!$A$5:$B$104,2,FALSE),0)),"要確認"))</ns0:f>
        <ns0:v/>
      </ns0:c>
      <ns0:c r="G124" s="7" t="n"/>
      <ns0:c r="H124" s="7" t="n"/>
      <ns0:c r="I124" s="8" t="str">
        <ns0:f>IF(OR(B124="",J124&lt;&gt;"販売済み",D124="",E124="",G124="",H124=""),"",IF(ISNUMBER(F124),E124-D124-F124-G124-H124,"要確認"))</ns0:f>
        <ns0:v/>
      </ns0:c>
      <ns0:c r="J124" s="6" t="n"/>
      <ns0:c r="K124" s="5" t="n"/>
      <ns0:c r="L124" s="9" t="str">
        <ns0:f>IF(AND(B124&lt;&gt;"",J124="在庫"),COUNTIFS($J$5:J124,"在庫",$B$5:B124,"&lt;&gt;"),"")</ns0:f>
        <ns0:v/>
      </ns0:c>
    </ns0:row>
    <ns0:row r="125">
      <ns0:c r="A125" s="5" t="n"/>
      <ns0:c r="B125" s="6" t="n"/>
      <ns0:c r="C125" s="6" t="n"/>
      <ns0:c r="D125" s="7" t="n"/>
      <ns0:c r="E125" s="7" t="n"/>
      <ns0:c r="F125" s="8" t="str">
        <ns0:f>IF(OR(B125="",J125&lt;&gt;"販売済み",E125="",C125=""),"",IFERROR(IF(OR(COUNTIF('手数料マスタ'!$A$5:$A$104,C125)&lt;&gt;1,COUNTIFS('手数料マスタ'!$A$5:$A$104,C125,'手数料マスタ'!$B$5:$B$104,"&lt;&gt;")&lt;&gt;1,NOT(ISNUMBER(VLOOKUP(C125,'手数料マスタ'!$A$5:$B$104,2,FALSE))),VLOOKUP(C125,'手数料マスタ'!$A$5:$B$104,2,FALSE)&lt;0,VLOOKUP(C125,'手数料マスタ'!$A$5:$B$104,2,FALSE)&gt;1),"要確認",ROUND(E125*VLOOKUP(C125,'手数料マスタ'!$A$5:$B$104,2,FALSE),0)),"要確認"))</ns0:f>
        <ns0:v/>
      </ns0:c>
      <ns0:c r="G125" s="7" t="n"/>
      <ns0:c r="H125" s="7" t="n"/>
      <ns0:c r="I125" s="8" t="str">
        <ns0:f>IF(OR(B125="",J125&lt;&gt;"販売済み",D125="",E125="",G125="",H125=""),"",IF(ISNUMBER(F125),E125-D125-F125-G125-H125,"要確認"))</ns0:f>
        <ns0:v/>
      </ns0:c>
      <ns0:c r="J125" s="6" t="n"/>
      <ns0:c r="K125" s="5" t="n"/>
      <ns0:c r="L125" s="9" t="str">
        <ns0:f>IF(AND(B125&lt;&gt;"",J125="在庫"),COUNTIFS($J$5:J125,"在庫",$B$5:B125,"&lt;&gt;"),"")</ns0:f>
        <ns0:v/>
      </ns0:c>
    </ns0:row>
    <ns0:row r="126">
      <ns0:c r="A126" s="5" t="n"/>
      <ns0:c r="B126" s="6" t="n"/>
      <ns0:c r="C126" s="6" t="n"/>
      <ns0:c r="D126" s="7" t="n"/>
      <ns0:c r="E126" s="7" t="n"/>
      <ns0:c r="F126" s="8" t="str">
        <ns0:f>IF(OR(B126="",J126&lt;&gt;"販売済み",E126="",C126=""),"",IFERROR(IF(OR(COUNTIF('手数料マスタ'!$A$5:$A$104,C126)&lt;&gt;1,COUNTIFS('手数料マスタ'!$A$5:$A$104,C126,'手数料マスタ'!$B$5:$B$104,"&lt;&gt;")&lt;&gt;1,NOT(ISNUMBER(VLOOKUP(C126,'手数料マスタ'!$A$5:$B$104,2,FALSE))),VLOOKUP(C126,'手数料マスタ'!$A$5:$B$104,2,FALSE)&lt;0,VLOOKUP(C126,'手数料マスタ'!$A$5:$B$104,2,FALSE)&gt;1),"要確認",ROUND(E126*VLOOKUP(C126,'手数料マスタ'!$A$5:$B$104,2,FALSE),0)),"要確認"))</ns0:f>
        <ns0:v/>
      </ns0:c>
      <ns0:c r="G126" s="7" t="n"/>
      <ns0:c r="H126" s="7" t="n"/>
      <ns0:c r="I126" s="8" t="str">
        <ns0:f>IF(OR(B126="",J126&lt;&gt;"販売済み",D126="",E126="",G126="",H126=""),"",IF(ISNUMBER(F126),E126-D126-F126-G126-H126,"要確認"))</ns0:f>
        <ns0:v/>
      </ns0:c>
      <ns0:c r="J126" s="6" t="n"/>
      <ns0:c r="K126" s="5" t="n"/>
      <ns0:c r="L126" s="9" t="str">
        <ns0:f>IF(AND(B126&lt;&gt;"",J126="在庫"),COUNTIFS($J$5:J126,"在庫",$B$5:B126,"&lt;&gt;"),"")</ns0:f>
        <ns0:v/>
      </ns0:c>
    </ns0:row>
    <ns0:row r="127">
      <ns0:c r="A127" s="5" t="n"/>
      <ns0:c r="B127" s="6" t="n"/>
      <ns0:c r="C127" s="6" t="n"/>
      <ns0:c r="D127" s="7" t="n"/>
      <ns0:c r="E127" s="7" t="n"/>
      <ns0:c r="F127" s="8" t="str">
        <ns0:f>IF(OR(B127="",J127&lt;&gt;"販売済み",E127="",C127=""),"",IFERROR(IF(OR(COUNTIF('手数料マスタ'!$A$5:$A$104,C127)&lt;&gt;1,COUNTIFS('手数料マスタ'!$A$5:$A$104,C127,'手数料マスタ'!$B$5:$B$104,"&lt;&gt;")&lt;&gt;1,NOT(ISNUMBER(VLOOKUP(C127,'手数料マスタ'!$A$5:$B$104,2,FALSE))),VLOOKUP(C127,'手数料マスタ'!$A$5:$B$104,2,FALSE)&lt;0,VLOOKUP(C127,'手数料マスタ'!$A$5:$B$104,2,FALSE)&gt;1),"要確認",ROUND(E127*VLOOKUP(C127,'手数料マスタ'!$A$5:$B$104,2,FALSE),0)),"要確認"))</ns0:f>
        <ns0:v/>
      </ns0:c>
      <ns0:c r="G127" s="7" t="n"/>
      <ns0:c r="H127" s="7" t="n"/>
      <ns0:c r="I127" s="8" t="str">
        <ns0:f>IF(OR(B127="",J127&lt;&gt;"販売済み",D127="",E127="",G127="",H127=""),"",IF(ISNUMBER(F127),E127-D127-F127-G127-H127,"要確認"))</ns0:f>
        <ns0:v/>
      </ns0:c>
      <ns0:c r="J127" s="6" t="n"/>
      <ns0:c r="K127" s="5" t="n"/>
      <ns0:c r="L127" s="9" t="str">
        <ns0:f>IF(AND(B127&lt;&gt;"",J127="在庫"),COUNTIFS($J$5:J127,"在庫",$B$5:B127,"&lt;&gt;"),"")</ns0:f>
        <ns0:v/>
      </ns0:c>
    </ns0:row>
    <ns0:row r="128">
      <ns0:c r="A128" s="5" t="n"/>
      <ns0:c r="B128" s="6" t="n"/>
      <ns0:c r="C128" s="6" t="n"/>
      <ns0:c r="D128" s="7" t="n"/>
      <ns0:c r="E128" s="7" t="n"/>
      <ns0:c r="F128" s="8" t="str">
        <ns0:f>IF(OR(B128="",J128&lt;&gt;"販売済み",E128="",C128=""),"",IFERROR(IF(OR(COUNTIF('手数料マスタ'!$A$5:$A$104,C128)&lt;&gt;1,COUNTIFS('手数料マスタ'!$A$5:$A$104,C128,'手数料マスタ'!$B$5:$B$104,"&lt;&gt;")&lt;&gt;1,NOT(ISNUMBER(VLOOKUP(C128,'手数料マスタ'!$A$5:$B$104,2,FALSE))),VLOOKUP(C128,'手数料マスタ'!$A$5:$B$104,2,FALSE)&lt;0,VLOOKUP(C128,'手数料マスタ'!$A$5:$B$104,2,FALSE)&gt;1),"要確認",ROUND(E128*VLOOKUP(C128,'手数料マスタ'!$A$5:$B$104,2,FALSE),0)),"要確認"))</ns0:f>
        <ns0:v/>
      </ns0:c>
      <ns0:c r="G128" s="7" t="n"/>
      <ns0:c r="H128" s="7" t="n"/>
      <ns0:c r="I128" s="8" t="str">
        <ns0:f>IF(OR(B128="",J128&lt;&gt;"販売済み",D128="",E128="",G128="",H128=""),"",IF(ISNUMBER(F128),E128-D128-F128-G128-H128,"要確認"))</ns0:f>
        <ns0:v/>
      </ns0:c>
      <ns0:c r="J128" s="6" t="n"/>
      <ns0:c r="K128" s="5" t="n"/>
      <ns0:c r="L128" s="9" t="str">
        <ns0:f>IF(AND(B128&lt;&gt;"",J128="在庫"),COUNTIFS($J$5:J128,"在庫",$B$5:B128,"&lt;&gt;"),"")</ns0:f>
        <ns0:v/>
      </ns0:c>
    </ns0:row>
    <ns0:row r="129">
      <ns0:c r="A129" s="5" t="n"/>
      <ns0:c r="B129" s="6" t="n"/>
      <ns0:c r="C129" s="6" t="n"/>
      <ns0:c r="D129" s="7" t="n"/>
      <ns0:c r="E129" s="7" t="n"/>
      <ns0:c r="F129" s="8" t="str">
        <ns0:f>IF(OR(B129="",J129&lt;&gt;"販売済み",E129="",C129=""),"",IFERROR(IF(OR(COUNTIF('手数料マスタ'!$A$5:$A$104,C129)&lt;&gt;1,COUNTIFS('手数料マスタ'!$A$5:$A$104,C129,'手数料マスタ'!$B$5:$B$104,"&lt;&gt;")&lt;&gt;1,NOT(ISNUMBER(VLOOKUP(C129,'手数料マスタ'!$A$5:$B$104,2,FALSE))),VLOOKUP(C129,'手数料マスタ'!$A$5:$B$104,2,FALSE)&lt;0,VLOOKUP(C129,'手数料マスタ'!$A$5:$B$104,2,FALSE)&gt;1),"要確認",ROUND(E129*VLOOKUP(C129,'手数料マスタ'!$A$5:$B$104,2,FALSE),0)),"要確認"))</ns0:f>
        <ns0:v/>
      </ns0:c>
      <ns0:c r="G129" s="7" t="n"/>
      <ns0:c r="H129" s="7" t="n"/>
      <ns0:c r="I129" s="8" t="str">
        <ns0:f>IF(OR(B129="",J129&lt;&gt;"販売済み",D129="",E129="",G129="",H129=""),"",IF(ISNUMBER(F129),E129-D129-F129-G129-H129,"要確認"))</ns0:f>
        <ns0:v/>
      </ns0:c>
      <ns0:c r="J129" s="6" t="n"/>
      <ns0:c r="K129" s="5" t="n"/>
      <ns0:c r="L129" s="9" t="str">
        <ns0:f>IF(AND(B129&lt;&gt;"",J129="在庫"),COUNTIFS($J$5:J129,"在庫",$B$5:B129,"&lt;&gt;"),"")</ns0:f>
        <ns0:v/>
      </ns0:c>
    </ns0:row>
    <ns0:row r="130">
      <ns0:c r="A130" s="5" t="n"/>
      <ns0:c r="B130" s="6" t="n"/>
      <ns0:c r="C130" s="6" t="n"/>
      <ns0:c r="D130" s="7" t="n"/>
      <ns0:c r="E130" s="7" t="n"/>
      <ns0:c r="F130" s="8" t="str">
        <ns0:f>IF(OR(B130="",J130&lt;&gt;"販売済み",E130="",C130=""),"",IFERROR(IF(OR(COUNTIF('手数料マスタ'!$A$5:$A$104,C130)&lt;&gt;1,COUNTIFS('手数料マスタ'!$A$5:$A$104,C130,'手数料マスタ'!$B$5:$B$104,"&lt;&gt;")&lt;&gt;1,NOT(ISNUMBER(VLOOKUP(C130,'手数料マスタ'!$A$5:$B$104,2,FALSE))),VLOOKUP(C130,'手数料マスタ'!$A$5:$B$104,2,FALSE)&lt;0,VLOOKUP(C130,'手数料マスタ'!$A$5:$B$104,2,FALSE)&gt;1),"要確認",ROUND(E130*VLOOKUP(C130,'手数料マスタ'!$A$5:$B$104,2,FALSE),0)),"要確認"))</ns0:f>
        <ns0:v/>
      </ns0:c>
      <ns0:c r="G130" s="7" t="n"/>
      <ns0:c r="H130" s="7" t="n"/>
      <ns0:c r="I130" s="8" t="str">
        <ns0:f>IF(OR(B130="",J130&lt;&gt;"販売済み",D130="",E130="",G130="",H130=""),"",IF(ISNUMBER(F130),E130-D130-F130-G130-H130,"要確認"))</ns0:f>
        <ns0:v/>
      </ns0:c>
      <ns0:c r="J130" s="6" t="n"/>
      <ns0:c r="K130" s="5" t="n"/>
      <ns0:c r="L130" s="9" t="str">
        <ns0:f>IF(AND(B130&lt;&gt;"",J130="在庫"),COUNTIFS($J$5:J130,"在庫",$B$5:B130,"&lt;&gt;"),"")</ns0:f>
        <ns0:v/>
      </ns0:c>
    </ns0:row>
    <ns0:row r="131">
      <ns0:c r="A131" s="5" t="n"/>
      <ns0:c r="B131" s="6" t="n"/>
      <ns0:c r="C131" s="6" t="n"/>
      <ns0:c r="D131" s="7" t="n"/>
      <ns0:c r="E131" s="7" t="n"/>
      <ns0:c r="F131" s="8" t="str">
        <ns0:f>IF(OR(B131="",J131&lt;&gt;"販売済み",E131="",C131=""),"",IFERROR(IF(OR(COUNTIF('手数料マスタ'!$A$5:$A$104,C131)&lt;&gt;1,COUNTIFS('手数料マスタ'!$A$5:$A$104,C131,'手数料マスタ'!$B$5:$B$104,"&lt;&gt;")&lt;&gt;1,NOT(ISNUMBER(VLOOKUP(C131,'手数料マスタ'!$A$5:$B$104,2,FALSE))),VLOOKUP(C131,'手数料マスタ'!$A$5:$B$104,2,FALSE)&lt;0,VLOOKUP(C131,'手数料マスタ'!$A$5:$B$104,2,FALSE)&gt;1),"要確認",ROUND(E131*VLOOKUP(C131,'手数料マスタ'!$A$5:$B$104,2,FALSE),0)),"要確認"))</ns0:f>
        <ns0:v/>
      </ns0:c>
      <ns0:c r="G131" s="7" t="n"/>
      <ns0:c r="H131" s="7" t="n"/>
      <ns0:c r="I131" s="8" t="str">
        <ns0:f>IF(OR(B131="",J131&lt;&gt;"販売済み",D131="",E131="",G131="",H131=""),"",IF(ISNUMBER(F131),E131-D131-F131-G131-H131,"要確認"))</ns0:f>
        <ns0:v/>
      </ns0:c>
      <ns0:c r="J131" s="6" t="n"/>
      <ns0:c r="K131" s="5" t="n"/>
      <ns0:c r="L131" s="9" t="str">
        <ns0:f>IF(AND(B131&lt;&gt;"",J131="在庫"),COUNTIFS($J$5:J131,"在庫",$B$5:B131,"&lt;&gt;"),"")</ns0:f>
        <ns0:v/>
      </ns0:c>
    </ns0:row>
    <ns0:row r="132">
      <ns0:c r="A132" s="5" t="n"/>
      <ns0:c r="B132" s="6" t="n"/>
      <ns0:c r="C132" s="6" t="n"/>
      <ns0:c r="D132" s="7" t="n"/>
      <ns0:c r="E132" s="7" t="n"/>
      <ns0:c r="F132" s="8" t="str">
        <ns0:f>IF(OR(B132="",J132&lt;&gt;"販売済み",E132="",C132=""),"",IFERROR(IF(OR(COUNTIF('手数料マスタ'!$A$5:$A$104,C132)&lt;&gt;1,COUNTIFS('手数料マスタ'!$A$5:$A$104,C132,'手数料マスタ'!$B$5:$B$104,"&lt;&gt;")&lt;&gt;1,NOT(ISNUMBER(VLOOKUP(C132,'手数料マスタ'!$A$5:$B$104,2,FALSE))),VLOOKUP(C132,'手数料マスタ'!$A$5:$B$104,2,FALSE)&lt;0,VLOOKUP(C132,'手数料マスタ'!$A$5:$B$104,2,FALSE)&gt;1),"要確認",ROUND(E132*VLOOKUP(C132,'手数料マスタ'!$A$5:$B$104,2,FALSE),0)),"要確認"))</ns0:f>
        <ns0:v/>
      </ns0:c>
      <ns0:c r="G132" s="7" t="n"/>
      <ns0:c r="H132" s="7" t="n"/>
      <ns0:c r="I132" s="8" t="str">
        <ns0:f>IF(OR(B132="",J132&lt;&gt;"販売済み",D132="",E132="",G132="",H132=""),"",IF(ISNUMBER(F132),E132-D132-F132-G132-H132,"要確認"))</ns0:f>
        <ns0:v/>
      </ns0:c>
      <ns0:c r="J132" s="6" t="n"/>
      <ns0:c r="K132" s="5" t="n"/>
      <ns0:c r="L132" s="9" t="str">
        <ns0:f>IF(AND(B132&lt;&gt;"",J132="在庫"),COUNTIFS($J$5:J132,"在庫",$B$5:B132,"&lt;&gt;"),"")</ns0:f>
        <ns0:v/>
      </ns0:c>
    </ns0:row>
    <ns0:row r="133">
      <ns0:c r="A133" s="5" t="n"/>
      <ns0:c r="B133" s="6" t="n"/>
      <ns0:c r="C133" s="6" t="n"/>
      <ns0:c r="D133" s="7" t="n"/>
      <ns0:c r="E133" s="7" t="n"/>
      <ns0:c r="F133" s="8" t="str">
        <ns0:f>IF(OR(B133="",J133&lt;&gt;"販売済み",E133="",C133=""),"",IFERROR(IF(OR(COUNTIF('手数料マスタ'!$A$5:$A$104,C133)&lt;&gt;1,COUNTIFS('手数料マスタ'!$A$5:$A$104,C133,'手数料マスタ'!$B$5:$B$104,"&lt;&gt;")&lt;&gt;1,NOT(ISNUMBER(VLOOKUP(C133,'手数料マスタ'!$A$5:$B$104,2,FALSE))),VLOOKUP(C133,'手数料マスタ'!$A$5:$B$104,2,FALSE)&lt;0,VLOOKUP(C133,'手数料マスタ'!$A$5:$B$104,2,FALSE)&gt;1),"要確認",ROUND(E133*VLOOKUP(C133,'手数料マスタ'!$A$5:$B$104,2,FALSE),0)),"要確認"))</ns0:f>
        <ns0:v/>
      </ns0:c>
      <ns0:c r="G133" s="7" t="n"/>
      <ns0:c r="H133" s="7" t="n"/>
      <ns0:c r="I133" s="8" t="str">
        <ns0:f>IF(OR(B133="",J133&lt;&gt;"販売済み",D133="",E133="",G133="",H133=""),"",IF(ISNUMBER(F133),E133-D133-F133-G133-H133,"要確認"))</ns0:f>
        <ns0:v/>
      </ns0:c>
      <ns0:c r="J133" s="6" t="n"/>
      <ns0:c r="K133" s="5" t="n"/>
      <ns0:c r="L133" s="9" t="str">
        <ns0:f>IF(AND(B133&lt;&gt;"",J133="在庫"),COUNTIFS($J$5:J133,"在庫",$B$5:B133,"&lt;&gt;"),"")</ns0:f>
        <ns0:v/>
      </ns0:c>
    </ns0:row>
    <ns0:row r="134">
      <ns0:c r="A134" s="5" t="n"/>
      <ns0:c r="B134" s="6" t="n"/>
      <ns0:c r="C134" s="6" t="n"/>
      <ns0:c r="D134" s="7" t="n"/>
      <ns0:c r="E134" s="7" t="n"/>
      <ns0:c r="F134" s="8" t="str">
        <ns0:f>IF(OR(B134="",J134&lt;&gt;"販売済み",E134="",C134=""),"",IFERROR(IF(OR(COUNTIF('手数料マスタ'!$A$5:$A$104,C134)&lt;&gt;1,COUNTIFS('手数料マスタ'!$A$5:$A$104,C134,'手数料マスタ'!$B$5:$B$104,"&lt;&gt;")&lt;&gt;1,NOT(ISNUMBER(VLOOKUP(C134,'手数料マスタ'!$A$5:$B$104,2,FALSE))),VLOOKUP(C134,'手数料マスタ'!$A$5:$B$104,2,FALSE)&lt;0,VLOOKUP(C134,'手数料マスタ'!$A$5:$B$104,2,FALSE)&gt;1),"要確認",ROUND(E134*VLOOKUP(C134,'手数料マスタ'!$A$5:$B$104,2,FALSE),0)),"要確認"))</ns0:f>
        <ns0:v/>
      </ns0:c>
      <ns0:c r="G134" s="7" t="n"/>
      <ns0:c r="H134" s="7" t="n"/>
      <ns0:c r="I134" s="8" t="str">
        <ns0:f>IF(OR(B134="",J134&lt;&gt;"販売済み",D134="",E134="",G134="",H134=""),"",IF(ISNUMBER(F134),E134-D134-F134-G134-H134,"要確認"))</ns0:f>
        <ns0:v/>
      </ns0:c>
      <ns0:c r="J134" s="6" t="n"/>
      <ns0:c r="K134" s="5" t="n"/>
      <ns0:c r="L134" s="9" t="str">
        <ns0:f>IF(AND(B134&lt;&gt;"",J134="在庫"),COUNTIFS($J$5:J134,"在庫",$B$5:B134,"&lt;&gt;"),"")</ns0:f>
        <ns0:v/>
      </ns0:c>
    </ns0:row>
    <ns0:row r="135">
      <ns0:c r="A135" s="5" t="n"/>
      <ns0:c r="B135" s="6" t="n"/>
      <ns0:c r="C135" s="6" t="n"/>
      <ns0:c r="D135" s="7" t="n"/>
      <ns0:c r="E135" s="7" t="n"/>
      <ns0:c r="F135" s="8" t="str">
        <ns0:f>IF(OR(B135="",J135&lt;&gt;"販売済み",E135="",C135=""),"",IFERROR(IF(OR(COUNTIF('手数料マスタ'!$A$5:$A$104,C135)&lt;&gt;1,COUNTIFS('手数料マスタ'!$A$5:$A$104,C135,'手数料マスタ'!$B$5:$B$104,"&lt;&gt;")&lt;&gt;1,NOT(ISNUMBER(VLOOKUP(C135,'手数料マスタ'!$A$5:$B$104,2,FALSE))),VLOOKUP(C135,'手数料マスタ'!$A$5:$B$104,2,FALSE)&lt;0,VLOOKUP(C135,'手数料マスタ'!$A$5:$B$104,2,FALSE)&gt;1),"要確認",ROUND(E135*VLOOKUP(C135,'手数料マスタ'!$A$5:$B$104,2,FALSE),0)),"要確認"))</ns0:f>
        <ns0:v/>
      </ns0:c>
      <ns0:c r="G135" s="7" t="n"/>
      <ns0:c r="H135" s="7" t="n"/>
      <ns0:c r="I135" s="8" t="str">
        <ns0:f>IF(OR(B135="",J135&lt;&gt;"販売済み",D135="",E135="",G135="",H135=""),"",IF(ISNUMBER(F135),E135-D135-F135-G135-H135,"要確認"))</ns0:f>
        <ns0:v/>
      </ns0:c>
      <ns0:c r="J135" s="6" t="n"/>
      <ns0:c r="K135" s="5" t="n"/>
      <ns0:c r="L135" s="9" t="str">
        <ns0:f>IF(AND(B135&lt;&gt;"",J135="在庫"),COUNTIFS($J$5:J135,"在庫",$B$5:B135,"&lt;&gt;"),"")</ns0:f>
        <ns0:v/>
      </ns0:c>
    </ns0:row>
    <ns0:row r="136">
      <ns0:c r="A136" s="5" t="n"/>
      <ns0:c r="B136" s="6" t="n"/>
      <ns0:c r="C136" s="6" t="n"/>
      <ns0:c r="D136" s="7" t="n"/>
      <ns0:c r="E136" s="7" t="n"/>
      <ns0:c r="F136" s="8" t="str">
        <ns0:f>IF(OR(B136="",J136&lt;&gt;"販売済み",E136="",C136=""),"",IFERROR(IF(OR(COUNTIF('手数料マスタ'!$A$5:$A$104,C136)&lt;&gt;1,COUNTIFS('手数料マスタ'!$A$5:$A$104,C136,'手数料マスタ'!$B$5:$B$104,"&lt;&gt;")&lt;&gt;1,NOT(ISNUMBER(VLOOKUP(C136,'手数料マスタ'!$A$5:$B$104,2,FALSE))),VLOOKUP(C136,'手数料マスタ'!$A$5:$B$104,2,FALSE)&lt;0,VLOOKUP(C136,'手数料マスタ'!$A$5:$B$104,2,FALSE)&gt;1),"要確認",ROUND(E136*VLOOKUP(C136,'手数料マスタ'!$A$5:$B$104,2,FALSE),0)),"要確認"))</ns0:f>
        <ns0:v/>
      </ns0:c>
      <ns0:c r="G136" s="7" t="n"/>
      <ns0:c r="H136" s="7" t="n"/>
      <ns0:c r="I136" s="8" t="str">
        <ns0:f>IF(OR(B136="",J136&lt;&gt;"販売済み",D136="",E136="",G136="",H136=""),"",IF(ISNUMBER(F136),E136-D136-F136-G136-H136,"要確認"))</ns0:f>
        <ns0:v/>
      </ns0:c>
      <ns0:c r="J136" s="6" t="n"/>
      <ns0:c r="K136" s="5" t="n"/>
      <ns0:c r="L136" s="9" t="str">
        <ns0:f>IF(AND(B136&lt;&gt;"",J136="在庫"),COUNTIFS($J$5:J136,"在庫",$B$5:B136,"&lt;&gt;"),"")</ns0:f>
        <ns0:v/>
      </ns0:c>
    </ns0:row>
    <ns0:row r="137">
      <ns0:c r="A137" s="5" t="n"/>
      <ns0:c r="B137" s="6" t="n"/>
      <ns0:c r="C137" s="6" t="n"/>
      <ns0:c r="D137" s="7" t="n"/>
      <ns0:c r="E137" s="7" t="n"/>
      <ns0:c r="F137" s="8" t="str">
        <ns0:f>IF(OR(B137="",J137&lt;&gt;"販売済み",E137="",C137=""),"",IFERROR(IF(OR(COUNTIF('手数料マスタ'!$A$5:$A$104,C137)&lt;&gt;1,COUNTIFS('手数料マスタ'!$A$5:$A$104,C137,'手数料マスタ'!$B$5:$B$104,"&lt;&gt;")&lt;&gt;1,NOT(ISNUMBER(VLOOKUP(C137,'手数料マスタ'!$A$5:$B$104,2,FALSE))),VLOOKUP(C137,'手数料マスタ'!$A$5:$B$104,2,FALSE)&lt;0,VLOOKUP(C137,'手数料マスタ'!$A$5:$B$104,2,FALSE)&gt;1),"要確認",ROUND(E137*VLOOKUP(C137,'手数料マスタ'!$A$5:$B$104,2,FALSE),0)),"要確認"))</ns0:f>
        <ns0:v/>
      </ns0:c>
      <ns0:c r="G137" s="7" t="n"/>
      <ns0:c r="H137" s="7" t="n"/>
      <ns0:c r="I137" s="8" t="str">
        <ns0:f>IF(OR(B137="",J137&lt;&gt;"販売済み",D137="",E137="",G137="",H137=""),"",IF(ISNUMBER(F137),E137-D137-F137-G137-H137,"要確認"))</ns0:f>
        <ns0:v/>
      </ns0:c>
      <ns0:c r="J137" s="6" t="n"/>
      <ns0:c r="K137" s="5" t="n"/>
      <ns0:c r="L137" s="9" t="str">
        <ns0:f>IF(AND(B137&lt;&gt;"",J137="在庫"),COUNTIFS($J$5:J137,"在庫",$B$5:B137,"&lt;&gt;"),"")</ns0:f>
        <ns0:v/>
      </ns0:c>
    </ns0:row>
    <ns0:row r="138">
      <ns0:c r="A138" s="5" t="n"/>
      <ns0:c r="B138" s="6" t="n"/>
      <ns0:c r="C138" s="6" t="n"/>
      <ns0:c r="D138" s="7" t="n"/>
      <ns0:c r="E138" s="7" t="n"/>
      <ns0:c r="F138" s="8" t="str">
        <ns0:f>IF(OR(B138="",J138&lt;&gt;"販売済み",E138="",C138=""),"",IFERROR(IF(OR(COUNTIF('手数料マスタ'!$A$5:$A$104,C138)&lt;&gt;1,COUNTIFS('手数料マスタ'!$A$5:$A$104,C138,'手数料マスタ'!$B$5:$B$104,"&lt;&gt;")&lt;&gt;1,NOT(ISNUMBER(VLOOKUP(C138,'手数料マスタ'!$A$5:$B$104,2,FALSE))),VLOOKUP(C138,'手数料マスタ'!$A$5:$B$104,2,FALSE)&lt;0,VLOOKUP(C138,'手数料マスタ'!$A$5:$B$104,2,FALSE)&gt;1),"要確認",ROUND(E138*VLOOKUP(C138,'手数料マスタ'!$A$5:$B$104,2,FALSE),0)),"要確認"))</ns0:f>
        <ns0:v/>
      </ns0:c>
      <ns0:c r="G138" s="7" t="n"/>
      <ns0:c r="H138" s="7" t="n"/>
      <ns0:c r="I138" s="8" t="str">
        <ns0:f>IF(OR(B138="",J138&lt;&gt;"販売済み",D138="",E138="",G138="",H138=""),"",IF(ISNUMBER(F138),E138-D138-F138-G138-H138,"要確認"))</ns0:f>
        <ns0:v/>
      </ns0:c>
      <ns0:c r="J138" s="6" t="n"/>
      <ns0:c r="K138" s="5" t="n"/>
      <ns0:c r="L138" s="9" t="str">
        <ns0:f>IF(AND(B138&lt;&gt;"",J138="在庫"),COUNTIFS($J$5:J138,"在庫",$B$5:B138,"&lt;&gt;"),"")</ns0:f>
        <ns0:v/>
      </ns0:c>
    </ns0:row>
    <ns0:row r="139">
      <ns0:c r="A139" s="5" t="n"/>
      <ns0:c r="B139" s="6" t="n"/>
      <ns0:c r="C139" s="6" t="n"/>
      <ns0:c r="D139" s="7" t="n"/>
      <ns0:c r="E139" s="7" t="n"/>
      <ns0:c r="F139" s="8" t="str">
        <ns0:f>IF(OR(B139="",J139&lt;&gt;"販売済み",E139="",C139=""),"",IFERROR(IF(OR(COUNTIF('手数料マスタ'!$A$5:$A$104,C139)&lt;&gt;1,COUNTIFS('手数料マスタ'!$A$5:$A$104,C139,'手数料マスタ'!$B$5:$B$104,"&lt;&gt;")&lt;&gt;1,NOT(ISNUMBER(VLOOKUP(C139,'手数料マスタ'!$A$5:$B$104,2,FALSE))),VLOOKUP(C139,'手数料マスタ'!$A$5:$B$104,2,FALSE)&lt;0,VLOOKUP(C139,'手数料マスタ'!$A$5:$B$104,2,FALSE)&gt;1),"要確認",ROUND(E139*VLOOKUP(C139,'手数料マスタ'!$A$5:$B$104,2,FALSE),0)),"要確認"))</ns0:f>
        <ns0:v/>
      </ns0:c>
      <ns0:c r="G139" s="7" t="n"/>
      <ns0:c r="H139" s="7" t="n"/>
      <ns0:c r="I139" s="8" t="str">
        <ns0:f>IF(OR(B139="",J139&lt;&gt;"販売済み",D139="",E139="",G139="",H139=""),"",IF(ISNUMBER(F139),E139-D139-F139-G139-H139,"要確認"))</ns0:f>
        <ns0:v/>
      </ns0:c>
      <ns0:c r="J139" s="6" t="n"/>
      <ns0:c r="K139" s="5" t="n"/>
      <ns0:c r="L139" s="9" t="str">
        <ns0:f>IF(AND(B139&lt;&gt;"",J139="在庫"),COUNTIFS($J$5:J139,"在庫",$B$5:B139,"&lt;&gt;"),"")</ns0:f>
        <ns0:v/>
      </ns0:c>
    </ns0:row>
    <ns0:row r="140">
      <ns0:c r="A140" s="5" t="n"/>
      <ns0:c r="B140" s="6" t="n"/>
      <ns0:c r="C140" s="6" t="n"/>
      <ns0:c r="D140" s="7" t="n"/>
      <ns0:c r="E140" s="7" t="n"/>
      <ns0:c r="F140" s="8" t="str">
        <ns0:f>IF(OR(B140="",J140&lt;&gt;"販売済み",E140="",C140=""),"",IFERROR(IF(OR(COUNTIF('手数料マスタ'!$A$5:$A$104,C140)&lt;&gt;1,COUNTIFS('手数料マスタ'!$A$5:$A$104,C140,'手数料マスタ'!$B$5:$B$104,"&lt;&gt;")&lt;&gt;1,NOT(ISNUMBER(VLOOKUP(C140,'手数料マスタ'!$A$5:$B$104,2,FALSE))),VLOOKUP(C140,'手数料マスタ'!$A$5:$B$104,2,FALSE)&lt;0,VLOOKUP(C140,'手数料マスタ'!$A$5:$B$104,2,FALSE)&gt;1),"要確認",ROUND(E140*VLOOKUP(C140,'手数料マスタ'!$A$5:$B$104,2,FALSE),0)),"要確認"))</ns0:f>
        <ns0:v/>
      </ns0:c>
      <ns0:c r="G140" s="7" t="n"/>
      <ns0:c r="H140" s="7" t="n"/>
      <ns0:c r="I140" s="8" t="str">
        <ns0:f>IF(OR(B140="",J140&lt;&gt;"販売済み",D140="",E140="",G140="",H140=""),"",IF(ISNUMBER(F140),E140-D140-F140-G140-H140,"要確認"))</ns0:f>
        <ns0:v/>
      </ns0:c>
      <ns0:c r="J140" s="6" t="n"/>
      <ns0:c r="K140" s="5" t="n"/>
      <ns0:c r="L140" s="9" t="str">
        <ns0:f>IF(AND(B140&lt;&gt;"",J140="在庫"),COUNTIFS($J$5:J140,"在庫",$B$5:B140,"&lt;&gt;"),"")</ns0:f>
        <ns0:v/>
      </ns0:c>
    </ns0:row>
    <ns0:row r="141">
      <ns0:c r="A141" s="5" t="n"/>
      <ns0:c r="B141" s="6" t="n"/>
      <ns0:c r="C141" s="6" t="n"/>
      <ns0:c r="D141" s="7" t="n"/>
      <ns0:c r="E141" s="7" t="n"/>
      <ns0:c r="F141" s="8" t="str">
        <ns0:f>IF(OR(B141="",J141&lt;&gt;"販売済み",E141="",C141=""),"",IFERROR(IF(OR(COUNTIF('手数料マスタ'!$A$5:$A$104,C141)&lt;&gt;1,COUNTIFS('手数料マスタ'!$A$5:$A$104,C141,'手数料マスタ'!$B$5:$B$104,"&lt;&gt;")&lt;&gt;1,NOT(ISNUMBER(VLOOKUP(C141,'手数料マスタ'!$A$5:$B$104,2,FALSE))),VLOOKUP(C141,'手数料マスタ'!$A$5:$B$104,2,FALSE)&lt;0,VLOOKUP(C141,'手数料マスタ'!$A$5:$B$104,2,FALSE)&gt;1),"要確認",ROUND(E141*VLOOKUP(C141,'手数料マスタ'!$A$5:$B$104,2,FALSE),0)),"要確認"))</ns0:f>
        <ns0:v/>
      </ns0:c>
      <ns0:c r="G141" s="7" t="n"/>
      <ns0:c r="H141" s="7" t="n"/>
      <ns0:c r="I141" s="8" t="str">
        <ns0:f>IF(OR(B141="",J141&lt;&gt;"販売済み",D141="",E141="",G141="",H141=""),"",IF(ISNUMBER(F141),E141-D141-F141-G141-H141,"要確認"))</ns0:f>
        <ns0:v/>
      </ns0:c>
      <ns0:c r="J141" s="6" t="n"/>
      <ns0:c r="K141" s="5" t="n"/>
      <ns0:c r="L141" s="9" t="str">
        <ns0:f>IF(AND(B141&lt;&gt;"",J141="在庫"),COUNTIFS($J$5:J141,"在庫",$B$5:B141,"&lt;&gt;"),"")</ns0:f>
        <ns0:v/>
      </ns0:c>
    </ns0:row>
    <ns0:row r="142">
      <ns0:c r="A142" s="5" t="n"/>
      <ns0:c r="B142" s="6" t="n"/>
      <ns0:c r="C142" s="6" t="n"/>
      <ns0:c r="D142" s="7" t="n"/>
      <ns0:c r="E142" s="7" t="n"/>
      <ns0:c r="F142" s="8" t="str">
        <ns0:f>IF(OR(B142="",J142&lt;&gt;"販売済み",E142="",C142=""),"",IFERROR(IF(OR(COUNTIF('手数料マスタ'!$A$5:$A$104,C142)&lt;&gt;1,COUNTIFS('手数料マスタ'!$A$5:$A$104,C142,'手数料マスタ'!$B$5:$B$104,"&lt;&gt;")&lt;&gt;1,NOT(ISNUMBER(VLOOKUP(C142,'手数料マスタ'!$A$5:$B$104,2,FALSE))),VLOOKUP(C142,'手数料マスタ'!$A$5:$B$104,2,FALSE)&lt;0,VLOOKUP(C142,'手数料マスタ'!$A$5:$B$104,2,FALSE)&gt;1),"要確認",ROUND(E142*VLOOKUP(C142,'手数料マスタ'!$A$5:$B$104,2,FALSE),0)),"要確認"))</ns0:f>
        <ns0:v/>
      </ns0:c>
      <ns0:c r="G142" s="7" t="n"/>
      <ns0:c r="H142" s="7" t="n"/>
      <ns0:c r="I142" s="8" t="str">
        <ns0:f>IF(OR(B142="",J142&lt;&gt;"販売済み",D142="",E142="",G142="",H142=""),"",IF(ISNUMBER(F142),E142-D142-F142-G142-H142,"要確認"))</ns0:f>
        <ns0:v/>
      </ns0:c>
      <ns0:c r="J142" s="6" t="n"/>
      <ns0:c r="K142" s="5" t="n"/>
      <ns0:c r="L142" s="9" t="str">
        <ns0:f>IF(AND(B142&lt;&gt;"",J142="在庫"),COUNTIFS($J$5:J142,"在庫",$B$5:B142,"&lt;&gt;"),"")</ns0:f>
        <ns0:v/>
      </ns0:c>
    </ns0:row>
    <ns0:row r="143">
      <ns0:c r="A143" s="5" t="n"/>
      <ns0:c r="B143" s="6" t="n"/>
      <ns0:c r="C143" s="6" t="n"/>
      <ns0:c r="D143" s="7" t="n"/>
      <ns0:c r="E143" s="7" t="n"/>
      <ns0:c r="F143" s="8" t="str">
        <ns0:f>IF(OR(B143="",J143&lt;&gt;"販売済み",E143="",C143=""),"",IFERROR(IF(OR(COUNTIF('手数料マスタ'!$A$5:$A$104,C143)&lt;&gt;1,COUNTIFS('手数料マスタ'!$A$5:$A$104,C143,'手数料マスタ'!$B$5:$B$104,"&lt;&gt;")&lt;&gt;1,NOT(ISNUMBER(VLOOKUP(C143,'手数料マスタ'!$A$5:$B$104,2,FALSE))),VLOOKUP(C143,'手数料マスタ'!$A$5:$B$104,2,FALSE)&lt;0,VLOOKUP(C143,'手数料マスタ'!$A$5:$B$104,2,FALSE)&gt;1),"要確認",ROUND(E143*VLOOKUP(C143,'手数料マスタ'!$A$5:$B$104,2,FALSE),0)),"要確認"))</ns0:f>
        <ns0:v/>
      </ns0:c>
      <ns0:c r="G143" s="7" t="n"/>
      <ns0:c r="H143" s="7" t="n"/>
      <ns0:c r="I143" s="8" t="str">
        <ns0:f>IF(OR(B143="",J143&lt;&gt;"販売済み",D143="",E143="",G143="",H143=""),"",IF(ISNUMBER(F143),E143-D143-F143-G143-H143,"要確認"))</ns0:f>
        <ns0:v/>
      </ns0:c>
      <ns0:c r="J143" s="6" t="n"/>
      <ns0:c r="K143" s="5" t="n"/>
      <ns0:c r="L143" s="9" t="str">
        <ns0:f>IF(AND(B143&lt;&gt;"",J143="在庫"),COUNTIFS($J$5:J143,"在庫",$B$5:B143,"&lt;&gt;"),"")</ns0:f>
        <ns0:v/>
      </ns0:c>
    </ns0:row>
    <ns0:row r="144">
      <ns0:c r="A144" s="5" t="n"/>
      <ns0:c r="B144" s="6" t="n"/>
      <ns0:c r="C144" s="6" t="n"/>
      <ns0:c r="D144" s="7" t="n"/>
      <ns0:c r="E144" s="7" t="n"/>
      <ns0:c r="F144" s="8" t="str">
        <ns0:f>IF(OR(B144="",J144&lt;&gt;"販売済み",E144="",C144=""),"",IFERROR(IF(OR(COUNTIF('手数料マスタ'!$A$5:$A$104,C144)&lt;&gt;1,COUNTIFS('手数料マスタ'!$A$5:$A$104,C144,'手数料マスタ'!$B$5:$B$104,"&lt;&gt;")&lt;&gt;1,NOT(ISNUMBER(VLOOKUP(C144,'手数料マスタ'!$A$5:$B$104,2,FALSE))),VLOOKUP(C144,'手数料マスタ'!$A$5:$B$104,2,FALSE)&lt;0,VLOOKUP(C144,'手数料マスタ'!$A$5:$B$104,2,FALSE)&gt;1),"要確認",ROUND(E144*VLOOKUP(C144,'手数料マスタ'!$A$5:$B$104,2,FALSE),0)),"要確認"))</ns0:f>
        <ns0:v/>
      </ns0:c>
      <ns0:c r="G144" s="7" t="n"/>
      <ns0:c r="H144" s="7" t="n"/>
      <ns0:c r="I144" s="8" t="str">
        <ns0:f>IF(OR(B144="",J144&lt;&gt;"販売済み",D144="",E144="",G144="",H144=""),"",IF(ISNUMBER(F144),E144-D144-F144-G144-H144,"要確認"))</ns0:f>
        <ns0:v/>
      </ns0:c>
      <ns0:c r="J144" s="6" t="n"/>
      <ns0:c r="K144" s="5" t="n"/>
      <ns0:c r="L144" s="9" t="str">
        <ns0:f>IF(AND(B144&lt;&gt;"",J144="在庫"),COUNTIFS($J$5:J144,"在庫",$B$5:B144,"&lt;&gt;"),"")</ns0:f>
        <ns0:v/>
      </ns0:c>
    </ns0:row>
    <ns0:row r="145">
      <ns0:c r="A145" s="5" t="n"/>
      <ns0:c r="B145" s="6" t="n"/>
      <ns0:c r="C145" s="6" t="n"/>
      <ns0:c r="D145" s="7" t="n"/>
      <ns0:c r="E145" s="7" t="n"/>
      <ns0:c r="F145" s="8" t="str">
        <ns0:f>IF(OR(B145="",J145&lt;&gt;"販売済み",E145="",C145=""),"",IFERROR(IF(OR(COUNTIF('手数料マスタ'!$A$5:$A$104,C145)&lt;&gt;1,COUNTIFS('手数料マスタ'!$A$5:$A$104,C145,'手数料マスタ'!$B$5:$B$104,"&lt;&gt;")&lt;&gt;1,NOT(ISNUMBER(VLOOKUP(C145,'手数料マスタ'!$A$5:$B$104,2,FALSE))),VLOOKUP(C145,'手数料マスタ'!$A$5:$B$104,2,FALSE)&lt;0,VLOOKUP(C145,'手数料マスタ'!$A$5:$B$104,2,FALSE)&gt;1),"要確認",ROUND(E145*VLOOKUP(C145,'手数料マスタ'!$A$5:$B$104,2,FALSE),0)),"要確認"))</ns0:f>
        <ns0:v/>
      </ns0:c>
      <ns0:c r="G145" s="7" t="n"/>
      <ns0:c r="H145" s="7" t="n"/>
      <ns0:c r="I145" s="8" t="str">
        <ns0:f>IF(OR(B145="",J145&lt;&gt;"販売済み",D145="",E145="",G145="",H145=""),"",IF(ISNUMBER(F145),E145-D145-F145-G145-H145,"要確認"))</ns0:f>
        <ns0:v/>
      </ns0:c>
      <ns0:c r="J145" s="6" t="n"/>
      <ns0:c r="K145" s="5" t="n"/>
      <ns0:c r="L145" s="9" t="str">
        <ns0:f>IF(AND(B145&lt;&gt;"",J145="在庫"),COUNTIFS($J$5:J145,"在庫",$B$5:B145,"&lt;&gt;"),"")</ns0:f>
        <ns0:v/>
      </ns0:c>
    </ns0:row>
    <ns0:row r="146">
      <ns0:c r="A146" s="5" t="n"/>
      <ns0:c r="B146" s="6" t="n"/>
      <ns0:c r="C146" s="6" t="n"/>
      <ns0:c r="D146" s="7" t="n"/>
      <ns0:c r="E146" s="7" t="n"/>
      <ns0:c r="F146" s="8" t="str">
        <ns0:f>IF(OR(B146="",J146&lt;&gt;"販売済み",E146="",C146=""),"",IFERROR(IF(OR(COUNTIF('手数料マスタ'!$A$5:$A$104,C146)&lt;&gt;1,COUNTIFS('手数料マスタ'!$A$5:$A$104,C146,'手数料マスタ'!$B$5:$B$104,"&lt;&gt;")&lt;&gt;1,NOT(ISNUMBER(VLOOKUP(C146,'手数料マスタ'!$A$5:$B$104,2,FALSE))),VLOOKUP(C146,'手数料マスタ'!$A$5:$B$104,2,FALSE)&lt;0,VLOOKUP(C146,'手数料マスタ'!$A$5:$B$104,2,FALSE)&gt;1),"要確認",ROUND(E146*VLOOKUP(C146,'手数料マスタ'!$A$5:$B$104,2,FALSE),0)),"要確認"))</ns0:f>
        <ns0:v/>
      </ns0:c>
      <ns0:c r="G146" s="7" t="n"/>
      <ns0:c r="H146" s="7" t="n"/>
      <ns0:c r="I146" s="8" t="str">
        <ns0:f>IF(OR(B146="",J146&lt;&gt;"販売済み",D146="",E146="",G146="",H146=""),"",IF(ISNUMBER(F146),E146-D146-F146-G146-H146,"要確認"))</ns0:f>
        <ns0:v/>
      </ns0:c>
      <ns0:c r="J146" s="6" t="n"/>
      <ns0:c r="K146" s="5" t="n"/>
      <ns0:c r="L146" s="9" t="str">
        <ns0:f>IF(AND(B146&lt;&gt;"",J146="在庫"),COUNTIFS($J$5:J146,"在庫",$B$5:B146,"&lt;&gt;"),"")</ns0:f>
        <ns0:v/>
      </ns0:c>
    </ns0:row>
    <ns0:row r="147">
      <ns0:c r="A147" s="5" t="n"/>
      <ns0:c r="B147" s="6" t="n"/>
      <ns0:c r="C147" s="6" t="n"/>
      <ns0:c r="D147" s="7" t="n"/>
      <ns0:c r="E147" s="7" t="n"/>
      <ns0:c r="F147" s="8" t="str">
        <ns0:f>IF(OR(B147="",J147&lt;&gt;"販売済み",E147="",C147=""),"",IFERROR(IF(OR(COUNTIF('手数料マスタ'!$A$5:$A$104,C147)&lt;&gt;1,COUNTIFS('手数料マスタ'!$A$5:$A$104,C147,'手数料マスタ'!$B$5:$B$104,"&lt;&gt;")&lt;&gt;1,NOT(ISNUMBER(VLOOKUP(C147,'手数料マスタ'!$A$5:$B$104,2,FALSE))),VLOOKUP(C147,'手数料マスタ'!$A$5:$B$104,2,FALSE)&lt;0,VLOOKUP(C147,'手数料マスタ'!$A$5:$B$104,2,FALSE)&gt;1),"要確認",ROUND(E147*VLOOKUP(C147,'手数料マスタ'!$A$5:$B$104,2,FALSE),0)),"要確認"))</ns0:f>
        <ns0:v/>
      </ns0:c>
      <ns0:c r="G147" s="7" t="n"/>
      <ns0:c r="H147" s="7" t="n"/>
      <ns0:c r="I147" s="8" t="str">
        <ns0:f>IF(OR(B147="",J147&lt;&gt;"販売済み",D147="",E147="",G147="",H147=""),"",IF(ISNUMBER(F147),E147-D147-F147-G147-H147,"要確認"))</ns0:f>
        <ns0:v/>
      </ns0:c>
      <ns0:c r="J147" s="6" t="n"/>
      <ns0:c r="K147" s="5" t="n"/>
      <ns0:c r="L147" s="9" t="str">
        <ns0:f>IF(AND(B147&lt;&gt;"",J147="在庫"),COUNTIFS($J$5:J147,"在庫",$B$5:B147,"&lt;&gt;"),"")</ns0:f>
        <ns0:v/>
      </ns0:c>
    </ns0:row>
    <ns0:row r="148">
      <ns0:c r="A148" s="5" t="n"/>
      <ns0:c r="B148" s="6" t="n"/>
      <ns0:c r="C148" s="6" t="n"/>
      <ns0:c r="D148" s="7" t="n"/>
      <ns0:c r="E148" s="7" t="n"/>
      <ns0:c r="F148" s="8" t="str">
        <ns0:f>IF(OR(B148="",J148&lt;&gt;"販売済み",E148="",C148=""),"",IFERROR(IF(OR(COUNTIF('手数料マスタ'!$A$5:$A$104,C148)&lt;&gt;1,COUNTIFS('手数料マスタ'!$A$5:$A$104,C148,'手数料マスタ'!$B$5:$B$104,"&lt;&gt;")&lt;&gt;1,NOT(ISNUMBER(VLOOKUP(C148,'手数料マスタ'!$A$5:$B$104,2,FALSE))),VLOOKUP(C148,'手数料マスタ'!$A$5:$B$104,2,FALSE)&lt;0,VLOOKUP(C148,'手数料マスタ'!$A$5:$B$104,2,FALSE)&gt;1),"要確認",ROUND(E148*VLOOKUP(C148,'手数料マスタ'!$A$5:$B$104,2,FALSE),0)),"要確認"))</ns0:f>
        <ns0:v/>
      </ns0:c>
      <ns0:c r="G148" s="7" t="n"/>
      <ns0:c r="H148" s="7" t="n"/>
      <ns0:c r="I148" s="8" t="str">
        <ns0:f>IF(OR(B148="",J148&lt;&gt;"販売済み",D148="",E148="",G148="",H148=""),"",IF(ISNUMBER(F148),E148-D148-F148-G148-H148,"要確認"))</ns0:f>
        <ns0:v/>
      </ns0:c>
      <ns0:c r="J148" s="6" t="n"/>
      <ns0:c r="K148" s="5" t="n"/>
      <ns0:c r="L148" s="9" t="str">
        <ns0:f>IF(AND(B148&lt;&gt;"",J148="在庫"),COUNTIFS($J$5:J148,"在庫",$B$5:B148,"&lt;&gt;"),"")</ns0:f>
        <ns0:v/>
      </ns0:c>
    </ns0:row>
    <ns0:row r="149">
      <ns0:c r="A149" s="5" t="n"/>
      <ns0:c r="B149" s="6" t="n"/>
      <ns0:c r="C149" s="6" t="n"/>
      <ns0:c r="D149" s="7" t="n"/>
      <ns0:c r="E149" s="7" t="n"/>
      <ns0:c r="F149" s="8" t="str">
        <ns0:f>IF(OR(B149="",J149&lt;&gt;"販売済み",E149="",C149=""),"",IFERROR(IF(OR(COUNTIF('手数料マスタ'!$A$5:$A$104,C149)&lt;&gt;1,COUNTIFS('手数料マスタ'!$A$5:$A$104,C149,'手数料マスタ'!$B$5:$B$104,"&lt;&gt;")&lt;&gt;1,NOT(ISNUMBER(VLOOKUP(C149,'手数料マスタ'!$A$5:$B$104,2,FALSE))),VLOOKUP(C149,'手数料マスタ'!$A$5:$B$104,2,FALSE)&lt;0,VLOOKUP(C149,'手数料マスタ'!$A$5:$B$104,2,FALSE)&gt;1),"要確認",ROUND(E149*VLOOKUP(C149,'手数料マスタ'!$A$5:$B$104,2,FALSE),0)),"要確認"))</ns0:f>
        <ns0:v/>
      </ns0:c>
      <ns0:c r="G149" s="7" t="n"/>
      <ns0:c r="H149" s="7" t="n"/>
      <ns0:c r="I149" s="8" t="str">
        <ns0:f>IF(OR(B149="",J149&lt;&gt;"販売済み",D149="",E149="",G149="",H149=""),"",IF(ISNUMBER(F149),E149-D149-F149-G149-H149,"要確認"))</ns0:f>
        <ns0:v/>
      </ns0:c>
      <ns0:c r="J149" s="6" t="n"/>
      <ns0:c r="K149" s="5" t="n"/>
      <ns0:c r="L149" s="9" t="str">
        <ns0:f>IF(AND(B149&lt;&gt;"",J149="在庫"),COUNTIFS($J$5:J149,"在庫",$B$5:B149,"&lt;&gt;"),"")</ns0:f>
        <ns0:v/>
      </ns0:c>
    </ns0:row>
    <ns0:row r="150">
      <ns0:c r="A150" s="5" t="n"/>
      <ns0:c r="B150" s="6" t="n"/>
      <ns0:c r="C150" s="6" t="n"/>
      <ns0:c r="D150" s="7" t="n"/>
      <ns0:c r="E150" s="7" t="n"/>
      <ns0:c r="F150" s="8" t="str">
        <ns0:f>IF(OR(B150="",J150&lt;&gt;"販売済み",E150="",C150=""),"",IFERROR(IF(OR(COUNTIF('手数料マスタ'!$A$5:$A$104,C150)&lt;&gt;1,COUNTIFS('手数料マスタ'!$A$5:$A$104,C150,'手数料マスタ'!$B$5:$B$104,"&lt;&gt;")&lt;&gt;1,NOT(ISNUMBER(VLOOKUP(C150,'手数料マスタ'!$A$5:$B$104,2,FALSE))),VLOOKUP(C150,'手数料マスタ'!$A$5:$B$104,2,FALSE)&lt;0,VLOOKUP(C150,'手数料マスタ'!$A$5:$B$104,2,FALSE)&gt;1),"要確認",ROUND(E150*VLOOKUP(C150,'手数料マスタ'!$A$5:$B$104,2,FALSE),0)),"要確認"))</ns0:f>
        <ns0:v/>
      </ns0:c>
      <ns0:c r="G150" s="7" t="n"/>
      <ns0:c r="H150" s="7" t="n"/>
      <ns0:c r="I150" s="8" t="str">
        <ns0:f>IF(OR(B150="",J150&lt;&gt;"販売済み",D150="",E150="",G150="",H150=""),"",IF(ISNUMBER(F150),E150-D150-F150-G150-H150,"要確認"))</ns0:f>
        <ns0:v/>
      </ns0:c>
      <ns0:c r="J150" s="6" t="n"/>
      <ns0:c r="K150" s="5" t="n"/>
      <ns0:c r="L150" s="9" t="str">
        <ns0:f>IF(AND(B150&lt;&gt;"",J150="在庫"),COUNTIFS($J$5:J150,"在庫",$B$5:B150,"&lt;&gt;"),"")</ns0:f>
        <ns0:v/>
      </ns0:c>
    </ns0:row>
    <ns0:row r="151">
      <ns0:c r="A151" s="5" t="n"/>
      <ns0:c r="B151" s="6" t="n"/>
      <ns0:c r="C151" s="6" t="n"/>
      <ns0:c r="D151" s="7" t="n"/>
      <ns0:c r="E151" s="7" t="n"/>
      <ns0:c r="F151" s="8" t="str">
        <ns0:f>IF(OR(B151="",J151&lt;&gt;"販売済み",E151="",C151=""),"",IFERROR(IF(OR(COUNTIF('手数料マスタ'!$A$5:$A$104,C151)&lt;&gt;1,COUNTIFS('手数料マスタ'!$A$5:$A$104,C151,'手数料マスタ'!$B$5:$B$104,"&lt;&gt;")&lt;&gt;1,NOT(ISNUMBER(VLOOKUP(C151,'手数料マスタ'!$A$5:$B$104,2,FALSE))),VLOOKUP(C151,'手数料マスタ'!$A$5:$B$104,2,FALSE)&lt;0,VLOOKUP(C151,'手数料マスタ'!$A$5:$B$104,2,FALSE)&gt;1),"要確認",ROUND(E151*VLOOKUP(C151,'手数料マスタ'!$A$5:$B$104,2,FALSE),0)),"要確認"))</ns0:f>
        <ns0:v/>
      </ns0:c>
      <ns0:c r="G151" s="7" t="n"/>
      <ns0:c r="H151" s="7" t="n"/>
      <ns0:c r="I151" s="8" t="str">
        <ns0:f>IF(OR(B151="",J151&lt;&gt;"販売済み",D151="",E151="",G151="",H151=""),"",IF(ISNUMBER(F151),E151-D151-F151-G151-H151,"要確認"))</ns0:f>
        <ns0:v/>
      </ns0:c>
      <ns0:c r="J151" s="6" t="n"/>
      <ns0:c r="K151" s="5" t="n"/>
      <ns0:c r="L151" s="9" t="str">
        <ns0:f>IF(AND(B151&lt;&gt;"",J151="在庫"),COUNTIFS($J$5:J151,"在庫",$B$5:B151,"&lt;&gt;"),"")</ns0:f>
        <ns0:v/>
      </ns0:c>
    </ns0:row>
    <ns0:row r="152">
      <ns0:c r="A152" s="5" t="n"/>
      <ns0:c r="B152" s="6" t="n"/>
      <ns0:c r="C152" s="6" t="n"/>
      <ns0:c r="D152" s="7" t="n"/>
      <ns0:c r="E152" s="7" t="n"/>
      <ns0:c r="F152" s="8" t="str">
        <ns0:f>IF(OR(B152="",J152&lt;&gt;"販売済み",E152="",C152=""),"",IFERROR(IF(OR(COUNTIF('手数料マスタ'!$A$5:$A$104,C152)&lt;&gt;1,COUNTIFS('手数料マスタ'!$A$5:$A$104,C152,'手数料マスタ'!$B$5:$B$104,"&lt;&gt;")&lt;&gt;1,NOT(ISNUMBER(VLOOKUP(C152,'手数料マスタ'!$A$5:$B$104,2,FALSE))),VLOOKUP(C152,'手数料マスタ'!$A$5:$B$104,2,FALSE)&lt;0,VLOOKUP(C152,'手数料マスタ'!$A$5:$B$104,2,FALSE)&gt;1),"要確認",ROUND(E152*VLOOKUP(C152,'手数料マスタ'!$A$5:$B$104,2,FALSE),0)),"要確認"))</ns0:f>
        <ns0:v/>
      </ns0:c>
      <ns0:c r="G152" s="7" t="n"/>
      <ns0:c r="H152" s="7" t="n"/>
      <ns0:c r="I152" s="8" t="str">
        <ns0:f>IF(OR(B152="",J152&lt;&gt;"販売済み",D152="",E152="",G152="",H152=""),"",IF(ISNUMBER(F152),E152-D152-F152-G152-H152,"要確認"))</ns0:f>
        <ns0:v/>
      </ns0:c>
      <ns0:c r="J152" s="6" t="n"/>
      <ns0:c r="K152" s="5" t="n"/>
      <ns0:c r="L152" s="9" t="str">
        <ns0:f>IF(AND(B152&lt;&gt;"",J152="在庫"),COUNTIFS($J$5:J152,"在庫",$B$5:B152,"&lt;&gt;"),"")</ns0:f>
        <ns0:v/>
      </ns0:c>
    </ns0:row>
    <ns0:row r="153">
      <ns0:c r="A153" s="5" t="n"/>
      <ns0:c r="B153" s="6" t="n"/>
      <ns0:c r="C153" s="6" t="n"/>
      <ns0:c r="D153" s="7" t="n"/>
      <ns0:c r="E153" s="7" t="n"/>
      <ns0:c r="F153" s="8" t="str">
        <ns0:f>IF(OR(B153="",J153&lt;&gt;"販売済み",E153="",C153=""),"",IFERROR(IF(OR(COUNTIF('手数料マスタ'!$A$5:$A$104,C153)&lt;&gt;1,COUNTIFS('手数料マスタ'!$A$5:$A$104,C153,'手数料マスタ'!$B$5:$B$104,"&lt;&gt;")&lt;&gt;1,NOT(ISNUMBER(VLOOKUP(C153,'手数料マスタ'!$A$5:$B$104,2,FALSE))),VLOOKUP(C153,'手数料マスタ'!$A$5:$B$104,2,FALSE)&lt;0,VLOOKUP(C153,'手数料マスタ'!$A$5:$B$104,2,FALSE)&gt;1),"要確認",ROUND(E153*VLOOKUP(C153,'手数料マスタ'!$A$5:$B$104,2,FALSE),0)),"要確認"))</ns0:f>
        <ns0:v/>
      </ns0:c>
      <ns0:c r="G153" s="7" t="n"/>
      <ns0:c r="H153" s="7" t="n"/>
      <ns0:c r="I153" s="8" t="str">
        <ns0:f>IF(OR(B153="",J153&lt;&gt;"販売済み",D153="",E153="",G153="",H153=""),"",IF(ISNUMBER(F153),E153-D153-F153-G153-H153,"要確認"))</ns0:f>
        <ns0:v/>
      </ns0:c>
      <ns0:c r="J153" s="6" t="n"/>
      <ns0:c r="K153" s="5" t="n"/>
      <ns0:c r="L153" s="9" t="str">
        <ns0:f>IF(AND(B153&lt;&gt;"",J153="在庫"),COUNTIFS($J$5:J153,"在庫",$B$5:B153,"&lt;&gt;"),"")</ns0:f>
        <ns0:v/>
      </ns0:c>
    </ns0:row>
    <ns0:row r="154">
      <ns0:c r="A154" s="5" t="n"/>
      <ns0:c r="B154" s="6" t="n"/>
      <ns0:c r="C154" s="6" t="n"/>
      <ns0:c r="D154" s="7" t="n"/>
      <ns0:c r="E154" s="7" t="n"/>
      <ns0:c r="F154" s="8" t="str">
        <ns0:f>IF(OR(B154="",J154&lt;&gt;"販売済み",E154="",C154=""),"",IFERROR(IF(OR(COUNTIF('手数料マスタ'!$A$5:$A$104,C154)&lt;&gt;1,COUNTIFS('手数料マスタ'!$A$5:$A$104,C154,'手数料マスタ'!$B$5:$B$104,"&lt;&gt;")&lt;&gt;1,NOT(ISNUMBER(VLOOKUP(C154,'手数料マスタ'!$A$5:$B$104,2,FALSE))),VLOOKUP(C154,'手数料マスタ'!$A$5:$B$104,2,FALSE)&lt;0,VLOOKUP(C154,'手数料マスタ'!$A$5:$B$104,2,FALSE)&gt;1),"要確認",ROUND(E154*VLOOKUP(C154,'手数料マスタ'!$A$5:$B$104,2,FALSE),0)),"要確認"))</ns0:f>
        <ns0:v/>
      </ns0:c>
      <ns0:c r="G154" s="7" t="n"/>
      <ns0:c r="H154" s="7" t="n"/>
      <ns0:c r="I154" s="8" t="str">
        <ns0:f>IF(OR(B154="",J154&lt;&gt;"販売済み",D154="",E154="",G154="",H154=""),"",IF(ISNUMBER(F154),E154-D154-F154-G154-H154,"要確認"))</ns0:f>
        <ns0:v/>
      </ns0:c>
      <ns0:c r="J154" s="6" t="n"/>
      <ns0:c r="K154" s="5" t="n"/>
      <ns0:c r="L154" s="9" t="str">
        <ns0:f>IF(AND(B154&lt;&gt;"",J154="在庫"),COUNTIFS($J$5:J154,"在庫",$B$5:B154,"&lt;&gt;"),"")</ns0:f>
        <ns0:v/>
      </ns0:c>
    </ns0:row>
    <ns0:row r="155">
      <ns0:c r="A155" s="5" t="n"/>
      <ns0:c r="B155" s="6" t="n"/>
      <ns0:c r="C155" s="6" t="n"/>
      <ns0:c r="D155" s="7" t="n"/>
      <ns0:c r="E155" s="7" t="n"/>
      <ns0:c r="F155" s="8" t="str">
        <ns0:f>IF(OR(B155="",J155&lt;&gt;"販売済み",E155="",C155=""),"",IFERROR(IF(OR(COUNTIF('手数料マスタ'!$A$5:$A$104,C155)&lt;&gt;1,COUNTIFS('手数料マスタ'!$A$5:$A$104,C155,'手数料マスタ'!$B$5:$B$104,"&lt;&gt;")&lt;&gt;1,NOT(ISNUMBER(VLOOKUP(C155,'手数料マスタ'!$A$5:$B$104,2,FALSE))),VLOOKUP(C155,'手数料マスタ'!$A$5:$B$104,2,FALSE)&lt;0,VLOOKUP(C155,'手数料マスタ'!$A$5:$B$104,2,FALSE)&gt;1),"要確認",ROUND(E155*VLOOKUP(C155,'手数料マスタ'!$A$5:$B$104,2,FALSE),0)),"要確認"))</ns0:f>
        <ns0:v/>
      </ns0:c>
      <ns0:c r="G155" s="7" t="n"/>
      <ns0:c r="H155" s="7" t="n"/>
      <ns0:c r="I155" s="8" t="str">
        <ns0:f>IF(OR(B155="",J155&lt;&gt;"販売済み",D155="",E155="",G155="",H155=""),"",IF(ISNUMBER(F155),E155-D155-F155-G155-H155,"要確認"))</ns0:f>
        <ns0:v/>
      </ns0:c>
      <ns0:c r="J155" s="6" t="n"/>
      <ns0:c r="K155" s="5" t="n"/>
      <ns0:c r="L155" s="9" t="str">
        <ns0:f>IF(AND(B155&lt;&gt;"",J155="在庫"),COUNTIFS($J$5:J155,"在庫",$B$5:B155,"&lt;&gt;"),"")</ns0:f>
        <ns0:v/>
      </ns0:c>
    </ns0:row>
    <ns0:row r="156">
      <ns0:c r="A156" s="5" t="n"/>
      <ns0:c r="B156" s="6" t="n"/>
      <ns0:c r="C156" s="6" t="n"/>
      <ns0:c r="D156" s="7" t="n"/>
      <ns0:c r="E156" s="7" t="n"/>
      <ns0:c r="F156" s="8" t="str">
        <ns0:f>IF(OR(B156="",J156&lt;&gt;"販売済み",E156="",C156=""),"",IFERROR(IF(OR(COUNTIF('手数料マスタ'!$A$5:$A$104,C156)&lt;&gt;1,COUNTIFS('手数料マスタ'!$A$5:$A$104,C156,'手数料マスタ'!$B$5:$B$104,"&lt;&gt;")&lt;&gt;1,NOT(ISNUMBER(VLOOKUP(C156,'手数料マスタ'!$A$5:$B$104,2,FALSE))),VLOOKUP(C156,'手数料マスタ'!$A$5:$B$104,2,FALSE)&lt;0,VLOOKUP(C156,'手数料マスタ'!$A$5:$B$104,2,FALSE)&gt;1),"要確認",ROUND(E156*VLOOKUP(C156,'手数料マスタ'!$A$5:$B$104,2,FALSE),0)),"要確認"))</ns0:f>
        <ns0:v/>
      </ns0:c>
      <ns0:c r="G156" s="7" t="n"/>
      <ns0:c r="H156" s="7" t="n"/>
      <ns0:c r="I156" s="8" t="str">
        <ns0:f>IF(OR(B156="",J156&lt;&gt;"販売済み",D156="",E156="",G156="",H156=""),"",IF(ISNUMBER(F156),E156-D156-F156-G156-H156,"要確認"))</ns0:f>
        <ns0:v/>
      </ns0:c>
      <ns0:c r="J156" s="6" t="n"/>
      <ns0:c r="K156" s="5" t="n"/>
      <ns0:c r="L156" s="9" t="str">
        <ns0:f>IF(AND(B156&lt;&gt;"",J156="在庫"),COUNTIFS($J$5:J156,"在庫",$B$5:B156,"&lt;&gt;"),"")</ns0:f>
        <ns0:v/>
      </ns0:c>
    </ns0:row>
    <ns0:row r="157">
      <ns0:c r="A157" s="5" t="n"/>
      <ns0:c r="B157" s="6" t="n"/>
      <ns0:c r="C157" s="6" t="n"/>
      <ns0:c r="D157" s="7" t="n"/>
      <ns0:c r="E157" s="7" t="n"/>
      <ns0:c r="F157" s="8" t="str">
        <ns0:f>IF(OR(B157="",J157&lt;&gt;"販売済み",E157="",C157=""),"",IFERROR(IF(OR(COUNTIF('手数料マスタ'!$A$5:$A$104,C157)&lt;&gt;1,COUNTIFS('手数料マスタ'!$A$5:$A$104,C157,'手数料マスタ'!$B$5:$B$104,"&lt;&gt;")&lt;&gt;1,NOT(ISNUMBER(VLOOKUP(C157,'手数料マスタ'!$A$5:$B$104,2,FALSE))),VLOOKUP(C157,'手数料マスタ'!$A$5:$B$104,2,FALSE)&lt;0,VLOOKUP(C157,'手数料マスタ'!$A$5:$B$104,2,FALSE)&gt;1),"要確認",ROUND(E157*VLOOKUP(C157,'手数料マスタ'!$A$5:$B$104,2,FALSE),0)),"要確認"))</ns0:f>
        <ns0:v/>
      </ns0:c>
      <ns0:c r="G157" s="7" t="n"/>
      <ns0:c r="H157" s="7" t="n"/>
      <ns0:c r="I157" s="8" t="str">
        <ns0:f>IF(OR(B157="",J157&lt;&gt;"販売済み",D157="",E157="",G157="",H157=""),"",IF(ISNUMBER(F157),E157-D157-F157-G157-H157,"要確認"))</ns0:f>
        <ns0:v/>
      </ns0:c>
      <ns0:c r="J157" s="6" t="n"/>
      <ns0:c r="K157" s="5" t="n"/>
      <ns0:c r="L157" s="9" t="str">
        <ns0:f>IF(AND(B157&lt;&gt;"",J157="在庫"),COUNTIFS($J$5:J157,"在庫",$B$5:B157,"&lt;&gt;"),"")</ns0:f>
        <ns0:v/>
      </ns0:c>
    </ns0:row>
    <ns0:row r="158">
      <ns0:c r="A158" s="5" t="n"/>
      <ns0:c r="B158" s="6" t="n"/>
      <ns0:c r="C158" s="6" t="n"/>
      <ns0:c r="D158" s="7" t="n"/>
      <ns0:c r="E158" s="7" t="n"/>
      <ns0:c r="F158" s="8" t="str">
        <ns0:f>IF(OR(B158="",J158&lt;&gt;"販売済み",E158="",C158=""),"",IFERROR(IF(OR(COUNTIF('手数料マスタ'!$A$5:$A$104,C158)&lt;&gt;1,COUNTIFS('手数料マスタ'!$A$5:$A$104,C158,'手数料マスタ'!$B$5:$B$104,"&lt;&gt;")&lt;&gt;1,NOT(ISNUMBER(VLOOKUP(C158,'手数料マスタ'!$A$5:$B$104,2,FALSE))),VLOOKUP(C158,'手数料マスタ'!$A$5:$B$104,2,FALSE)&lt;0,VLOOKUP(C158,'手数料マスタ'!$A$5:$B$104,2,FALSE)&gt;1),"要確認",ROUND(E158*VLOOKUP(C158,'手数料マスタ'!$A$5:$B$104,2,FALSE),0)),"要確認"))</ns0:f>
        <ns0:v/>
      </ns0:c>
      <ns0:c r="G158" s="7" t="n"/>
      <ns0:c r="H158" s="7" t="n"/>
      <ns0:c r="I158" s="8" t="str">
        <ns0:f>IF(OR(B158="",J158&lt;&gt;"販売済み",D158="",E158="",G158="",H158=""),"",IF(ISNUMBER(F158),E158-D158-F158-G158-H158,"要確認"))</ns0:f>
        <ns0:v/>
      </ns0:c>
      <ns0:c r="J158" s="6" t="n"/>
      <ns0:c r="K158" s="5" t="n"/>
      <ns0:c r="L158" s="9" t="str">
        <ns0:f>IF(AND(B158&lt;&gt;"",J158="在庫"),COUNTIFS($J$5:J158,"在庫",$B$5:B158,"&lt;&gt;"),"")</ns0:f>
        <ns0:v/>
      </ns0:c>
    </ns0:row>
    <ns0:row r="159">
      <ns0:c r="A159" s="5" t="n"/>
      <ns0:c r="B159" s="6" t="n"/>
      <ns0:c r="C159" s="6" t="n"/>
      <ns0:c r="D159" s="7" t="n"/>
      <ns0:c r="E159" s="7" t="n"/>
      <ns0:c r="F159" s="8" t="str">
        <ns0:f>IF(OR(B159="",J159&lt;&gt;"販売済み",E159="",C159=""),"",IFERROR(IF(OR(COUNTIF('手数料マスタ'!$A$5:$A$104,C159)&lt;&gt;1,COUNTIFS('手数料マスタ'!$A$5:$A$104,C159,'手数料マスタ'!$B$5:$B$104,"&lt;&gt;")&lt;&gt;1,NOT(ISNUMBER(VLOOKUP(C159,'手数料マスタ'!$A$5:$B$104,2,FALSE))),VLOOKUP(C159,'手数料マスタ'!$A$5:$B$104,2,FALSE)&lt;0,VLOOKUP(C159,'手数料マスタ'!$A$5:$B$104,2,FALSE)&gt;1),"要確認",ROUND(E159*VLOOKUP(C159,'手数料マスタ'!$A$5:$B$104,2,FALSE),0)),"要確認"))</ns0:f>
        <ns0:v/>
      </ns0:c>
      <ns0:c r="G159" s="7" t="n"/>
      <ns0:c r="H159" s="7" t="n"/>
      <ns0:c r="I159" s="8" t="str">
        <ns0:f>IF(OR(B159="",J159&lt;&gt;"販売済み",D159="",E159="",G159="",H159=""),"",IF(ISNUMBER(F159),E159-D159-F159-G159-H159,"要確認"))</ns0:f>
        <ns0:v/>
      </ns0:c>
      <ns0:c r="J159" s="6" t="n"/>
      <ns0:c r="K159" s="5" t="n"/>
      <ns0:c r="L159" s="9" t="str">
        <ns0:f>IF(AND(B159&lt;&gt;"",J159="在庫"),COUNTIFS($J$5:J159,"在庫",$B$5:B159,"&lt;&gt;"),"")</ns0:f>
        <ns0:v/>
      </ns0:c>
    </ns0:row>
    <ns0:row r="160">
      <ns0:c r="A160" s="5" t="n"/>
      <ns0:c r="B160" s="6" t="n"/>
      <ns0:c r="C160" s="6" t="n"/>
      <ns0:c r="D160" s="7" t="n"/>
      <ns0:c r="E160" s="7" t="n"/>
      <ns0:c r="F160" s="8" t="str">
        <ns0:f>IF(OR(B160="",J160&lt;&gt;"販売済み",E160="",C160=""),"",IFERROR(IF(OR(COUNTIF('手数料マスタ'!$A$5:$A$104,C160)&lt;&gt;1,COUNTIFS('手数料マスタ'!$A$5:$A$104,C160,'手数料マスタ'!$B$5:$B$104,"&lt;&gt;")&lt;&gt;1,NOT(ISNUMBER(VLOOKUP(C160,'手数料マスタ'!$A$5:$B$104,2,FALSE))),VLOOKUP(C160,'手数料マスタ'!$A$5:$B$104,2,FALSE)&lt;0,VLOOKUP(C160,'手数料マスタ'!$A$5:$B$104,2,FALSE)&gt;1),"要確認",ROUND(E160*VLOOKUP(C160,'手数料マスタ'!$A$5:$B$104,2,FALSE),0)),"要確認"))</ns0:f>
        <ns0:v/>
      </ns0:c>
      <ns0:c r="G160" s="7" t="n"/>
      <ns0:c r="H160" s="7" t="n"/>
      <ns0:c r="I160" s="8" t="str">
        <ns0:f>IF(OR(B160="",J160&lt;&gt;"販売済み",D160="",E160="",G160="",H160=""),"",IF(ISNUMBER(F160),E160-D160-F160-G160-H160,"要確認"))</ns0:f>
        <ns0:v/>
      </ns0:c>
      <ns0:c r="J160" s="6" t="n"/>
      <ns0:c r="K160" s="5" t="n"/>
      <ns0:c r="L160" s="9" t="str">
        <ns0:f>IF(AND(B160&lt;&gt;"",J160="在庫"),COUNTIFS($J$5:J160,"在庫",$B$5:B160,"&lt;&gt;"),"")</ns0:f>
        <ns0:v/>
      </ns0:c>
    </ns0:row>
    <ns0:row r="161">
      <ns0:c r="A161" s="5" t="n"/>
      <ns0:c r="B161" s="6" t="n"/>
      <ns0:c r="C161" s="6" t="n"/>
      <ns0:c r="D161" s="7" t="n"/>
      <ns0:c r="E161" s="7" t="n"/>
      <ns0:c r="F161" s="8" t="str">
        <ns0:f>IF(OR(B161="",J161&lt;&gt;"販売済み",E161="",C161=""),"",IFERROR(IF(OR(COUNTIF('手数料マスタ'!$A$5:$A$104,C161)&lt;&gt;1,COUNTIFS('手数料マスタ'!$A$5:$A$104,C161,'手数料マスタ'!$B$5:$B$104,"&lt;&gt;")&lt;&gt;1,NOT(ISNUMBER(VLOOKUP(C161,'手数料マスタ'!$A$5:$B$104,2,FALSE))),VLOOKUP(C161,'手数料マスタ'!$A$5:$B$104,2,FALSE)&lt;0,VLOOKUP(C161,'手数料マスタ'!$A$5:$B$104,2,FALSE)&gt;1),"要確認",ROUND(E161*VLOOKUP(C161,'手数料マスタ'!$A$5:$B$104,2,FALSE),0)),"要確認"))</ns0:f>
        <ns0:v/>
      </ns0:c>
      <ns0:c r="G161" s="7" t="n"/>
      <ns0:c r="H161" s="7" t="n"/>
      <ns0:c r="I161" s="8" t="str">
        <ns0:f>IF(OR(B161="",J161&lt;&gt;"販売済み",D161="",E161="",G161="",H161=""),"",IF(ISNUMBER(F161),E161-D161-F161-G161-H161,"要確認"))</ns0:f>
        <ns0:v/>
      </ns0:c>
      <ns0:c r="J161" s="6" t="n"/>
      <ns0:c r="K161" s="5" t="n"/>
      <ns0:c r="L161" s="9" t="str">
        <ns0:f>IF(AND(B161&lt;&gt;"",J161="在庫"),COUNTIFS($J$5:J161,"在庫",$B$5:B161,"&lt;&gt;"),"")</ns0:f>
        <ns0:v/>
      </ns0:c>
    </ns0:row>
    <ns0:row r="162">
      <ns0:c r="A162" s="5" t="n"/>
      <ns0:c r="B162" s="6" t="n"/>
      <ns0:c r="C162" s="6" t="n"/>
      <ns0:c r="D162" s="7" t="n"/>
      <ns0:c r="E162" s="7" t="n"/>
      <ns0:c r="F162" s="8" t="str">
        <ns0:f>IF(OR(B162="",J162&lt;&gt;"販売済み",E162="",C162=""),"",IFERROR(IF(OR(COUNTIF('手数料マスタ'!$A$5:$A$104,C162)&lt;&gt;1,COUNTIFS('手数料マスタ'!$A$5:$A$104,C162,'手数料マスタ'!$B$5:$B$104,"&lt;&gt;")&lt;&gt;1,NOT(ISNUMBER(VLOOKUP(C162,'手数料マスタ'!$A$5:$B$104,2,FALSE))),VLOOKUP(C162,'手数料マスタ'!$A$5:$B$104,2,FALSE)&lt;0,VLOOKUP(C162,'手数料マスタ'!$A$5:$B$104,2,FALSE)&gt;1),"要確認",ROUND(E162*VLOOKUP(C162,'手数料マスタ'!$A$5:$B$104,2,FALSE),0)),"要確認"))</ns0:f>
        <ns0:v/>
      </ns0:c>
      <ns0:c r="G162" s="7" t="n"/>
      <ns0:c r="H162" s="7" t="n"/>
      <ns0:c r="I162" s="8" t="str">
        <ns0:f>IF(OR(B162="",J162&lt;&gt;"販売済み",D162="",E162="",G162="",H162=""),"",IF(ISNUMBER(F162),E162-D162-F162-G162-H162,"要確認"))</ns0:f>
        <ns0:v/>
      </ns0:c>
      <ns0:c r="J162" s="6" t="n"/>
      <ns0:c r="K162" s="5" t="n"/>
      <ns0:c r="L162" s="9" t="str">
        <ns0:f>IF(AND(B162&lt;&gt;"",J162="在庫"),COUNTIFS($J$5:J162,"在庫",$B$5:B162,"&lt;&gt;"),"")</ns0:f>
        <ns0:v/>
      </ns0:c>
    </ns0:row>
    <ns0:row r="163">
      <ns0:c r="A163" s="5" t="n"/>
      <ns0:c r="B163" s="6" t="n"/>
      <ns0:c r="C163" s="6" t="n"/>
      <ns0:c r="D163" s="7" t="n"/>
      <ns0:c r="E163" s="7" t="n"/>
      <ns0:c r="F163" s="8" t="str">
        <ns0:f>IF(OR(B163="",J163&lt;&gt;"販売済み",E163="",C163=""),"",IFERROR(IF(OR(COUNTIF('手数料マスタ'!$A$5:$A$104,C163)&lt;&gt;1,COUNTIFS('手数料マスタ'!$A$5:$A$104,C163,'手数料マスタ'!$B$5:$B$104,"&lt;&gt;")&lt;&gt;1,NOT(ISNUMBER(VLOOKUP(C163,'手数料マスタ'!$A$5:$B$104,2,FALSE))),VLOOKUP(C163,'手数料マスタ'!$A$5:$B$104,2,FALSE)&lt;0,VLOOKUP(C163,'手数料マスタ'!$A$5:$B$104,2,FALSE)&gt;1),"要確認",ROUND(E163*VLOOKUP(C163,'手数料マスタ'!$A$5:$B$104,2,FALSE),0)),"要確認"))</ns0:f>
        <ns0:v/>
      </ns0:c>
      <ns0:c r="G163" s="7" t="n"/>
      <ns0:c r="H163" s="7" t="n"/>
      <ns0:c r="I163" s="8" t="str">
        <ns0:f>IF(OR(B163="",J163&lt;&gt;"販売済み",D163="",E163="",G163="",H163=""),"",IF(ISNUMBER(F163),E163-D163-F163-G163-H163,"要確認"))</ns0:f>
        <ns0:v/>
      </ns0:c>
      <ns0:c r="J163" s="6" t="n"/>
      <ns0:c r="K163" s="5" t="n"/>
      <ns0:c r="L163" s="9" t="str">
        <ns0:f>IF(AND(B163&lt;&gt;"",J163="在庫"),COUNTIFS($J$5:J163,"在庫",$B$5:B163,"&lt;&gt;"),"")</ns0:f>
        <ns0:v/>
      </ns0:c>
    </ns0:row>
    <ns0:row r="164">
      <ns0:c r="A164" s="5" t="n"/>
      <ns0:c r="B164" s="6" t="n"/>
      <ns0:c r="C164" s="6" t="n"/>
      <ns0:c r="D164" s="7" t="n"/>
      <ns0:c r="E164" s="7" t="n"/>
      <ns0:c r="F164" s="8" t="str">
        <ns0:f>IF(OR(B164="",J164&lt;&gt;"販売済み",E164="",C164=""),"",IFERROR(IF(OR(COUNTIF('手数料マスタ'!$A$5:$A$104,C164)&lt;&gt;1,COUNTIFS('手数料マスタ'!$A$5:$A$104,C164,'手数料マスタ'!$B$5:$B$104,"&lt;&gt;")&lt;&gt;1,NOT(ISNUMBER(VLOOKUP(C164,'手数料マスタ'!$A$5:$B$104,2,FALSE))),VLOOKUP(C164,'手数料マスタ'!$A$5:$B$104,2,FALSE)&lt;0,VLOOKUP(C164,'手数料マスタ'!$A$5:$B$104,2,FALSE)&gt;1),"要確認",ROUND(E164*VLOOKUP(C164,'手数料マスタ'!$A$5:$B$104,2,FALSE),0)),"要確認"))</ns0:f>
        <ns0:v/>
      </ns0:c>
      <ns0:c r="G164" s="7" t="n"/>
      <ns0:c r="H164" s="7" t="n"/>
      <ns0:c r="I164" s="8" t="str">
        <ns0:f>IF(OR(B164="",J164&lt;&gt;"販売済み",D164="",E164="",G164="",H164=""),"",IF(ISNUMBER(F164),E164-D164-F164-G164-H164,"要確認"))</ns0:f>
        <ns0:v/>
      </ns0:c>
      <ns0:c r="J164" s="6" t="n"/>
      <ns0:c r="K164" s="5" t="n"/>
      <ns0:c r="L164" s="9" t="str">
        <ns0:f>IF(AND(B164&lt;&gt;"",J164="在庫"),COUNTIFS($J$5:J164,"在庫",$B$5:B164,"&lt;&gt;"),"")</ns0:f>
        <ns0:v/>
      </ns0:c>
    </ns0:row>
    <ns0:row r="165">
      <ns0:c r="A165" s="5" t="n"/>
      <ns0:c r="B165" s="6" t="n"/>
      <ns0:c r="C165" s="6" t="n"/>
      <ns0:c r="D165" s="7" t="n"/>
      <ns0:c r="E165" s="7" t="n"/>
      <ns0:c r="F165" s="8" t="str">
        <ns0:f>IF(OR(B165="",J165&lt;&gt;"販売済み",E165="",C165=""),"",IFERROR(IF(OR(COUNTIF('手数料マスタ'!$A$5:$A$104,C165)&lt;&gt;1,COUNTIFS('手数料マスタ'!$A$5:$A$104,C165,'手数料マスタ'!$B$5:$B$104,"&lt;&gt;")&lt;&gt;1,NOT(ISNUMBER(VLOOKUP(C165,'手数料マスタ'!$A$5:$B$104,2,FALSE))),VLOOKUP(C165,'手数料マスタ'!$A$5:$B$104,2,FALSE)&lt;0,VLOOKUP(C165,'手数料マスタ'!$A$5:$B$104,2,FALSE)&gt;1),"要確認",ROUND(E165*VLOOKUP(C165,'手数料マスタ'!$A$5:$B$104,2,FALSE),0)),"要確認"))</ns0:f>
        <ns0:v/>
      </ns0:c>
      <ns0:c r="G165" s="7" t="n"/>
      <ns0:c r="H165" s="7" t="n"/>
      <ns0:c r="I165" s="8" t="str">
        <ns0:f>IF(OR(B165="",J165&lt;&gt;"販売済み",D165="",E165="",G165="",H165=""),"",IF(ISNUMBER(F165),E165-D165-F165-G165-H165,"要確認"))</ns0:f>
        <ns0:v/>
      </ns0:c>
      <ns0:c r="J165" s="6" t="n"/>
      <ns0:c r="K165" s="5" t="n"/>
      <ns0:c r="L165" s="9" t="str">
        <ns0:f>IF(AND(B165&lt;&gt;"",J165="在庫"),COUNTIFS($J$5:J165,"在庫",$B$5:B165,"&lt;&gt;"),"")</ns0:f>
        <ns0:v/>
      </ns0:c>
    </ns0:row>
    <ns0:row r="166">
      <ns0:c r="A166" s="5" t="n"/>
      <ns0:c r="B166" s="6" t="n"/>
      <ns0:c r="C166" s="6" t="n"/>
      <ns0:c r="D166" s="7" t="n"/>
      <ns0:c r="E166" s="7" t="n"/>
      <ns0:c r="F166" s="8" t="str">
        <ns0:f>IF(OR(B166="",J166&lt;&gt;"販売済み",E166="",C166=""),"",IFERROR(IF(OR(COUNTIF('手数料マスタ'!$A$5:$A$104,C166)&lt;&gt;1,COUNTIFS('手数料マスタ'!$A$5:$A$104,C166,'手数料マスタ'!$B$5:$B$104,"&lt;&gt;")&lt;&gt;1,NOT(ISNUMBER(VLOOKUP(C166,'手数料マスタ'!$A$5:$B$104,2,FALSE))),VLOOKUP(C166,'手数料マスタ'!$A$5:$B$104,2,FALSE)&lt;0,VLOOKUP(C166,'手数料マスタ'!$A$5:$B$104,2,FALSE)&gt;1),"要確認",ROUND(E166*VLOOKUP(C166,'手数料マスタ'!$A$5:$B$104,2,FALSE),0)),"要確認"))</ns0:f>
        <ns0:v/>
      </ns0:c>
      <ns0:c r="G166" s="7" t="n"/>
      <ns0:c r="H166" s="7" t="n"/>
      <ns0:c r="I166" s="8" t="str">
        <ns0:f>IF(OR(B166="",J166&lt;&gt;"販売済み",D166="",E166="",G166="",H166=""),"",IF(ISNUMBER(F166),E166-D166-F166-G166-H166,"要確認"))</ns0:f>
        <ns0:v/>
      </ns0:c>
      <ns0:c r="J166" s="6" t="n"/>
      <ns0:c r="K166" s="5" t="n"/>
      <ns0:c r="L166" s="9" t="str">
        <ns0:f>IF(AND(B166&lt;&gt;"",J166="在庫"),COUNTIFS($J$5:J166,"在庫",$B$5:B166,"&lt;&gt;"),"")</ns0:f>
        <ns0:v/>
      </ns0:c>
    </ns0:row>
    <ns0:row r="167">
      <ns0:c r="A167" s="5" t="n"/>
      <ns0:c r="B167" s="6" t="n"/>
      <ns0:c r="C167" s="6" t="n"/>
      <ns0:c r="D167" s="7" t="n"/>
      <ns0:c r="E167" s="7" t="n"/>
      <ns0:c r="F167" s="8" t="str">
        <ns0:f>IF(OR(B167="",J167&lt;&gt;"販売済み",E167="",C167=""),"",IFERROR(IF(OR(COUNTIF('手数料マスタ'!$A$5:$A$104,C167)&lt;&gt;1,COUNTIFS('手数料マスタ'!$A$5:$A$104,C167,'手数料マスタ'!$B$5:$B$104,"&lt;&gt;")&lt;&gt;1,NOT(ISNUMBER(VLOOKUP(C167,'手数料マスタ'!$A$5:$B$104,2,FALSE))),VLOOKUP(C167,'手数料マスタ'!$A$5:$B$104,2,FALSE)&lt;0,VLOOKUP(C167,'手数料マスタ'!$A$5:$B$104,2,FALSE)&gt;1),"要確認",ROUND(E167*VLOOKUP(C167,'手数料マスタ'!$A$5:$B$104,2,FALSE),0)),"要確認"))</ns0:f>
        <ns0:v/>
      </ns0:c>
      <ns0:c r="G167" s="7" t="n"/>
      <ns0:c r="H167" s="7" t="n"/>
      <ns0:c r="I167" s="8" t="str">
        <ns0:f>IF(OR(B167="",J167&lt;&gt;"販売済み",D167="",E167="",G167="",H167=""),"",IF(ISNUMBER(F167),E167-D167-F167-G167-H167,"要確認"))</ns0:f>
        <ns0:v/>
      </ns0:c>
      <ns0:c r="J167" s="6" t="n"/>
      <ns0:c r="K167" s="5" t="n"/>
      <ns0:c r="L167" s="9" t="str">
        <ns0:f>IF(AND(B167&lt;&gt;"",J167="在庫"),COUNTIFS($J$5:J167,"在庫",$B$5:B167,"&lt;&gt;"),"")</ns0:f>
        <ns0:v/>
      </ns0:c>
    </ns0:row>
    <ns0:row r="168">
      <ns0:c r="A168" s="5" t="n"/>
      <ns0:c r="B168" s="6" t="n"/>
      <ns0:c r="C168" s="6" t="n"/>
      <ns0:c r="D168" s="7" t="n"/>
      <ns0:c r="E168" s="7" t="n"/>
      <ns0:c r="F168" s="8" t="str">
        <ns0:f>IF(OR(B168="",J168&lt;&gt;"販売済み",E168="",C168=""),"",IFERROR(IF(OR(COUNTIF('手数料マスタ'!$A$5:$A$104,C168)&lt;&gt;1,COUNTIFS('手数料マスタ'!$A$5:$A$104,C168,'手数料マスタ'!$B$5:$B$104,"&lt;&gt;")&lt;&gt;1,NOT(ISNUMBER(VLOOKUP(C168,'手数料マスタ'!$A$5:$B$104,2,FALSE))),VLOOKUP(C168,'手数料マスタ'!$A$5:$B$104,2,FALSE)&lt;0,VLOOKUP(C168,'手数料マスタ'!$A$5:$B$104,2,FALSE)&gt;1),"要確認",ROUND(E168*VLOOKUP(C168,'手数料マスタ'!$A$5:$B$104,2,FALSE),0)),"要確認"))</ns0:f>
        <ns0:v/>
      </ns0:c>
      <ns0:c r="G168" s="7" t="n"/>
      <ns0:c r="H168" s="7" t="n"/>
      <ns0:c r="I168" s="8" t="str">
        <ns0:f>IF(OR(B168="",J168&lt;&gt;"販売済み",D168="",E168="",G168="",H168=""),"",IF(ISNUMBER(F168),E168-D168-F168-G168-H168,"要確認"))</ns0:f>
        <ns0:v/>
      </ns0:c>
      <ns0:c r="J168" s="6" t="n"/>
      <ns0:c r="K168" s="5" t="n"/>
      <ns0:c r="L168" s="9" t="str">
        <ns0:f>IF(AND(B168&lt;&gt;"",J168="在庫"),COUNTIFS($J$5:J168,"在庫",$B$5:B168,"&lt;&gt;"),"")</ns0:f>
        <ns0:v/>
      </ns0:c>
    </ns0:row>
    <ns0:row r="169">
      <ns0:c r="A169" s="5" t="n"/>
      <ns0:c r="B169" s="6" t="n"/>
      <ns0:c r="C169" s="6" t="n"/>
      <ns0:c r="D169" s="7" t="n"/>
      <ns0:c r="E169" s="7" t="n"/>
      <ns0:c r="F169" s="8" t="str">
        <ns0:f>IF(OR(B169="",J169&lt;&gt;"販売済み",E169="",C169=""),"",IFERROR(IF(OR(COUNTIF('手数料マスタ'!$A$5:$A$104,C169)&lt;&gt;1,COUNTIFS('手数料マスタ'!$A$5:$A$104,C169,'手数料マスタ'!$B$5:$B$104,"&lt;&gt;")&lt;&gt;1,NOT(ISNUMBER(VLOOKUP(C169,'手数料マスタ'!$A$5:$B$104,2,FALSE))),VLOOKUP(C169,'手数料マスタ'!$A$5:$B$104,2,FALSE)&lt;0,VLOOKUP(C169,'手数料マスタ'!$A$5:$B$104,2,FALSE)&gt;1),"要確認",ROUND(E169*VLOOKUP(C169,'手数料マスタ'!$A$5:$B$104,2,FALSE),0)),"要確認"))</ns0:f>
        <ns0:v/>
      </ns0:c>
      <ns0:c r="G169" s="7" t="n"/>
      <ns0:c r="H169" s="7" t="n"/>
      <ns0:c r="I169" s="8" t="str">
        <ns0:f>IF(OR(B169="",J169&lt;&gt;"販売済み",D169="",E169="",G169="",H169=""),"",IF(ISNUMBER(F169),E169-D169-F169-G169-H169,"要確認"))</ns0:f>
        <ns0:v/>
      </ns0:c>
      <ns0:c r="J169" s="6" t="n"/>
      <ns0:c r="K169" s="5" t="n"/>
      <ns0:c r="L169" s="9" t="str">
        <ns0:f>IF(AND(B169&lt;&gt;"",J169="在庫"),COUNTIFS($J$5:J169,"在庫",$B$5:B169,"&lt;&gt;"),"")</ns0:f>
        <ns0:v/>
      </ns0:c>
    </ns0:row>
    <ns0:row r="170">
      <ns0:c r="A170" s="5" t="n"/>
      <ns0:c r="B170" s="6" t="n"/>
      <ns0:c r="C170" s="6" t="n"/>
      <ns0:c r="D170" s="7" t="n"/>
      <ns0:c r="E170" s="7" t="n"/>
      <ns0:c r="F170" s="8" t="str">
        <ns0:f>IF(OR(B170="",J170&lt;&gt;"販売済み",E170="",C170=""),"",IFERROR(IF(OR(COUNTIF('手数料マスタ'!$A$5:$A$104,C170)&lt;&gt;1,COUNTIFS('手数料マスタ'!$A$5:$A$104,C170,'手数料マスタ'!$B$5:$B$104,"&lt;&gt;")&lt;&gt;1,NOT(ISNUMBER(VLOOKUP(C170,'手数料マスタ'!$A$5:$B$104,2,FALSE))),VLOOKUP(C170,'手数料マスタ'!$A$5:$B$104,2,FALSE)&lt;0,VLOOKUP(C170,'手数料マスタ'!$A$5:$B$104,2,FALSE)&gt;1),"要確認",ROUND(E170*VLOOKUP(C170,'手数料マスタ'!$A$5:$B$104,2,FALSE),0)),"要確認"))</ns0:f>
        <ns0:v/>
      </ns0:c>
      <ns0:c r="G170" s="7" t="n"/>
      <ns0:c r="H170" s="7" t="n"/>
      <ns0:c r="I170" s="8" t="str">
        <ns0:f>IF(OR(B170="",J170&lt;&gt;"販売済み",D170="",E170="",G170="",H170=""),"",IF(ISNUMBER(F170),E170-D170-F170-G170-H170,"要確認"))</ns0:f>
        <ns0:v/>
      </ns0:c>
      <ns0:c r="J170" s="6" t="n"/>
      <ns0:c r="K170" s="5" t="n"/>
      <ns0:c r="L170" s="9" t="str">
        <ns0:f>IF(AND(B170&lt;&gt;"",J170="在庫"),COUNTIFS($J$5:J170,"在庫",$B$5:B170,"&lt;&gt;"),"")</ns0:f>
        <ns0:v/>
      </ns0:c>
    </ns0:row>
    <ns0:row r="171">
      <ns0:c r="A171" s="5" t="n"/>
      <ns0:c r="B171" s="6" t="n"/>
      <ns0:c r="C171" s="6" t="n"/>
      <ns0:c r="D171" s="7" t="n"/>
      <ns0:c r="E171" s="7" t="n"/>
      <ns0:c r="F171" s="8" t="str">
        <ns0:f>IF(OR(B171="",J171&lt;&gt;"販売済み",E171="",C171=""),"",IFERROR(IF(OR(COUNTIF('手数料マスタ'!$A$5:$A$104,C171)&lt;&gt;1,COUNTIFS('手数料マスタ'!$A$5:$A$104,C171,'手数料マスタ'!$B$5:$B$104,"&lt;&gt;")&lt;&gt;1,NOT(ISNUMBER(VLOOKUP(C171,'手数料マスタ'!$A$5:$B$104,2,FALSE))),VLOOKUP(C171,'手数料マスタ'!$A$5:$B$104,2,FALSE)&lt;0,VLOOKUP(C171,'手数料マスタ'!$A$5:$B$104,2,FALSE)&gt;1),"要確認",ROUND(E171*VLOOKUP(C171,'手数料マスタ'!$A$5:$B$104,2,FALSE),0)),"要確認"))</ns0:f>
        <ns0:v/>
      </ns0:c>
      <ns0:c r="G171" s="7" t="n"/>
      <ns0:c r="H171" s="7" t="n"/>
      <ns0:c r="I171" s="8" t="str">
        <ns0:f>IF(OR(B171="",J171&lt;&gt;"販売済み",D171="",E171="",G171="",H171=""),"",IF(ISNUMBER(F171),E171-D171-F171-G171-H171,"要確認"))</ns0:f>
        <ns0:v/>
      </ns0:c>
      <ns0:c r="J171" s="6" t="n"/>
      <ns0:c r="K171" s="5" t="n"/>
      <ns0:c r="L171" s="9" t="str">
        <ns0:f>IF(AND(B171&lt;&gt;"",J171="在庫"),COUNTIFS($J$5:J171,"在庫",$B$5:B171,"&lt;&gt;"),"")</ns0:f>
        <ns0:v/>
      </ns0:c>
    </ns0:row>
    <ns0:row r="172">
      <ns0:c r="A172" s="5" t="n"/>
      <ns0:c r="B172" s="6" t="n"/>
      <ns0:c r="C172" s="6" t="n"/>
      <ns0:c r="D172" s="7" t="n"/>
      <ns0:c r="E172" s="7" t="n"/>
      <ns0:c r="F172" s="8" t="str">
        <ns0:f>IF(OR(B172="",J172&lt;&gt;"販売済み",E172="",C172=""),"",IFERROR(IF(OR(COUNTIF('手数料マスタ'!$A$5:$A$104,C172)&lt;&gt;1,COUNTIFS('手数料マスタ'!$A$5:$A$104,C172,'手数料マスタ'!$B$5:$B$104,"&lt;&gt;")&lt;&gt;1,NOT(ISNUMBER(VLOOKUP(C172,'手数料マスタ'!$A$5:$B$104,2,FALSE))),VLOOKUP(C172,'手数料マスタ'!$A$5:$B$104,2,FALSE)&lt;0,VLOOKUP(C172,'手数料マスタ'!$A$5:$B$104,2,FALSE)&gt;1),"要確認",ROUND(E172*VLOOKUP(C172,'手数料マスタ'!$A$5:$B$104,2,FALSE),0)),"要確認"))</ns0:f>
        <ns0:v/>
      </ns0:c>
      <ns0:c r="G172" s="7" t="n"/>
      <ns0:c r="H172" s="7" t="n"/>
      <ns0:c r="I172" s="8" t="str">
        <ns0:f>IF(OR(B172="",J172&lt;&gt;"販売済み",D172="",E172="",G172="",H172=""),"",IF(ISNUMBER(F172),E172-D172-F172-G172-H172,"要確認"))</ns0:f>
        <ns0:v/>
      </ns0:c>
      <ns0:c r="J172" s="6" t="n"/>
      <ns0:c r="K172" s="5" t="n"/>
      <ns0:c r="L172" s="9" t="str">
        <ns0:f>IF(AND(B172&lt;&gt;"",J172="在庫"),COUNTIFS($J$5:J172,"在庫",$B$5:B172,"&lt;&gt;"),"")</ns0:f>
        <ns0:v/>
      </ns0:c>
    </ns0:row>
    <ns0:row r="173">
      <ns0:c r="A173" s="5" t="n"/>
      <ns0:c r="B173" s="6" t="n"/>
      <ns0:c r="C173" s="6" t="n"/>
      <ns0:c r="D173" s="7" t="n"/>
      <ns0:c r="E173" s="7" t="n"/>
      <ns0:c r="F173" s="8" t="str">
        <ns0:f>IF(OR(B173="",J173&lt;&gt;"販売済み",E173="",C173=""),"",IFERROR(IF(OR(COUNTIF('手数料マスタ'!$A$5:$A$104,C173)&lt;&gt;1,COUNTIFS('手数料マスタ'!$A$5:$A$104,C173,'手数料マスタ'!$B$5:$B$104,"&lt;&gt;")&lt;&gt;1,NOT(ISNUMBER(VLOOKUP(C173,'手数料マスタ'!$A$5:$B$104,2,FALSE))),VLOOKUP(C173,'手数料マスタ'!$A$5:$B$104,2,FALSE)&lt;0,VLOOKUP(C173,'手数料マスタ'!$A$5:$B$104,2,FALSE)&gt;1),"要確認",ROUND(E173*VLOOKUP(C173,'手数料マスタ'!$A$5:$B$104,2,FALSE),0)),"要確認"))</ns0:f>
        <ns0:v/>
      </ns0:c>
      <ns0:c r="G173" s="7" t="n"/>
      <ns0:c r="H173" s="7" t="n"/>
      <ns0:c r="I173" s="8" t="str">
        <ns0:f>IF(OR(B173="",J173&lt;&gt;"販売済み",D173="",E173="",G173="",H173=""),"",IF(ISNUMBER(F173),E173-D173-F173-G173-H173,"要確認"))</ns0:f>
        <ns0:v/>
      </ns0:c>
      <ns0:c r="J173" s="6" t="n"/>
      <ns0:c r="K173" s="5" t="n"/>
      <ns0:c r="L173" s="9" t="str">
        <ns0:f>IF(AND(B173&lt;&gt;"",J173="在庫"),COUNTIFS($J$5:J173,"在庫",$B$5:B173,"&lt;&gt;"),"")</ns0:f>
        <ns0:v/>
      </ns0:c>
    </ns0:row>
    <ns0:row r="174">
      <ns0:c r="A174" s="5" t="n"/>
      <ns0:c r="B174" s="6" t="n"/>
      <ns0:c r="C174" s="6" t="n"/>
      <ns0:c r="D174" s="7" t="n"/>
      <ns0:c r="E174" s="7" t="n"/>
      <ns0:c r="F174" s="8" t="str">
        <ns0:f>IF(OR(B174="",J174&lt;&gt;"販売済み",E174="",C174=""),"",IFERROR(IF(OR(COUNTIF('手数料マスタ'!$A$5:$A$104,C174)&lt;&gt;1,COUNTIFS('手数料マスタ'!$A$5:$A$104,C174,'手数料マスタ'!$B$5:$B$104,"&lt;&gt;")&lt;&gt;1,NOT(ISNUMBER(VLOOKUP(C174,'手数料マスタ'!$A$5:$B$104,2,FALSE))),VLOOKUP(C174,'手数料マスタ'!$A$5:$B$104,2,FALSE)&lt;0,VLOOKUP(C174,'手数料マスタ'!$A$5:$B$104,2,FALSE)&gt;1),"要確認",ROUND(E174*VLOOKUP(C174,'手数料マスタ'!$A$5:$B$104,2,FALSE),0)),"要確認"))</ns0:f>
        <ns0:v/>
      </ns0:c>
      <ns0:c r="G174" s="7" t="n"/>
      <ns0:c r="H174" s="7" t="n"/>
      <ns0:c r="I174" s="8" t="str">
        <ns0:f>IF(OR(B174="",J174&lt;&gt;"販売済み",D174="",E174="",G174="",H174=""),"",IF(ISNUMBER(F174),E174-D174-F174-G174-H174,"要確認"))</ns0:f>
        <ns0:v/>
      </ns0:c>
      <ns0:c r="J174" s="6" t="n"/>
      <ns0:c r="K174" s="5" t="n"/>
      <ns0:c r="L174" s="9" t="str">
        <ns0:f>IF(AND(B174&lt;&gt;"",J174="在庫"),COUNTIFS($J$5:J174,"在庫",$B$5:B174,"&lt;&gt;"),"")</ns0:f>
        <ns0:v/>
      </ns0:c>
    </ns0:row>
    <ns0:row r="175">
      <ns0:c r="A175" s="5" t="n"/>
      <ns0:c r="B175" s="6" t="n"/>
      <ns0:c r="C175" s="6" t="n"/>
      <ns0:c r="D175" s="7" t="n"/>
      <ns0:c r="E175" s="7" t="n"/>
      <ns0:c r="F175" s="8" t="str">
        <ns0:f>IF(OR(B175="",J175&lt;&gt;"販売済み",E175="",C175=""),"",IFERROR(IF(OR(COUNTIF('手数料マスタ'!$A$5:$A$104,C175)&lt;&gt;1,COUNTIFS('手数料マスタ'!$A$5:$A$104,C175,'手数料マスタ'!$B$5:$B$104,"&lt;&gt;")&lt;&gt;1,NOT(ISNUMBER(VLOOKUP(C175,'手数料マスタ'!$A$5:$B$104,2,FALSE))),VLOOKUP(C175,'手数料マスタ'!$A$5:$B$104,2,FALSE)&lt;0,VLOOKUP(C175,'手数料マスタ'!$A$5:$B$104,2,FALSE)&gt;1),"要確認",ROUND(E175*VLOOKUP(C175,'手数料マスタ'!$A$5:$B$104,2,FALSE),0)),"要確認"))</ns0:f>
        <ns0:v/>
      </ns0:c>
      <ns0:c r="G175" s="7" t="n"/>
      <ns0:c r="H175" s="7" t="n"/>
      <ns0:c r="I175" s="8" t="str">
        <ns0:f>IF(OR(B175="",J175&lt;&gt;"販売済み",D175="",E175="",G175="",H175=""),"",IF(ISNUMBER(F175),E175-D175-F175-G175-H175,"要確認"))</ns0:f>
        <ns0:v/>
      </ns0:c>
      <ns0:c r="J175" s="6" t="n"/>
      <ns0:c r="K175" s="5" t="n"/>
      <ns0:c r="L175" s="9" t="str">
        <ns0:f>IF(AND(B175&lt;&gt;"",J175="在庫"),COUNTIFS($J$5:J175,"在庫",$B$5:B175,"&lt;&gt;"),"")</ns0:f>
        <ns0:v/>
      </ns0:c>
    </ns0:row>
    <ns0:row r="176">
      <ns0:c r="A176" s="5" t="n"/>
      <ns0:c r="B176" s="6" t="n"/>
      <ns0:c r="C176" s="6" t="n"/>
      <ns0:c r="D176" s="7" t="n"/>
      <ns0:c r="E176" s="7" t="n"/>
      <ns0:c r="F176" s="8" t="str">
        <ns0:f>IF(OR(B176="",J176&lt;&gt;"販売済み",E176="",C176=""),"",IFERROR(IF(OR(COUNTIF('手数料マスタ'!$A$5:$A$104,C176)&lt;&gt;1,COUNTIFS('手数料マスタ'!$A$5:$A$104,C176,'手数料マスタ'!$B$5:$B$104,"&lt;&gt;")&lt;&gt;1,NOT(ISNUMBER(VLOOKUP(C176,'手数料マスタ'!$A$5:$B$104,2,FALSE))),VLOOKUP(C176,'手数料マスタ'!$A$5:$B$104,2,FALSE)&lt;0,VLOOKUP(C176,'手数料マスタ'!$A$5:$B$104,2,FALSE)&gt;1),"要確認",ROUND(E176*VLOOKUP(C176,'手数料マスタ'!$A$5:$B$104,2,FALSE),0)),"要確認"))</ns0:f>
        <ns0:v/>
      </ns0:c>
      <ns0:c r="G176" s="7" t="n"/>
      <ns0:c r="H176" s="7" t="n"/>
      <ns0:c r="I176" s="8" t="str">
        <ns0:f>IF(OR(B176="",J176&lt;&gt;"販売済み",D176="",E176="",G176="",H176=""),"",IF(ISNUMBER(F176),E176-D176-F176-G176-H176,"要確認"))</ns0:f>
        <ns0:v/>
      </ns0:c>
      <ns0:c r="J176" s="6" t="n"/>
      <ns0:c r="K176" s="5" t="n"/>
      <ns0:c r="L176" s="9" t="str">
        <ns0:f>IF(AND(B176&lt;&gt;"",J176="在庫"),COUNTIFS($J$5:J176,"在庫",$B$5:B176,"&lt;&gt;"),"")</ns0:f>
        <ns0:v/>
      </ns0:c>
    </ns0:row>
    <ns0:row r="177">
      <ns0:c r="A177" s="5" t="n"/>
      <ns0:c r="B177" s="6" t="n"/>
      <ns0:c r="C177" s="6" t="n"/>
      <ns0:c r="D177" s="7" t="n"/>
      <ns0:c r="E177" s="7" t="n"/>
      <ns0:c r="F177" s="8" t="str">
        <ns0:f>IF(OR(B177="",J177&lt;&gt;"販売済み",E177="",C177=""),"",IFERROR(IF(OR(COUNTIF('手数料マスタ'!$A$5:$A$104,C177)&lt;&gt;1,COUNTIFS('手数料マスタ'!$A$5:$A$104,C177,'手数料マスタ'!$B$5:$B$104,"&lt;&gt;")&lt;&gt;1,NOT(ISNUMBER(VLOOKUP(C177,'手数料マスタ'!$A$5:$B$104,2,FALSE))),VLOOKUP(C177,'手数料マスタ'!$A$5:$B$104,2,FALSE)&lt;0,VLOOKUP(C177,'手数料マスタ'!$A$5:$B$104,2,FALSE)&gt;1),"要確認",ROUND(E177*VLOOKUP(C177,'手数料マスタ'!$A$5:$B$104,2,FALSE),0)),"要確認"))</ns0:f>
        <ns0:v/>
      </ns0:c>
      <ns0:c r="G177" s="7" t="n"/>
      <ns0:c r="H177" s="7" t="n"/>
      <ns0:c r="I177" s="8" t="str">
        <ns0:f>IF(OR(B177="",J177&lt;&gt;"販売済み",D177="",E177="",G177="",H177=""),"",IF(ISNUMBER(F177),E177-D177-F177-G177-H177,"要確認"))</ns0:f>
        <ns0:v/>
      </ns0:c>
      <ns0:c r="J177" s="6" t="n"/>
      <ns0:c r="K177" s="5" t="n"/>
      <ns0:c r="L177" s="9" t="str">
        <ns0:f>IF(AND(B177&lt;&gt;"",J177="在庫"),COUNTIFS($J$5:J177,"在庫",$B$5:B177,"&lt;&gt;"),"")</ns0:f>
        <ns0:v/>
      </ns0:c>
    </ns0:row>
    <ns0:row r="178">
      <ns0:c r="A178" s="5" t="n"/>
      <ns0:c r="B178" s="6" t="n"/>
      <ns0:c r="C178" s="6" t="n"/>
      <ns0:c r="D178" s="7" t="n"/>
      <ns0:c r="E178" s="7" t="n"/>
      <ns0:c r="F178" s="8" t="str">
        <ns0:f>IF(OR(B178="",J178&lt;&gt;"販売済み",E178="",C178=""),"",IFERROR(IF(OR(COUNTIF('手数料マスタ'!$A$5:$A$104,C178)&lt;&gt;1,COUNTIFS('手数料マスタ'!$A$5:$A$104,C178,'手数料マスタ'!$B$5:$B$104,"&lt;&gt;")&lt;&gt;1,NOT(ISNUMBER(VLOOKUP(C178,'手数料マスタ'!$A$5:$B$104,2,FALSE))),VLOOKUP(C178,'手数料マスタ'!$A$5:$B$104,2,FALSE)&lt;0,VLOOKUP(C178,'手数料マスタ'!$A$5:$B$104,2,FALSE)&gt;1),"要確認",ROUND(E178*VLOOKUP(C178,'手数料マスタ'!$A$5:$B$104,2,FALSE),0)),"要確認"))</ns0:f>
        <ns0:v/>
      </ns0:c>
      <ns0:c r="G178" s="7" t="n"/>
      <ns0:c r="H178" s="7" t="n"/>
      <ns0:c r="I178" s="8" t="str">
        <ns0:f>IF(OR(B178="",J178&lt;&gt;"販売済み",D178="",E178="",G178="",H178=""),"",IF(ISNUMBER(F178),E178-D178-F178-G178-H178,"要確認"))</ns0:f>
        <ns0:v/>
      </ns0:c>
      <ns0:c r="J178" s="6" t="n"/>
      <ns0:c r="K178" s="5" t="n"/>
      <ns0:c r="L178" s="9" t="str">
        <ns0:f>IF(AND(B178&lt;&gt;"",J178="在庫"),COUNTIFS($J$5:J178,"在庫",$B$5:B178,"&lt;&gt;"),"")</ns0:f>
        <ns0:v/>
      </ns0:c>
    </ns0:row>
    <ns0:row r="179">
      <ns0:c r="A179" s="5" t="n"/>
      <ns0:c r="B179" s="6" t="n"/>
      <ns0:c r="C179" s="6" t="n"/>
      <ns0:c r="D179" s="7" t="n"/>
      <ns0:c r="E179" s="7" t="n"/>
      <ns0:c r="F179" s="8" t="str">
        <ns0:f>IF(OR(B179="",J179&lt;&gt;"販売済み",E179="",C179=""),"",IFERROR(IF(OR(COUNTIF('手数料マスタ'!$A$5:$A$104,C179)&lt;&gt;1,COUNTIFS('手数料マスタ'!$A$5:$A$104,C179,'手数料マスタ'!$B$5:$B$104,"&lt;&gt;")&lt;&gt;1,NOT(ISNUMBER(VLOOKUP(C179,'手数料マスタ'!$A$5:$B$104,2,FALSE))),VLOOKUP(C179,'手数料マスタ'!$A$5:$B$104,2,FALSE)&lt;0,VLOOKUP(C179,'手数料マスタ'!$A$5:$B$104,2,FALSE)&gt;1),"要確認",ROUND(E179*VLOOKUP(C179,'手数料マスタ'!$A$5:$B$104,2,FALSE),0)),"要確認"))</ns0:f>
        <ns0:v/>
      </ns0:c>
      <ns0:c r="G179" s="7" t="n"/>
      <ns0:c r="H179" s="7" t="n"/>
      <ns0:c r="I179" s="8" t="str">
        <ns0:f>IF(OR(B179="",J179&lt;&gt;"販売済み",D179="",E179="",G179="",H179=""),"",IF(ISNUMBER(F179),E179-D179-F179-G179-H179,"要確認"))</ns0:f>
        <ns0:v/>
      </ns0:c>
      <ns0:c r="J179" s="6" t="n"/>
      <ns0:c r="K179" s="5" t="n"/>
      <ns0:c r="L179" s="9" t="str">
        <ns0:f>IF(AND(B179&lt;&gt;"",J179="在庫"),COUNTIFS($J$5:J179,"在庫",$B$5:B179,"&lt;&gt;"),"")</ns0:f>
        <ns0:v/>
      </ns0:c>
    </ns0:row>
    <ns0:row r="180">
      <ns0:c r="A180" s="5" t="n"/>
      <ns0:c r="B180" s="6" t="n"/>
      <ns0:c r="C180" s="6" t="n"/>
      <ns0:c r="D180" s="7" t="n"/>
      <ns0:c r="E180" s="7" t="n"/>
      <ns0:c r="F180" s="8" t="str">
        <ns0:f>IF(OR(B180="",J180&lt;&gt;"販売済み",E180="",C180=""),"",IFERROR(IF(OR(COUNTIF('手数料マスタ'!$A$5:$A$104,C180)&lt;&gt;1,COUNTIFS('手数料マスタ'!$A$5:$A$104,C180,'手数料マスタ'!$B$5:$B$104,"&lt;&gt;")&lt;&gt;1,NOT(ISNUMBER(VLOOKUP(C180,'手数料マスタ'!$A$5:$B$104,2,FALSE))),VLOOKUP(C180,'手数料マスタ'!$A$5:$B$104,2,FALSE)&lt;0,VLOOKUP(C180,'手数料マスタ'!$A$5:$B$104,2,FALSE)&gt;1),"要確認",ROUND(E180*VLOOKUP(C180,'手数料マスタ'!$A$5:$B$104,2,FALSE),0)),"要確認"))</ns0:f>
        <ns0:v/>
      </ns0:c>
      <ns0:c r="G180" s="7" t="n"/>
      <ns0:c r="H180" s="7" t="n"/>
      <ns0:c r="I180" s="8" t="str">
        <ns0:f>IF(OR(B180="",J180&lt;&gt;"販売済み",D180="",E180="",G180="",H180=""),"",IF(ISNUMBER(F180),E180-D180-F180-G180-H180,"要確認"))</ns0:f>
        <ns0:v/>
      </ns0:c>
      <ns0:c r="J180" s="6" t="n"/>
      <ns0:c r="K180" s="5" t="n"/>
      <ns0:c r="L180" s="9" t="str">
        <ns0:f>IF(AND(B180&lt;&gt;"",J180="在庫"),COUNTIFS($J$5:J180,"在庫",$B$5:B180,"&lt;&gt;"),"")</ns0:f>
        <ns0:v/>
      </ns0:c>
    </ns0:row>
    <ns0:row r="181">
      <ns0:c r="A181" s="5" t="n"/>
      <ns0:c r="B181" s="6" t="n"/>
      <ns0:c r="C181" s="6" t="n"/>
      <ns0:c r="D181" s="7" t="n"/>
      <ns0:c r="E181" s="7" t="n"/>
      <ns0:c r="F181" s="8" t="str">
        <ns0:f>IF(OR(B181="",J181&lt;&gt;"販売済み",E181="",C181=""),"",IFERROR(IF(OR(COUNTIF('手数料マスタ'!$A$5:$A$104,C181)&lt;&gt;1,COUNTIFS('手数料マスタ'!$A$5:$A$104,C181,'手数料マスタ'!$B$5:$B$104,"&lt;&gt;")&lt;&gt;1,NOT(ISNUMBER(VLOOKUP(C181,'手数料マスタ'!$A$5:$B$104,2,FALSE))),VLOOKUP(C181,'手数料マスタ'!$A$5:$B$104,2,FALSE)&lt;0,VLOOKUP(C181,'手数料マスタ'!$A$5:$B$104,2,FALSE)&gt;1),"要確認",ROUND(E181*VLOOKUP(C181,'手数料マスタ'!$A$5:$B$104,2,FALSE),0)),"要確認"))</ns0:f>
        <ns0:v/>
      </ns0:c>
      <ns0:c r="G181" s="7" t="n"/>
      <ns0:c r="H181" s="7" t="n"/>
      <ns0:c r="I181" s="8" t="str">
        <ns0:f>IF(OR(B181="",J181&lt;&gt;"販売済み",D181="",E181="",G181="",H181=""),"",IF(ISNUMBER(F181),E181-D181-F181-G181-H181,"要確認"))</ns0:f>
        <ns0:v/>
      </ns0:c>
      <ns0:c r="J181" s="6" t="n"/>
      <ns0:c r="K181" s="5" t="n"/>
      <ns0:c r="L181" s="9" t="str">
        <ns0:f>IF(AND(B181&lt;&gt;"",J181="在庫"),COUNTIFS($J$5:J181,"在庫",$B$5:B181,"&lt;&gt;"),"")</ns0:f>
        <ns0:v/>
      </ns0:c>
    </ns0:row>
    <ns0:row r="182">
      <ns0:c r="A182" s="5" t="n"/>
      <ns0:c r="B182" s="6" t="n"/>
      <ns0:c r="C182" s="6" t="n"/>
      <ns0:c r="D182" s="7" t="n"/>
      <ns0:c r="E182" s="7" t="n"/>
      <ns0:c r="F182" s="8" t="str">
        <ns0:f>IF(OR(B182="",J182&lt;&gt;"販売済み",E182="",C182=""),"",IFERROR(IF(OR(COUNTIF('手数料マスタ'!$A$5:$A$104,C182)&lt;&gt;1,COUNTIFS('手数料マスタ'!$A$5:$A$104,C182,'手数料マスタ'!$B$5:$B$104,"&lt;&gt;")&lt;&gt;1,NOT(ISNUMBER(VLOOKUP(C182,'手数料マスタ'!$A$5:$B$104,2,FALSE))),VLOOKUP(C182,'手数料マスタ'!$A$5:$B$104,2,FALSE)&lt;0,VLOOKUP(C182,'手数料マスタ'!$A$5:$B$104,2,FALSE)&gt;1),"要確認",ROUND(E182*VLOOKUP(C182,'手数料マスタ'!$A$5:$B$104,2,FALSE),0)),"要確認"))</ns0:f>
        <ns0:v/>
      </ns0:c>
      <ns0:c r="G182" s="7" t="n"/>
      <ns0:c r="H182" s="7" t="n"/>
      <ns0:c r="I182" s="8" t="str">
        <ns0:f>IF(OR(B182="",J182&lt;&gt;"販売済み",D182="",E182="",G182="",H182=""),"",IF(ISNUMBER(F182),E182-D182-F182-G182-H182,"要確認"))</ns0:f>
        <ns0:v/>
      </ns0:c>
      <ns0:c r="J182" s="6" t="n"/>
      <ns0:c r="K182" s="5" t="n"/>
      <ns0:c r="L182" s="9" t="str">
        <ns0:f>IF(AND(B182&lt;&gt;"",J182="在庫"),COUNTIFS($J$5:J182,"在庫",$B$5:B182,"&lt;&gt;"),"")</ns0:f>
        <ns0:v/>
      </ns0:c>
    </ns0:row>
    <ns0:row r="183">
      <ns0:c r="A183" s="5" t="n"/>
      <ns0:c r="B183" s="6" t="n"/>
      <ns0:c r="C183" s="6" t="n"/>
      <ns0:c r="D183" s="7" t="n"/>
      <ns0:c r="E183" s="7" t="n"/>
      <ns0:c r="F183" s="8" t="str">
        <ns0:f>IF(OR(B183="",J183&lt;&gt;"販売済み",E183="",C183=""),"",IFERROR(IF(OR(COUNTIF('手数料マスタ'!$A$5:$A$104,C183)&lt;&gt;1,COUNTIFS('手数料マスタ'!$A$5:$A$104,C183,'手数料マスタ'!$B$5:$B$104,"&lt;&gt;")&lt;&gt;1,NOT(ISNUMBER(VLOOKUP(C183,'手数料マスタ'!$A$5:$B$104,2,FALSE))),VLOOKUP(C183,'手数料マスタ'!$A$5:$B$104,2,FALSE)&lt;0,VLOOKUP(C183,'手数料マスタ'!$A$5:$B$104,2,FALSE)&gt;1),"要確認",ROUND(E183*VLOOKUP(C183,'手数料マスタ'!$A$5:$B$104,2,FALSE),0)),"要確認"))</ns0:f>
        <ns0:v/>
      </ns0:c>
      <ns0:c r="G183" s="7" t="n"/>
      <ns0:c r="H183" s="7" t="n"/>
      <ns0:c r="I183" s="8" t="str">
        <ns0:f>IF(OR(B183="",J183&lt;&gt;"販売済み",D183="",E183="",G183="",H183=""),"",IF(ISNUMBER(F183),E183-D183-F183-G183-H183,"要確認"))</ns0:f>
        <ns0:v/>
      </ns0:c>
      <ns0:c r="J183" s="6" t="n"/>
      <ns0:c r="K183" s="5" t="n"/>
      <ns0:c r="L183" s="9" t="str">
        <ns0:f>IF(AND(B183&lt;&gt;"",J183="在庫"),COUNTIFS($J$5:J183,"在庫",$B$5:B183,"&lt;&gt;"),"")</ns0:f>
        <ns0:v/>
      </ns0:c>
    </ns0:row>
    <ns0:row r="184">
      <ns0:c r="A184" s="5" t="n"/>
      <ns0:c r="B184" s="6" t="n"/>
      <ns0:c r="C184" s="6" t="n"/>
      <ns0:c r="D184" s="7" t="n"/>
      <ns0:c r="E184" s="7" t="n"/>
      <ns0:c r="F184" s="8" t="str">
        <ns0:f>IF(OR(B184="",J184&lt;&gt;"販売済み",E184="",C184=""),"",IFERROR(IF(OR(COUNTIF('手数料マスタ'!$A$5:$A$104,C184)&lt;&gt;1,COUNTIFS('手数料マスタ'!$A$5:$A$104,C184,'手数料マスタ'!$B$5:$B$104,"&lt;&gt;")&lt;&gt;1,NOT(ISNUMBER(VLOOKUP(C184,'手数料マスタ'!$A$5:$B$104,2,FALSE))),VLOOKUP(C184,'手数料マスタ'!$A$5:$B$104,2,FALSE)&lt;0,VLOOKUP(C184,'手数料マスタ'!$A$5:$B$104,2,FALSE)&gt;1),"要確認",ROUND(E184*VLOOKUP(C184,'手数料マスタ'!$A$5:$B$104,2,FALSE),0)),"要確認"))</ns0:f>
        <ns0:v/>
      </ns0:c>
      <ns0:c r="G184" s="7" t="n"/>
      <ns0:c r="H184" s="7" t="n"/>
      <ns0:c r="I184" s="8" t="str">
        <ns0:f>IF(OR(B184="",J184&lt;&gt;"販売済み",D184="",E184="",G184="",H184=""),"",IF(ISNUMBER(F184),E184-D184-F184-G184-H184,"要確認"))</ns0:f>
        <ns0:v/>
      </ns0:c>
      <ns0:c r="J184" s="6" t="n"/>
      <ns0:c r="K184" s="5" t="n"/>
      <ns0:c r="L184" s="9" t="str">
        <ns0:f>IF(AND(B184&lt;&gt;"",J184="在庫"),COUNTIFS($J$5:J184,"在庫",$B$5:B184,"&lt;&gt;"),"")</ns0:f>
        <ns0:v/>
      </ns0:c>
    </ns0:row>
    <ns0:row r="185">
      <ns0:c r="A185" s="5" t="n"/>
      <ns0:c r="B185" s="6" t="n"/>
      <ns0:c r="C185" s="6" t="n"/>
      <ns0:c r="D185" s="7" t="n"/>
      <ns0:c r="E185" s="7" t="n"/>
      <ns0:c r="F185" s="8" t="str">
        <ns0:f>IF(OR(B185="",J185&lt;&gt;"販売済み",E185="",C185=""),"",IFERROR(IF(OR(COUNTIF('手数料マスタ'!$A$5:$A$104,C185)&lt;&gt;1,COUNTIFS('手数料マスタ'!$A$5:$A$104,C185,'手数料マスタ'!$B$5:$B$104,"&lt;&gt;")&lt;&gt;1,NOT(ISNUMBER(VLOOKUP(C185,'手数料マスタ'!$A$5:$B$104,2,FALSE))),VLOOKUP(C185,'手数料マスタ'!$A$5:$B$104,2,FALSE)&lt;0,VLOOKUP(C185,'手数料マスタ'!$A$5:$B$104,2,FALSE)&gt;1),"要確認",ROUND(E185*VLOOKUP(C185,'手数料マスタ'!$A$5:$B$104,2,FALSE),0)),"要確認"))</ns0:f>
        <ns0:v/>
      </ns0:c>
      <ns0:c r="G185" s="7" t="n"/>
      <ns0:c r="H185" s="7" t="n"/>
      <ns0:c r="I185" s="8" t="str">
        <ns0:f>IF(OR(B185="",J185&lt;&gt;"販売済み",D185="",E185="",G185="",H185=""),"",IF(ISNUMBER(F185),E185-D185-F185-G185-H185,"要確認"))</ns0:f>
        <ns0:v/>
      </ns0:c>
      <ns0:c r="J185" s="6" t="n"/>
      <ns0:c r="K185" s="5" t="n"/>
      <ns0:c r="L185" s="9" t="str">
        <ns0:f>IF(AND(B185&lt;&gt;"",J185="在庫"),COUNTIFS($J$5:J185,"在庫",$B$5:B185,"&lt;&gt;"),"")</ns0:f>
        <ns0:v/>
      </ns0:c>
    </ns0:row>
    <ns0:row r="186">
      <ns0:c r="A186" s="5" t="n"/>
      <ns0:c r="B186" s="6" t="n"/>
      <ns0:c r="C186" s="6" t="n"/>
      <ns0:c r="D186" s="7" t="n"/>
      <ns0:c r="E186" s="7" t="n"/>
      <ns0:c r="F186" s="8" t="str">
        <ns0:f>IF(OR(B186="",J186&lt;&gt;"販売済み",E186="",C186=""),"",IFERROR(IF(OR(COUNTIF('手数料マスタ'!$A$5:$A$104,C186)&lt;&gt;1,COUNTIFS('手数料マスタ'!$A$5:$A$104,C186,'手数料マスタ'!$B$5:$B$104,"&lt;&gt;")&lt;&gt;1,NOT(ISNUMBER(VLOOKUP(C186,'手数料マスタ'!$A$5:$B$104,2,FALSE))),VLOOKUP(C186,'手数料マスタ'!$A$5:$B$104,2,FALSE)&lt;0,VLOOKUP(C186,'手数料マスタ'!$A$5:$B$104,2,FALSE)&gt;1),"要確認",ROUND(E186*VLOOKUP(C186,'手数料マスタ'!$A$5:$B$104,2,FALSE),0)),"要確認"))</ns0:f>
        <ns0:v/>
      </ns0:c>
      <ns0:c r="G186" s="7" t="n"/>
      <ns0:c r="H186" s="7" t="n"/>
      <ns0:c r="I186" s="8" t="str">
        <ns0:f>IF(OR(B186="",J186&lt;&gt;"販売済み",D186="",E186="",G186="",H186=""),"",IF(ISNUMBER(F186),E186-D186-F186-G186-H186,"要確認"))</ns0:f>
        <ns0:v/>
      </ns0:c>
      <ns0:c r="J186" s="6" t="n"/>
      <ns0:c r="K186" s="5" t="n"/>
      <ns0:c r="L186" s="9" t="str">
        <ns0:f>IF(AND(B186&lt;&gt;"",J186="在庫"),COUNTIFS($J$5:J186,"在庫",$B$5:B186,"&lt;&gt;"),"")</ns0:f>
        <ns0:v/>
      </ns0:c>
    </ns0:row>
    <ns0:row r="187">
      <ns0:c r="A187" s="5" t="n"/>
      <ns0:c r="B187" s="6" t="n"/>
      <ns0:c r="C187" s="6" t="n"/>
      <ns0:c r="D187" s="7" t="n"/>
      <ns0:c r="E187" s="7" t="n"/>
      <ns0:c r="F187" s="8" t="str">
        <ns0:f>IF(OR(B187="",J187&lt;&gt;"販売済み",E187="",C187=""),"",IFERROR(IF(OR(COUNTIF('手数料マスタ'!$A$5:$A$104,C187)&lt;&gt;1,COUNTIFS('手数料マスタ'!$A$5:$A$104,C187,'手数料マスタ'!$B$5:$B$104,"&lt;&gt;")&lt;&gt;1,NOT(ISNUMBER(VLOOKUP(C187,'手数料マスタ'!$A$5:$B$104,2,FALSE))),VLOOKUP(C187,'手数料マスタ'!$A$5:$B$104,2,FALSE)&lt;0,VLOOKUP(C187,'手数料マスタ'!$A$5:$B$104,2,FALSE)&gt;1),"要確認",ROUND(E187*VLOOKUP(C187,'手数料マスタ'!$A$5:$B$104,2,FALSE),0)),"要確認"))</ns0:f>
        <ns0:v/>
      </ns0:c>
      <ns0:c r="G187" s="7" t="n"/>
      <ns0:c r="H187" s="7" t="n"/>
      <ns0:c r="I187" s="8" t="str">
        <ns0:f>IF(OR(B187="",J187&lt;&gt;"販売済み",D187="",E187="",G187="",H187=""),"",IF(ISNUMBER(F187),E187-D187-F187-G187-H187,"要確認"))</ns0:f>
        <ns0:v/>
      </ns0:c>
      <ns0:c r="J187" s="6" t="n"/>
      <ns0:c r="K187" s="5" t="n"/>
      <ns0:c r="L187" s="9" t="str">
        <ns0:f>IF(AND(B187&lt;&gt;"",J187="在庫"),COUNTIFS($J$5:J187,"在庫",$B$5:B187,"&lt;&gt;"),"")</ns0:f>
        <ns0:v/>
      </ns0:c>
    </ns0:row>
    <ns0:row r="188">
      <ns0:c r="A188" s="5" t="n"/>
      <ns0:c r="B188" s="6" t="n"/>
      <ns0:c r="C188" s="6" t="n"/>
      <ns0:c r="D188" s="7" t="n"/>
      <ns0:c r="E188" s="7" t="n"/>
      <ns0:c r="F188" s="8" t="str">
        <ns0:f>IF(OR(B188="",J188&lt;&gt;"販売済み",E188="",C188=""),"",IFERROR(IF(OR(COUNTIF('手数料マスタ'!$A$5:$A$104,C188)&lt;&gt;1,COUNTIFS('手数料マスタ'!$A$5:$A$104,C188,'手数料マスタ'!$B$5:$B$104,"&lt;&gt;")&lt;&gt;1,NOT(ISNUMBER(VLOOKUP(C188,'手数料マスタ'!$A$5:$B$104,2,FALSE))),VLOOKUP(C188,'手数料マスタ'!$A$5:$B$104,2,FALSE)&lt;0,VLOOKUP(C188,'手数料マスタ'!$A$5:$B$104,2,FALSE)&gt;1),"要確認",ROUND(E188*VLOOKUP(C188,'手数料マスタ'!$A$5:$B$104,2,FALSE),0)),"要確認"))</ns0:f>
        <ns0:v/>
      </ns0:c>
      <ns0:c r="G188" s="7" t="n"/>
      <ns0:c r="H188" s="7" t="n"/>
      <ns0:c r="I188" s="8" t="str">
        <ns0:f>IF(OR(B188="",J188&lt;&gt;"販売済み",D188="",E188="",G188="",H188=""),"",IF(ISNUMBER(F188),E188-D188-F188-G188-H188,"要確認"))</ns0:f>
        <ns0:v/>
      </ns0:c>
      <ns0:c r="J188" s="6" t="n"/>
      <ns0:c r="K188" s="5" t="n"/>
      <ns0:c r="L188" s="9" t="str">
        <ns0:f>IF(AND(B188&lt;&gt;"",J188="在庫"),COUNTIFS($J$5:J188,"在庫",$B$5:B188,"&lt;&gt;"),"")</ns0:f>
        <ns0:v/>
      </ns0:c>
    </ns0:row>
    <ns0:row r="189">
      <ns0:c r="A189" s="5" t="n"/>
      <ns0:c r="B189" s="6" t="n"/>
      <ns0:c r="C189" s="6" t="n"/>
      <ns0:c r="D189" s="7" t="n"/>
      <ns0:c r="E189" s="7" t="n"/>
      <ns0:c r="F189" s="8" t="str">
        <ns0:f>IF(OR(B189="",J189&lt;&gt;"販売済み",E189="",C189=""),"",IFERROR(IF(OR(COUNTIF('手数料マスタ'!$A$5:$A$104,C189)&lt;&gt;1,COUNTIFS('手数料マスタ'!$A$5:$A$104,C189,'手数料マスタ'!$B$5:$B$104,"&lt;&gt;")&lt;&gt;1,NOT(ISNUMBER(VLOOKUP(C189,'手数料マスタ'!$A$5:$B$104,2,FALSE))),VLOOKUP(C189,'手数料マスタ'!$A$5:$B$104,2,FALSE)&lt;0,VLOOKUP(C189,'手数料マスタ'!$A$5:$B$104,2,FALSE)&gt;1),"要確認",ROUND(E189*VLOOKUP(C189,'手数料マスタ'!$A$5:$B$104,2,FALSE),0)),"要確認"))</ns0:f>
        <ns0:v/>
      </ns0:c>
      <ns0:c r="G189" s="7" t="n"/>
      <ns0:c r="H189" s="7" t="n"/>
      <ns0:c r="I189" s="8" t="str">
        <ns0:f>IF(OR(B189="",J189&lt;&gt;"販売済み",D189="",E189="",G189="",H189=""),"",IF(ISNUMBER(F189),E189-D189-F189-G189-H189,"要確認"))</ns0:f>
        <ns0:v/>
      </ns0:c>
      <ns0:c r="J189" s="6" t="n"/>
      <ns0:c r="K189" s="5" t="n"/>
      <ns0:c r="L189" s="9" t="str">
        <ns0:f>IF(AND(B189&lt;&gt;"",J189="在庫"),COUNTIFS($J$5:J189,"在庫",$B$5:B189,"&lt;&gt;"),"")</ns0:f>
        <ns0:v/>
      </ns0:c>
    </ns0:row>
    <ns0:row r="190">
      <ns0:c r="A190" s="5" t="n"/>
      <ns0:c r="B190" s="6" t="n"/>
      <ns0:c r="C190" s="6" t="n"/>
      <ns0:c r="D190" s="7" t="n"/>
      <ns0:c r="E190" s="7" t="n"/>
      <ns0:c r="F190" s="8" t="str">
        <ns0:f>IF(OR(B190="",J190&lt;&gt;"販売済み",E190="",C190=""),"",IFERROR(IF(OR(COUNTIF('手数料マスタ'!$A$5:$A$104,C190)&lt;&gt;1,COUNTIFS('手数料マスタ'!$A$5:$A$104,C190,'手数料マスタ'!$B$5:$B$104,"&lt;&gt;")&lt;&gt;1,NOT(ISNUMBER(VLOOKUP(C190,'手数料マスタ'!$A$5:$B$104,2,FALSE))),VLOOKUP(C190,'手数料マスタ'!$A$5:$B$104,2,FALSE)&lt;0,VLOOKUP(C190,'手数料マスタ'!$A$5:$B$104,2,FALSE)&gt;1),"要確認",ROUND(E190*VLOOKUP(C190,'手数料マスタ'!$A$5:$B$104,2,FALSE),0)),"要確認"))</ns0:f>
        <ns0:v/>
      </ns0:c>
      <ns0:c r="G190" s="7" t="n"/>
      <ns0:c r="H190" s="7" t="n"/>
      <ns0:c r="I190" s="8" t="str">
        <ns0:f>IF(OR(B190="",J190&lt;&gt;"販売済み",D190="",E190="",G190="",H190=""),"",IF(ISNUMBER(F190),E190-D190-F190-G190-H190,"要確認"))</ns0:f>
        <ns0:v/>
      </ns0:c>
      <ns0:c r="J190" s="6" t="n"/>
      <ns0:c r="K190" s="5" t="n"/>
      <ns0:c r="L190" s="9" t="str">
        <ns0:f>IF(AND(B190&lt;&gt;"",J190="在庫"),COUNTIFS($J$5:J190,"在庫",$B$5:B190,"&lt;&gt;"),"")</ns0:f>
        <ns0:v/>
      </ns0:c>
    </ns0:row>
    <ns0:row r="191">
      <ns0:c r="A191" s="5" t="n"/>
      <ns0:c r="B191" s="6" t="n"/>
      <ns0:c r="C191" s="6" t="n"/>
      <ns0:c r="D191" s="7" t="n"/>
      <ns0:c r="E191" s="7" t="n"/>
      <ns0:c r="F191" s="8" t="str">
        <ns0:f>IF(OR(B191="",J191&lt;&gt;"販売済み",E191="",C191=""),"",IFERROR(IF(OR(COUNTIF('手数料マスタ'!$A$5:$A$104,C191)&lt;&gt;1,COUNTIFS('手数料マスタ'!$A$5:$A$104,C191,'手数料マスタ'!$B$5:$B$104,"&lt;&gt;")&lt;&gt;1,NOT(ISNUMBER(VLOOKUP(C191,'手数料マスタ'!$A$5:$B$104,2,FALSE))),VLOOKUP(C191,'手数料マスタ'!$A$5:$B$104,2,FALSE)&lt;0,VLOOKUP(C191,'手数料マスタ'!$A$5:$B$104,2,FALSE)&gt;1),"要確認",ROUND(E191*VLOOKUP(C191,'手数料マスタ'!$A$5:$B$104,2,FALSE),0)),"要確認"))</ns0:f>
        <ns0:v/>
      </ns0:c>
      <ns0:c r="G191" s="7" t="n"/>
      <ns0:c r="H191" s="7" t="n"/>
      <ns0:c r="I191" s="8" t="str">
        <ns0:f>IF(OR(B191="",J191&lt;&gt;"販売済み",D191="",E191="",G191="",H191=""),"",IF(ISNUMBER(F191),E191-D191-F191-G191-H191,"要確認"))</ns0:f>
        <ns0:v/>
      </ns0:c>
      <ns0:c r="J191" s="6" t="n"/>
      <ns0:c r="K191" s="5" t="n"/>
      <ns0:c r="L191" s="9" t="str">
        <ns0:f>IF(AND(B191&lt;&gt;"",J191="在庫"),COUNTIFS($J$5:J191,"在庫",$B$5:B191,"&lt;&gt;"),"")</ns0:f>
        <ns0:v/>
      </ns0:c>
    </ns0:row>
    <ns0:row r="192">
      <ns0:c r="A192" s="5" t="n"/>
      <ns0:c r="B192" s="6" t="n"/>
      <ns0:c r="C192" s="6" t="n"/>
      <ns0:c r="D192" s="7" t="n"/>
      <ns0:c r="E192" s="7" t="n"/>
      <ns0:c r="F192" s="8" t="str">
        <ns0:f>IF(OR(B192="",J192&lt;&gt;"販売済み",E192="",C192=""),"",IFERROR(IF(OR(COUNTIF('手数料マスタ'!$A$5:$A$104,C192)&lt;&gt;1,COUNTIFS('手数料マスタ'!$A$5:$A$104,C192,'手数料マスタ'!$B$5:$B$104,"&lt;&gt;")&lt;&gt;1,NOT(ISNUMBER(VLOOKUP(C192,'手数料マスタ'!$A$5:$B$104,2,FALSE))),VLOOKUP(C192,'手数料マスタ'!$A$5:$B$104,2,FALSE)&lt;0,VLOOKUP(C192,'手数料マスタ'!$A$5:$B$104,2,FALSE)&gt;1),"要確認",ROUND(E192*VLOOKUP(C192,'手数料マスタ'!$A$5:$B$104,2,FALSE),0)),"要確認"))</ns0:f>
        <ns0:v/>
      </ns0:c>
      <ns0:c r="G192" s="7" t="n"/>
      <ns0:c r="H192" s="7" t="n"/>
      <ns0:c r="I192" s="8" t="str">
        <ns0:f>IF(OR(B192="",J192&lt;&gt;"販売済み",D192="",E192="",G192="",H192=""),"",IF(ISNUMBER(F192),E192-D192-F192-G192-H192,"要確認"))</ns0:f>
        <ns0:v/>
      </ns0:c>
      <ns0:c r="J192" s="6" t="n"/>
      <ns0:c r="K192" s="5" t="n"/>
      <ns0:c r="L192" s="9" t="str">
        <ns0:f>IF(AND(B192&lt;&gt;"",J192="在庫"),COUNTIFS($J$5:J192,"在庫",$B$5:B192,"&lt;&gt;"),"")</ns0:f>
        <ns0:v/>
      </ns0:c>
    </ns0:row>
    <ns0:row r="193">
      <ns0:c r="A193" s="5" t="n"/>
      <ns0:c r="B193" s="6" t="n"/>
      <ns0:c r="C193" s="6" t="n"/>
      <ns0:c r="D193" s="7" t="n"/>
      <ns0:c r="E193" s="7" t="n"/>
      <ns0:c r="F193" s="8" t="str">
        <ns0:f>IF(OR(B193="",J193&lt;&gt;"販売済み",E193="",C193=""),"",IFERROR(IF(OR(COUNTIF('手数料マスタ'!$A$5:$A$104,C193)&lt;&gt;1,COUNTIFS('手数料マスタ'!$A$5:$A$104,C193,'手数料マスタ'!$B$5:$B$104,"&lt;&gt;")&lt;&gt;1,NOT(ISNUMBER(VLOOKUP(C193,'手数料マスタ'!$A$5:$B$104,2,FALSE))),VLOOKUP(C193,'手数料マスタ'!$A$5:$B$104,2,FALSE)&lt;0,VLOOKUP(C193,'手数料マスタ'!$A$5:$B$104,2,FALSE)&gt;1),"要確認",ROUND(E193*VLOOKUP(C193,'手数料マスタ'!$A$5:$B$104,2,FALSE),0)),"要確認"))</ns0:f>
        <ns0:v/>
      </ns0:c>
      <ns0:c r="G193" s="7" t="n"/>
      <ns0:c r="H193" s="7" t="n"/>
      <ns0:c r="I193" s="8" t="str">
        <ns0:f>IF(OR(B193="",J193&lt;&gt;"販売済み",D193="",E193="",G193="",H193=""),"",IF(ISNUMBER(F193),E193-D193-F193-G193-H193,"要確認"))</ns0:f>
        <ns0:v/>
      </ns0:c>
      <ns0:c r="J193" s="6" t="n"/>
      <ns0:c r="K193" s="5" t="n"/>
      <ns0:c r="L193" s="9" t="str">
        <ns0:f>IF(AND(B193&lt;&gt;"",J193="在庫"),COUNTIFS($J$5:J193,"在庫",$B$5:B193,"&lt;&gt;"),"")</ns0:f>
        <ns0:v/>
      </ns0:c>
    </ns0:row>
    <ns0:row r="194">
      <ns0:c r="A194" s="5" t="n"/>
      <ns0:c r="B194" s="6" t="n"/>
      <ns0:c r="C194" s="6" t="n"/>
      <ns0:c r="D194" s="7" t="n"/>
      <ns0:c r="E194" s="7" t="n"/>
      <ns0:c r="F194" s="8" t="str">
        <ns0:f>IF(OR(B194="",J194&lt;&gt;"販売済み",E194="",C194=""),"",IFERROR(IF(OR(COUNTIF('手数料マスタ'!$A$5:$A$104,C194)&lt;&gt;1,COUNTIFS('手数料マスタ'!$A$5:$A$104,C194,'手数料マスタ'!$B$5:$B$104,"&lt;&gt;")&lt;&gt;1,NOT(ISNUMBER(VLOOKUP(C194,'手数料マスタ'!$A$5:$B$104,2,FALSE))),VLOOKUP(C194,'手数料マスタ'!$A$5:$B$104,2,FALSE)&lt;0,VLOOKUP(C194,'手数料マスタ'!$A$5:$B$104,2,FALSE)&gt;1),"要確認",ROUND(E194*VLOOKUP(C194,'手数料マスタ'!$A$5:$B$104,2,FALSE),0)),"要確認"))</ns0:f>
        <ns0:v/>
      </ns0:c>
      <ns0:c r="G194" s="7" t="n"/>
      <ns0:c r="H194" s="7" t="n"/>
      <ns0:c r="I194" s="8" t="str">
        <ns0:f>IF(OR(B194="",J194&lt;&gt;"販売済み",D194="",E194="",G194="",H194=""),"",IF(ISNUMBER(F194),E194-D194-F194-G194-H194,"要確認"))</ns0:f>
        <ns0:v/>
      </ns0:c>
      <ns0:c r="J194" s="6" t="n"/>
      <ns0:c r="K194" s="5" t="n"/>
      <ns0:c r="L194" s="9" t="str">
        <ns0:f>IF(AND(B194&lt;&gt;"",J194="在庫"),COUNTIFS($J$5:J194,"在庫",$B$5:B194,"&lt;&gt;"),"")</ns0:f>
        <ns0:v/>
      </ns0:c>
    </ns0:row>
    <ns0:row r="195">
      <ns0:c r="A195" s="5" t="n"/>
      <ns0:c r="B195" s="6" t="n"/>
      <ns0:c r="C195" s="6" t="n"/>
      <ns0:c r="D195" s="7" t="n"/>
      <ns0:c r="E195" s="7" t="n"/>
      <ns0:c r="F195" s="8" t="str">
        <ns0:f>IF(OR(B195="",J195&lt;&gt;"販売済み",E195="",C195=""),"",IFERROR(IF(OR(COUNTIF('手数料マスタ'!$A$5:$A$104,C195)&lt;&gt;1,COUNTIFS('手数料マスタ'!$A$5:$A$104,C195,'手数料マスタ'!$B$5:$B$104,"&lt;&gt;")&lt;&gt;1,NOT(ISNUMBER(VLOOKUP(C195,'手数料マスタ'!$A$5:$B$104,2,FALSE))),VLOOKUP(C195,'手数料マスタ'!$A$5:$B$104,2,FALSE)&lt;0,VLOOKUP(C195,'手数料マスタ'!$A$5:$B$104,2,FALSE)&gt;1),"要確認",ROUND(E195*VLOOKUP(C195,'手数料マスタ'!$A$5:$B$104,2,FALSE),0)),"要確認"))</ns0:f>
        <ns0:v/>
      </ns0:c>
      <ns0:c r="G195" s="7" t="n"/>
      <ns0:c r="H195" s="7" t="n"/>
      <ns0:c r="I195" s="8" t="str">
        <ns0:f>IF(OR(B195="",J195&lt;&gt;"販売済み",D195="",E195="",G195="",H195=""),"",IF(ISNUMBER(F195),E195-D195-F195-G195-H195,"要確認"))</ns0:f>
        <ns0:v/>
      </ns0:c>
      <ns0:c r="J195" s="6" t="n"/>
      <ns0:c r="K195" s="5" t="n"/>
      <ns0:c r="L195" s="9" t="str">
        <ns0:f>IF(AND(B195&lt;&gt;"",J195="在庫"),COUNTIFS($J$5:J195,"在庫",$B$5:B195,"&lt;&gt;"),"")</ns0:f>
        <ns0:v/>
      </ns0:c>
    </ns0:row>
    <ns0:row r="196">
      <ns0:c r="A196" s="5" t="n"/>
      <ns0:c r="B196" s="6" t="n"/>
      <ns0:c r="C196" s="6" t="n"/>
      <ns0:c r="D196" s="7" t="n"/>
      <ns0:c r="E196" s="7" t="n"/>
      <ns0:c r="F196" s="8" t="str">
        <ns0:f>IF(OR(B196="",J196&lt;&gt;"販売済み",E196="",C196=""),"",IFERROR(IF(OR(COUNTIF('手数料マスタ'!$A$5:$A$104,C196)&lt;&gt;1,COUNTIFS('手数料マスタ'!$A$5:$A$104,C196,'手数料マスタ'!$B$5:$B$104,"&lt;&gt;")&lt;&gt;1,NOT(ISNUMBER(VLOOKUP(C196,'手数料マスタ'!$A$5:$B$104,2,FALSE))),VLOOKUP(C196,'手数料マスタ'!$A$5:$B$104,2,FALSE)&lt;0,VLOOKUP(C196,'手数料マスタ'!$A$5:$B$104,2,FALSE)&gt;1),"要確認",ROUND(E196*VLOOKUP(C196,'手数料マスタ'!$A$5:$B$104,2,FALSE),0)),"要確認"))</ns0:f>
        <ns0:v/>
      </ns0:c>
      <ns0:c r="G196" s="7" t="n"/>
      <ns0:c r="H196" s="7" t="n"/>
      <ns0:c r="I196" s="8" t="str">
        <ns0:f>IF(OR(B196="",J196&lt;&gt;"販売済み",D196="",E196="",G196="",H196=""),"",IF(ISNUMBER(F196),E196-D196-F196-G196-H196,"要確認"))</ns0:f>
        <ns0:v/>
      </ns0:c>
      <ns0:c r="J196" s="6" t="n"/>
      <ns0:c r="K196" s="5" t="n"/>
      <ns0:c r="L196" s="9" t="str">
        <ns0:f>IF(AND(B196&lt;&gt;"",J196="在庫"),COUNTIFS($J$5:J196,"在庫",$B$5:B196,"&lt;&gt;"),"")</ns0:f>
        <ns0:v/>
      </ns0:c>
    </ns0:row>
    <ns0:row r="197">
      <ns0:c r="A197" s="5" t="n"/>
      <ns0:c r="B197" s="6" t="n"/>
      <ns0:c r="C197" s="6" t="n"/>
      <ns0:c r="D197" s="7" t="n"/>
      <ns0:c r="E197" s="7" t="n"/>
      <ns0:c r="F197" s="8" t="str">
        <ns0:f>IF(OR(B197="",J197&lt;&gt;"販売済み",E197="",C197=""),"",IFERROR(IF(OR(COUNTIF('手数料マスタ'!$A$5:$A$104,C197)&lt;&gt;1,COUNTIFS('手数料マスタ'!$A$5:$A$104,C197,'手数料マスタ'!$B$5:$B$104,"&lt;&gt;")&lt;&gt;1,NOT(ISNUMBER(VLOOKUP(C197,'手数料マスタ'!$A$5:$B$104,2,FALSE))),VLOOKUP(C197,'手数料マスタ'!$A$5:$B$104,2,FALSE)&lt;0,VLOOKUP(C197,'手数料マスタ'!$A$5:$B$104,2,FALSE)&gt;1),"要確認",ROUND(E197*VLOOKUP(C197,'手数料マスタ'!$A$5:$B$104,2,FALSE),0)),"要確認"))</ns0:f>
        <ns0:v/>
      </ns0:c>
      <ns0:c r="G197" s="7" t="n"/>
      <ns0:c r="H197" s="7" t="n"/>
      <ns0:c r="I197" s="8" t="str">
        <ns0:f>IF(OR(B197="",J197&lt;&gt;"販売済み",D197="",E197="",G197="",H197=""),"",IF(ISNUMBER(F197),E197-D197-F197-G197-H197,"要確認"))</ns0:f>
        <ns0:v/>
      </ns0:c>
      <ns0:c r="J197" s="6" t="n"/>
      <ns0:c r="K197" s="5" t="n"/>
      <ns0:c r="L197" s="9" t="str">
        <ns0:f>IF(AND(B197&lt;&gt;"",J197="在庫"),COUNTIFS($J$5:J197,"在庫",$B$5:B197,"&lt;&gt;"),"")</ns0:f>
        <ns0:v/>
      </ns0:c>
    </ns0:row>
    <ns0:row r="198">
      <ns0:c r="A198" s="5" t="n"/>
      <ns0:c r="B198" s="6" t="n"/>
      <ns0:c r="C198" s="6" t="n"/>
      <ns0:c r="D198" s="7" t="n"/>
      <ns0:c r="E198" s="7" t="n"/>
      <ns0:c r="F198" s="8" t="str">
        <ns0:f>IF(OR(B198="",J198&lt;&gt;"販売済み",E198="",C198=""),"",IFERROR(IF(OR(COUNTIF('手数料マスタ'!$A$5:$A$104,C198)&lt;&gt;1,COUNTIFS('手数料マスタ'!$A$5:$A$104,C198,'手数料マスタ'!$B$5:$B$104,"&lt;&gt;")&lt;&gt;1,NOT(ISNUMBER(VLOOKUP(C198,'手数料マスタ'!$A$5:$B$104,2,FALSE))),VLOOKUP(C198,'手数料マスタ'!$A$5:$B$104,2,FALSE)&lt;0,VLOOKUP(C198,'手数料マスタ'!$A$5:$B$104,2,FALSE)&gt;1),"要確認",ROUND(E198*VLOOKUP(C198,'手数料マスタ'!$A$5:$B$104,2,FALSE),0)),"要確認"))</ns0:f>
        <ns0:v/>
      </ns0:c>
      <ns0:c r="G198" s="7" t="n"/>
      <ns0:c r="H198" s="7" t="n"/>
      <ns0:c r="I198" s="8" t="str">
        <ns0:f>IF(OR(B198="",J198&lt;&gt;"販売済み",D198="",E198="",G198="",H198=""),"",IF(ISNUMBER(F198),E198-D198-F198-G198-H198,"要確認"))</ns0:f>
        <ns0:v/>
      </ns0:c>
      <ns0:c r="J198" s="6" t="n"/>
      <ns0:c r="K198" s="5" t="n"/>
      <ns0:c r="L198" s="9" t="str">
        <ns0:f>IF(AND(B198&lt;&gt;"",J198="在庫"),COUNTIFS($J$5:J198,"在庫",$B$5:B198,"&lt;&gt;"),"")</ns0:f>
        <ns0:v/>
      </ns0:c>
    </ns0:row>
    <ns0:row r="199">
      <ns0:c r="A199" s="5" t="n"/>
      <ns0:c r="B199" s="6" t="n"/>
      <ns0:c r="C199" s="6" t="n"/>
      <ns0:c r="D199" s="7" t="n"/>
      <ns0:c r="E199" s="7" t="n"/>
      <ns0:c r="F199" s="8" t="str">
        <ns0:f>IF(OR(B199="",J199&lt;&gt;"販売済み",E199="",C199=""),"",IFERROR(IF(OR(COUNTIF('手数料マスタ'!$A$5:$A$104,C199)&lt;&gt;1,COUNTIFS('手数料マスタ'!$A$5:$A$104,C199,'手数料マスタ'!$B$5:$B$104,"&lt;&gt;")&lt;&gt;1,NOT(ISNUMBER(VLOOKUP(C199,'手数料マスタ'!$A$5:$B$104,2,FALSE))),VLOOKUP(C199,'手数料マスタ'!$A$5:$B$104,2,FALSE)&lt;0,VLOOKUP(C199,'手数料マスタ'!$A$5:$B$104,2,FALSE)&gt;1),"要確認",ROUND(E199*VLOOKUP(C199,'手数料マスタ'!$A$5:$B$104,2,FALSE),0)),"要確認"))</ns0:f>
        <ns0:v/>
      </ns0:c>
      <ns0:c r="G199" s="7" t="n"/>
      <ns0:c r="H199" s="7" t="n"/>
      <ns0:c r="I199" s="8" t="str">
        <ns0:f>IF(OR(B199="",J199&lt;&gt;"販売済み",D199="",E199="",G199="",H199=""),"",IF(ISNUMBER(F199),E199-D199-F199-G199-H199,"要確認"))</ns0:f>
        <ns0:v/>
      </ns0:c>
      <ns0:c r="J199" s="6" t="n"/>
      <ns0:c r="K199" s="5" t="n"/>
      <ns0:c r="L199" s="9" t="str">
        <ns0:f>IF(AND(B199&lt;&gt;"",J199="在庫"),COUNTIFS($J$5:J199,"在庫",$B$5:B199,"&lt;&gt;"),"")</ns0:f>
        <ns0:v/>
      </ns0:c>
    </ns0:row>
    <ns0:row r="200">
      <ns0:c r="A200" s="5" t="n"/>
      <ns0:c r="B200" s="6" t="n"/>
      <ns0:c r="C200" s="6" t="n"/>
      <ns0:c r="D200" s="7" t="n"/>
      <ns0:c r="E200" s="7" t="n"/>
      <ns0:c r="F200" s="8" t="str">
        <ns0:f>IF(OR(B200="",J200&lt;&gt;"販売済み",E200="",C200=""),"",IFERROR(IF(OR(COUNTIF('手数料マスタ'!$A$5:$A$104,C200)&lt;&gt;1,COUNTIFS('手数料マスタ'!$A$5:$A$104,C200,'手数料マスタ'!$B$5:$B$104,"&lt;&gt;")&lt;&gt;1,NOT(ISNUMBER(VLOOKUP(C200,'手数料マスタ'!$A$5:$B$104,2,FALSE))),VLOOKUP(C200,'手数料マスタ'!$A$5:$B$104,2,FALSE)&lt;0,VLOOKUP(C200,'手数料マスタ'!$A$5:$B$104,2,FALSE)&gt;1),"要確認",ROUND(E200*VLOOKUP(C200,'手数料マスタ'!$A$5:$B$104,2,FALSE),0)),"要確認"))</ns0:f>
        <ns0:v/>
      </ns0:c>
      <ns0:c r="G200" s="7" t="n"/>
      <ns0:c r="H200" s="7" t="n"/>
      <ns0:c r="I200" s="8" t="str">
        <ns0:f>IF(OR(B200="",J200&lt;&gt;"販売済み",D200="",E200="",G200="",H200=""),"",IF(ISNUMBER(F200),E200-D200-F200-G200-H200,"要確認"))</ns0:f>
        <ns0:v/>
      </ns0:c>
      <ns0:c r="J200" s="6" t="n"/>
      <ns0:c r="K200" s="5" t="n"/>
      <ns0:c r="L200" s="9" t="str">
        <ns0:f>IF(AND(B200&lt;&gt;"",J200="在庫"),COUNTIFS($J$5:J200,"在庫",$B$5:B200,"&lt;&gt;"),"")</ns0:f>
        <ns0:v/>
      </ns0:c>
    </ns0:row>
    <ns0:row r="201">
      <ns0:c r="A201" s="5" t="n"/>
      <ns0:c r="B201" s="6" t="n"/>
      <ns0:c r="C201" s="6" t="n"/>
      <ns0:c r="D201" s="7" t="n"/>
      <ns0:c r="E201" s="7" t="n"/>
      <ns0:c r="F201" s="8" t="str">
        <ns0:f>IF(OR(B201="",J201&lt;&gt;"販売済み",E201="",C201=""),"",IFERROR(IF(OR(COUNTIF('手数料マスタ'!$A$5:$A$104,C201)&lt;&gt;1,COUNTIFS('手数料マスタ'!$A$5:$A$104,C201,'手数料マスタ'!$B$5:$B$104,"&lt;&gt;")&lt;&gt;1,NOT(ISNUMBER(VLOOKUP(C201,'手数料マスタ'!$A$5:$B$104,2,FALSE))),VLOOKUP(C201,'手数料マスタ'!$A$5:$B$104,2,FALSE)&lt;0,VLOOKUP(C201,'手数料マスタ'!$A$5:$B$104,2,FALSE)&gt;1),"要確認",ROUND(E201*VLOOKUP(C201,'手数料マスタ'!$A$5:$B$104,2,FALSE),0)),"要確認"))</ns0:f>
        <ns0:v/>
      </ns0:c>
      <ns0:c r="G201" s="7" t="n"/>
      <ns0:c r="H201" s="7" t="n"/>
      <ns0:c r="I201" s="8" t="str">
        <ns0:f>IF(OR(B201="",J201&lt;&gt;"販売済み",D201="",E201="",G201="",H201=""),"",IF(ISNUMBER(F201),E201-D201-F201-G201-H201,"要確認"))</ns0:f>
        <ns0:v/>
      </ns0:c>
      <ns0:c r="J201" s="6" t="n"/>
      <ns0:c r="K201" s="5" t="n"/>
      <ns0:c r="L201" s="9" t="str">
        <ns0:f>IF(AND(B201&lt;&gt;"",J201="在庫"),COUNTIFS($J$5:J201,"在庫",$B$5:B201,"&lt;&gt;"),"")</ns0:f>
        <ns0:v/>
      </ns0:c>
    </ns0:row>
    <ns0:row r="202">
      <ns0:c r="A202" s="5" t="n"/>
      <ns0:c r="B202" s="6" t="n"/>
      <ns0:c r="C202" s="6" t="n"/>
      <ns0:c r="D202" s="7" t="n"/>
      <ns0:c r="E202" s="7" t="n"/>
      <ns0:c r="F202" s="8" t="str">
        <ns0:f>IF(OR(B202="",J202&lt;&gt;"販売済み",E202="",C202=""),"",IFERROR(IF(OR(COUNTIF('手数料マスタ'!$A$5:$A$104,C202)&lt;&gt;1,COUNTIFS('手数料マスタ'!$A$5:$A$104,C202,'手数料マスタ'!$B$5:$B$104,"&lt;&gt;")&lt;&gt;1,NOT(ISNUMBER(VLOOKUP(C202,'手数料マスタ'!$A$5:$B$104,2,FALSE))),VLOOKUP(C202,'手数料マスタ'!$A$5:$B$104,2,FALSE)&lt;0,VLOOKUP(C202,'手数料マスタ'!$A$5:$B$104,2,FALSE)&gt;1),"要確認",ROUND(E202*VLOOKUP(C202,'手数料マスタ'!$A$5:$B$104,2,FALSE),0)),"要確認"))</ns0:f>
        <ns0:v/>
      </ns0:c>
      <ns0:c r="G202" s="7" t="n"/>
      <ns0:c r="H202" s="7" t="n"/>
      <ns0:c r="I202" s="8" t="str">
        <ns0:f>IF(OR(B202="",J202&lt;&gt;"販売済み",D202="",E202="",G202="",H202=""),"",IF(ISNUMBER(F202),E202-D202-F202-G202-H202,"要確認"))</ns0:f>
        <ns0:v/>
      </ns0:c>
      <ns0:c r="J202" s="6" t="n"/>
      <ns0:c r="K202" s="5" t="n"/>
      <ns0:c r="L202" s="9" t="str">
        <ns0:f>IF(AND(B202&lt;&gt;"",J202="在庫"),COUNTIFS($J$5:J202,"在庫",$B$5:B202,"&lt;&gt;"),"")</ns0:f>
        <ns0:v/>
      </ns0:c>
    </ns0:row>
    <ns0:row r="203">
      <ns0:c r="A203" s="5" t="n"/>
      <ns0:c r="B203" s="6" t="n"/>
      <ns0:c r="C203" s="6" t="n"/>
      <ns0:c r="D203" s="7" t="n"/>
      <ns0:c r="E203" s="7" t="n"/>
      <ns0:c r="F203" s="8" t="str">
        <ns0:f>IF(OR(B203="",J203&lt;&gt;"販売済み",E203="",C203=""),"",IFERROR(IF(OR(COUNTIF('手数料マスタ'!$A$5:$A$104,C203)&lt;&gt;1,COUNTIFS('手数料マスタ'!$A$5:$A$104,C203,'手数料マスタ'!$B$5:$B$104,"&lt;&gt;")&lt;&gt;1,NOT(ISNUMBER(VLOOKUP(C203,'手数料マスタ'!$A$5:$B$104,2,FALSE))),VLOOKUP(C203,'手数料マスタ'!$A$5:$B$104,2,FALSE)&lt;0,VLOOKUP(C203,'手数料マスタ'!$A$5:$B$104,2,FALSE)&gt;1),"要確認",ROUND(E203*VLOOKUP(C203,'手数料マスタ'!$A$5:$B$104,2,FALSE),0)),"要確認"))</ns0:f>
        <ns0:v/>
      </ns0:c>
      <ns0:c r="G203" s="7" t="n"/>
      <ns0:c r="H203" s="7" t="n"/>
      <ns0:c r="I203" s="8" t="str">
        <ns0:f>IF(OR(B203="",J203&lt;&gt;"販売済み",D203="",E203="",G203="",H203=""),"",IF(ISNUMBER(F203),E203-D203-F203-G203-H203,"要確認"))</ns0:f>
        <ns0:v/>
      </ns0:c>
      <ns0:c r="J203" s="6" t="n"/>
      <ns0:c r="K203" s="5" t="n"/>
      <ns0:c r="L203" s="9" t="str">
        <ns0:f>IF(AND(B203&lt;&gt;"",J203="在庫"),COUNTIFS($J$5:J203,"在庫",$B$5:B203,"&lt;&gt;"),"")</ns0:f>
        <ns0:v/>
      </ns0:c>
    </ns0:row>
    <ns0:row r="204">
      <ns0:c r="A204" s="5" t="n"/>
      <ns0:c r="B204" s="6" t="n"/>
      <ns0:c r="C204" s="6" t="n"/>
      <ns0:c r="D204" s="7" t="n"/>
      <ns0:c r="E204" s="7" t="n"/>
      <ns0:c r="F204" s="8" t="str">
        <ns0:f>IF(OR(B204="",J204&lt;&gt;"販売済み",E204="",C204=""),"",IFERROR(IF(OR(COUNTIF('手数料マスタ'!$A$5:$A$104,C204)&lt;&gt;1,COUNTIFS('手数料マスタ'!$A$5:$A$104,C204,'手数料マスタ'!$B$5:$B$104,"&lt;&gt;")&lt;&gt;1,NOT(ISNUMBER(VLOOKUP(C204,'手数料マスタ'!$A$5:$B$104,2,FALSE))),VLOOKUP(C204,'手数料マスタ'!$A$5:$B$104,2,FALSE)&lt;0,VLOOKUP(C204,'手数料マスタ'!$A$5:$B$104,2,FALSE)&gt;1),"要確認",ROUND(E204*VLOOKUP(C204,'手数料マスタ'!$A$5:$B$104,2,FALSE),0)),"要確認"))</ns0:f>
        <ns0:v/>
      </ns0:c>
      <ns0:c r="G204" s="7" t="n"/>
      <ns0:c r="H204" s="7" t="n"/>
      <ns0:c r="I204" s="8" t="str">
        <ns0:f>IF(OR(B204="",J204&lt;&gt;"販売済み",D204="",E204="",G204="",H204=""),"",IF(ISNUMBER(F204),E204-D204-F204-G204-H204,"要確認"))</ns0:f>
        <ns0:v/>
      </ns0:c>
      <ns0:c r="J204" s="6" t="n"/>
      <ns0:c r="K204" s="5" t="n"/>
      <ns0:c r="L204" s="9" t="str">
        <ns0:f>IF(AND(B204&lt;&gt;"",J204="在庫"),COUNTIFS($J$5:J204,"在庫",$B$5:B204,"&lt;&gt;"),"")</ns0:f>
        <ns0:v/>
      </ns0:c>
    </ns0:row>
    <ns0:row r="205">
      <ns0:c r="A205" s="5" t="n"/>
      <ns0:c r="B205" s="6" t="n"/>
      <ns0:c r="C205" s="6" t="n"/>
      <ns0:c r="D205" s="7" t="n"/>
      <ns0:c r="E205" s="7" t="n"/>
      <ns0:c r="F205" s="8" t="str">
        <ns0:f>IF(OR(B205="",J205&lt;&gt;"販売済み",E205="",C205=""),"",IFERROR(IF(OR(COUNTIF('手数料マスタ'!$A$5:$A$104,C205)&lt;&gt;1,COUNTIFS('手数料マスタ'!$A$5:$A$104,C205,'手数料マスタ'!$B$5:$B$104,"&lt;&gt;")&lt;&gt;1,NOT(ISNUMBER(VLOOKUP(C205,'手数料マスタ'!$A$5:$B$104,2,FALSE))),VLOOKUP(C205,'手数料マスタ'!$A$5:$B$104,2,FALSE)&lt;0,VLOOKUP(C205,'手数料マスタ'!$A$5:$B$104,2,FALSE)&gt;1),"要確認",ROUND(E205*VLOOKUP(C205,'手数料マスタ'!$A$5:$B$104,2,FALSE),0)),"要確認"))</ns0:f>
        <ns0:v/>
      </ns0:c>
      <ns0:c r="G205" s="7" t="n"/>
      <ns0:c r="H205" s="7" t="n"/>
      <ns0:c r="I205" s="8" t="str">
        <ns0:f>IF(OR(B205="",J205&lt;&gt;"販売済み",D205="",E205="",G205="",H205=""),"",IF(ISNUMBER(F205),E205-D205-F205-G205-H205,"要確認"))</ns0:f>
        <ns0:v/>
      </ns0:c>
      <ns0:c r="J205" s="6" t="n"/>
      <ns0:c r="K205" s="5" t="n"/>
      <ns0:c r="L205" s="9" t="str">
        <ns0:f>IF(AND(B205&lt;&gt;"",J205="在庫"),COUNTIFS($J$5:J205,"在庫",$B$5:B205,"&lt;&gt;"),"")</ns0:f>
        <ns0:v/>
      </ns0:c>
    </ns0:row>
    <ns0:row r="206">
      <ns0:c r="A206" s="5" t="n"/>
      <ns0:c r="B206" s="6" t="n"/>
      <ns0:c r="C206" s="6" t="n"/>
      <ns0:c r="D206" s="7" t="n"/>
      <ns0:c r="E206" s="7" t="n"/>
      <ns0:c r="F206" s="8" t="str">
        <ns0:f>IF(OR(B206="",J206&lt;&gt;"販売済み",E206="",C206=""),"",IFERROR(IF(OR(COUNTIF('手数料マスタ'!$A$5:$A$104,C206)&lt;&gt;1,COUNTIFS('手数料マスタ'!$A$5:$A$104,C206,'手数料マスタ'!$B$5:$B$104,"&lt;&gt;")&lt;&gt;1,NOT(ISNUMBER(VLOOKUP(C206,'手数料マスタ'!$A$5:$B$104,2,FALSE))),VLOOKUP(C206,'手数料マスタ'!$A$5:$B$104,2,FALSE)&lt;0,VLOOKUP(C206,'手数料マスタ'!$A$5:$B$104,2,FALSE)&gt;1),"要確認",ROUND(E206*VLOOKUP(C206,'手数料マスタ'!$A$5:$B$104,2,FALSE),0)),"要確認"))</ns0:f>
        <ns0:v/>
      </ns0:c>
      <ns0:c r="G206" s="7" t="n"/>
      <ns0:c r="H206" s="7" t="n"/>
      <ns0:c r="I206" s="8" t="str">
        <ns0:f>IF(OR(B206="",J206&lt;&gt;"販売済み",D206="",E206="",G206="",H206=""),"",IF(ISNUMBER(F206),E206-D206-F206-G206-H206,"要確認"))</ns0:f>
        <ns0:v/>
      </ns0:c>
      <ns0:c r="J206" s="6" t="n"/>
      <ns0:c r="K206" s="5" t="n"/>
      <ns0:c r="L206" s="9" t="str">
        <ns0:f>IF(AND(B206&lt;&gt;"",J206="在庫"),COUNTIFS($J$5:J206,"在庫",$B$5:B206,"&lt;&gt;"),"")</ns0:f>
        <ns0:v/>
      </ns0:c>
    </ns0:row>
    <ns0:row r="207">
      <ns0:c r="A207" s="5" t="n"/>
      <ns0:c r="B207" s="6" t="n"/>
      <ns0:c r="C207" s="6" t="n"/>
      <ns0:c r="D207" s="7" t="n"/>
      <ns0:c r="E207" s="7" t="n"/>
      <ns0:c r="F207" s="8" t="str">
        <ns0:f>IF(OR(B207="",J207&lt;&gt;"販売済み",E207="",C207=""),"",IFERROR(IF(OR(COUNTIF('手数料マスタ'!$A$5:$A$104,C207)&lt;&gt;1,COUNTIFS('手数料マスタ'!$A$5:$A$104,C207,'手数料マスタ'!$B$5:$B$104,"&lt;&gt;")&lt;&gt;1,NOT(ISNUMBER(VLOOKUP(C207,'手数料マスタ'!$A$5:$B$104,2,FALSE))),VLOOKUP(C207,'手数料マスタ'!$A$5:$B$104,2,FALSE)&lt;0,VLOOKUP(C207,'手数料マスタ'!$A$5:$B$104,2,FALSE)&gt;1),"要確認",ROUND(E207*VLOOKUP(C207,'手数料マスタ'!$A$5:$B$104,2,FALSE),0)),"要確認"))</ns0:f>
        <ns0:v/>
      </ns0:c>
      <ns0:c r="G207" s="7" t="n"/>
      <ns0:c r="H207" s="7" t="n"/>
      <ns0:c r="I207" s="8" t="str">
        <ns0:f>IF(OR(B207="",J207&lt;&gt;"販売済み",D207="",E207="",G207="",H207=""),"",IF(ISNUMBER(F207),E207-D207-F207-G207-H207,"要確認"))</ns0:f>
        <ns0:v/>
      </ns0:c>
      <ns0:c r="J207" s="6" t="n"/>
      <ns0:c r="K207" s="5" t="n"/>
      <ns0:c r="L207" s="9" t="str">
        <ns0:f>IF(AND(B207&lt;&gt;"",J207="在庫"),COUNTIFS($J$5:J207,"在庫",$B$5:B207,"&lt;&gt;"),"")</ns0:f>
        <ns0:v/>
      </ns0:c>
    </ns0:row>
    <ns0:row r="208">
      <ns0:c r="A208" s="5" t="n"/>
      <ns0:c r="B208" s="6" t="n"/>
      <ns0:c r="C208" s="6" t="n"/>
      <ns0:c r="D208" s="7" t="n"/>
      <ns0:c r="E208" s="7" t="n"/>
      <ns0:c r="F208" s="8" t="str">
        <ns0:f>IF(OR(B208="",J208&lt;&gt;"販売済み",E208="",C208=""),"",IFERROR(IF(OR(COUNTIF('手数料マスタ'!$A$5:$A$104,C208)&lt;&gt;1,COUNTIFS('手数料マスタ'!$A$5:$A$104,C208,'手数料マスタ'!$B$5:$B$104,"&lt;&gt;")&lt;&gt;1,NOT(ISNUMBER(VLOOKUP(C208,'手数料マスタ'!$A$5:$B$104,2,FALSE))),VLOOKUP(C208,'手数料マスタ'!$A$5:$B$104,2,FALSE)&lt;0,VLOOKUP(C208,'手数料マスタ'!$A$5:$B$104,2,FALSE)&gt;1),"要確認",ROUND(E208*VLOOKUP(C208,'手数料マスタ'!$A$5:$B$104,2,FALSE),0)),"要確認"))</ns0:f>
        <ns0:v/>
      </ns0:c>
      <ns0:c r="G208" s="7" t="n"/>
      <ns0:c r="H208" s="7" t="n"/>
      <ns0:c r="I208" s="8" t="str">
        <ns0:f>IF(OR(B208="",J208&lt;&gt;"販売済み",D208="",E208="",G208="",H208=""),"",IF(ISNUMBER(F208),E208-D208-F208-G208-H208,"要確認"))</ns0:f>
        <ns0:v/>
      </ns0:c>
      <ns0:c r="J208" s="6" t="n"/>
      <ns0:c r="K208" s="5" t="n"/>
      <ns0:c r="L208" s="9" t="str">
        <ns0:f>IF(AND(B208&lt;&gt;"",J208="在庫"),COUNTIFS($J$5:J208,"在庫",$B$5:B208,"&lt;&gt;"),"")</ns0:f>
        <ns0:v/>
      </ns0:c>
    </ns0:row>
    <ns0:row r="209">
      <ns0:c r="A209" s="5" t="n"/>
      <ns0:c r="B209" s="6" t="n"/>
      <ns0:c r="C209" s="6" t="n"/>
      <ns0:c r="D209" s="7" t="n"/>
      <ns0:c r="E209" s="7" t="n"/>
      <ns0:c r="F209" s="8" t="str">
        <ns0:f>IF(OR(B209="",J209&lt;&gt;"販売済み",E209="",C209=""),"",IFERROR(IF(OR(COUNTIF('手数料マスタ'!$A$5:$A$104,C209)&lt;&gt;1,COUNTIFS('手数料マスタ'!$A$5:$A$104,C209,'手数料マスタ'!$B$5:$B$104,"&lt;&gt;")&lt;&gt;1,NOT(ISNUMBER(VLOOKUP(C209,'手数料マスタ'!$A$5:$B$104,2,FALSE))),VLOOKUP(C209,'手数料マスタ'!$A$5:$B$104,2,FALSE)&lt;0,VLOOKUP(C209,'手数料マスタ'!$A$5:$B$104,2,FALSE)&gt;1),"要確認",ROUND(E209*VLOOKUP(C209,'手数料マスタ'!$A$5:$B$104,2,FALSE),0)),"要確認"))</ns0:f>
        <ns0:v/>
      </ns0:c>
      <ns0:c r="G209" s="7" t="n"/>
      <ns0:c r="H209" s="7" t="n"/>
      <ns0:c r="I209" s="8" t="str">
        <ns0:f>IF(OR(B209="",J209&lt;&gt;"販売済み",D209="",E209="",G209="",H209=""),"",IF(ISNUMBER(F209),E209-D209-F209-G209-H209,"要確認"))</ns0:f>
        <ns0:v/>
      </ns0:c>
      <ns0:c r="J209" s="6" t="n"/>
      <ns0:c r="K209" s="5" t="n"/>
      <ns0:c r="L209" s="9" t="str">
        <ns0:f>IF(AND(B209&lt;&gt;"",J209="在庫"),COUNTIFS($J$5:J209,"在庫",$B$5:B209,"&lt;&gt;"),"")</ns0:f>
        <ns0:v/>
      </ns0:c>
    </ns0:row>
    <ns0:row r="210">
      <ns0:c r="A210" s="5" t="n"/>
      <ns0:c r="B210" s="6" t="n"/>
      <ns0:c r="C210" s="6" t="n"/>
      <ns0:c r="D210" s="7" t="n"/>
      <ns0:c r="E210" s="7" t="n"/>
      <ns0:c r="F210" s="8" t="str">
        <ns0:f>IF(OR(B210="",J210&lt;&gt;"販売済み",E210="",C210=""),"",IFERROR(IF(OR(COUNTIF('手数料マスタ'!$A$5:$A$104,C210)&lt;&gt;1,COUNTIFS('手数料マスタ'!$A$5:$A$104,C210,'手数料マスタ'!$B$5:$B$104,"&lt;&gt;")&lt;&gt;1,NOT(ISNUMBER(VLOOKUP(C210,'手数料マスタ'!$A$5:$B$104,2,FALSE))),VLOOKUP(C210,'手数料マスタ'!$A$5:$B$104,2,FALSE)&lt;0,VLOOKUP(C210,'手数料マスタ'!$A$5:$B$104,2,FALSE)&gt;1),"要確認",ROUND(E210*VLOOKUP(C210,'手数料マスタ'!$A$5:$B$104,2,FALSE),0)),"要確認"))</ns0:f>
        <ns0:v/>
      </ns0:c>
      <ns0:c r="G210" s="7" t="n"/>
      <ns0:c r="H210" s="7" t="n"/>
      <ns0:c r="I210" s="8" t="str">
        <ns0:f>IF(OR(B210="",J210&lt;&gt;"販売済み",D210="",E210="",G210="",H210=""),"",IF(ISNUMBER(F210),E210-D210-F210-G210-H210,"要確認"))</ns0:f>
        <ns0:v/>
      </ns0:c>
      <ns0:c r="J210" s="6" t="n"/>
      <ns0:c r="K210" s="5" t="n"/>
      <ns0:c r="L210" s="9" t="str">
        <ns0:f>IF(AND(B210&lt;&gt;"",J210="在庫"),COUNTIFS($J$5:J210,"在庫",$B$5:B210,"&lt;&gt;"),"")</ns0:f>
        <ns0:v/>
      </ns0:c>
    </ns0:row>
    <ns0:row r="211">
      <ns0:c r="A211" s="5" t="n"/>
      <ns0:c r="B211" s="6" t="n"/>
      <ns0:c r="C211" s="6" t="n"/>
      <ns0:c r="D211" s="7" t="n"/>
      <ns0:c r="E211" s="7" t="n"/>
      <ns0:c r="F211" s="8" t="str">
        <ns0:f>IF(OR(B211="",J211&lt;&gt;"販売済み",E211="",C211=""),"",IFERROR(IF(OR(COUNTIF('手数料マスタ'!$A$5:$A$104,C211)&lt;&gt;1,COUNTIFS('手数料マスタ'!$A$5:$A$104,C211,'手数料マスタ'!$B$5:$B$104,"&lt;&gt;")&lt;&gt;1,NOT(ISNUMBER(VLOOKUP(C211,'手数料マスタ'!$A$5:$B$104,2,FALSE))),VLOOKUP(C211,'手数料マスタ'!$A$5:$B$104,2,FALSE)&lt;0,VLOOKUP(C211,'手数料マスタ'!$A$5:$B$104,2,FALSE)&gt;1),"要確認",ROUND(E211*VLOOKUP(C211,'手数料マスタ'!$A$5:$B$104,2,FALSE),0)),"要確認"))</ns0:f>
        <ns0:v/>
      </ns0:c>
      <ns0:c r="G211" s="7" t="n"/>
      <ns0:c r="H211" s="7" t="n"/>
      <ns0:c r="I211" s="8" t="str">
        <ns0:f>IF(OR(B211="",J211&lt;&gt;"販売済み",D211="",E211="",G211="",H211=""),"",IF(ISNUMBER(F211),E211-D211-F211-G211-H211,"要確認"))</ns0:f>
        <ns0:v/>
      </ns0:c>
      <ns0:c r="J211" s="6" t="n"/>
      <ns0:c r="K211" s="5" t="n"/>
      <ns0:c r="L211" s="9" t="str">
        <ns0:f>IF(AND(B211&lt;&gt;"",J211="在庫"),COUNTIFS($J$5:J211,"在庫",$B$5:B211,"&lt;&gt;"),"")</ns0:f>
        <ns0:v/>
      </ns0:c>
    </ns0:row>
    <ns0:row r="212">
      <ns0:c r="A212" s="5" t="n"/>
      <ns0:c r="B212" s="6" t="n"/>
      <ns0:c r="C212" s="6" t="n"/>
      <ns0:c r="D212" s="7" t="n"/>
      <ns0:c r="E212" s="7" t="n"/>
      <ns0:c r="F212" s="8" t="str">
        <ns0:f>IF(OR(B212="",J212&lt;&gt;"販売済み",E212="",C212=""),"",IFERROR(IF(OR(COUNTIF('手数料マスタ'!$A$5:$A$104,C212)&lt;&gt;1,COUNTIFS('手数料マスタ'!$A$5:$A$104,C212,'手数料マスタ'!$B$5:$B$104,"&lt;&gt;")&lt;&gt;1,NOT(ISNUMBER(VLOOKUP(C212,'手数料マスタ'!$A$5:$B$104,2,FALSE))),VLOOKUP(C212,'手数料マスタ'!$A$5:$B$104,2,FALSE)&lt;0,VLOOKUP(C212,'手数料マスタ'!$A$5:$B$104,2,FALSE)&gt;1),"要確認",ROUND(E212*VLOOKUP(C212,'手数料マスタ'!$A$5:$B$104,2,FALSE),0)),"要確認"))</ns0:f>
        <ns0:v/>
      </ns0:c>
      <ns0:c r="G212" s="7" t="n"/>
      <ns0:c r="H212" s="7" t="n"/>
      <ns0:c r="I212" s="8" t="str">
        <ns0:f>IF(OR(B212="",J212&lt;&gt;"販売済み",D212="",E212="",G212="",H212=""),"",IF(ISNUMBER(F212),E212-D212-F212-G212-H212,"要確認"))</ns0:f>
        <ns0:v/>
      </ns0:c>
      <ns0:c r="J212" s="6" t="n"/>
      <ns0:c r="K212" s="5" t="n"/>
      <ns0:c r="L212" s="9" t="str">
        <ns0:f>IF(AND(B212&lt;&gt;"",J212="在庫"),COUNTIFS($J$5:J212,"在庫",$B$5:B212,"&lt;&gt;"),"")</ns0:f>
        <ns0:v/>
      </ns0:c>
    </ns0:row>
    <ns0:row r="213">
      <ns0:c r="A213" s="5" t="n"/>
      <ns0:c r="B213" s="6" t="n"/>
      <ns0:c r="C213" s="6" t="n"/>
      <ns0:c r="D213" s="7" t="n"/>
      <ns0:c r="E213" s="7" t="n"/>
      <ns0:c r="F213" s="8" t="str">
        <ns0:f>IF(OR(B213="",J213&lt;&gt;"販売済み",E213="",C213=""),"",IFERROR(IF(OR(COUNTIF('手数料マスタ'!$A$5:$A$104,C213)&lt;&gt;1,COUNTIFS('手数料マスタ'!$A$5:$A$104,C213,'手数料マスタ'!$B$5:$B$104,"&lt;&gt;")&lt;&gt;1,NOT(ISNUMBER(VLOOKUP(C213,'手数料マスタ'!$A$5:$B$104,2,FALSE))),VLOOKUP(C213,'手数料マスタ'!$A$5:$B$104,2,FALSE)&lt;0,VLOOKUP(C213,'手数料マスタ'!$A$5:$B$104,2,FALSE)&gt;1),"要確認",ROUND(E213*VLOOKUP(C213,'手数料マスタ'!$A$5:$B$104,2,FALSE),0)),"要確認"))</ns0:f>
        <ns0:v/>
      </ns0:c>
      <ns0:c r="G213" s="7" t="n"/>
      <ns0:c r="H213" s="7" t="n"/>
      <ns0:c r="I213" s="8" t="str">
        <ns0:f>IF(OR(B213="",J213&lt;&gt;"販売済み",D213="",E213="",G213="",H213=""),"",IF(ISNUMBER(F213),E213-D213-F213-G213-H213,"要確認"))</ns0:f>
        <ns0:v/>
      </ns0:c>
      <ns0:c r="J213" s="6" t="n"/>
      <ns0:c r="K213" s="5" t="n"/>
      <ns0:c r="L213" s="9" t="str">
        <ns0:f>IF(AND(B213&lt;&gt;"",J213="在庫"),COUNTIFS($J$5:J213,"在庫",$B$5:B213,"&lt;&gt;"),"")</ns0:f>
        <ns0:v/>
      </ns0:c>
    </ns0:row>
    <ns0:row r="214">
      <ns0:c r="A214" s="5" t="n"/>
      <ns0:c r="B214" s="6" t="n"/>
      <ns0:c r="C214" s="6" t="n"/>
      <ns0:c r="D214" s="7" t="n"/>
      <ns0:c r="E214" s="7" t="n"/>
      <ns0:c r="F214" s="8" t="str">
        <ns0:f>IF(OR(B214="",J214&lt;&gt;"販売済み",E214="",C214=""),"",IFERROR(IF(OR(COUNTIF('手数料マスタ'!$A$5:$A$104,C214)&lt;&gt;1,COUNTIFS('手数料マスタ'!$A$5:$A$104,C214,'手数料マスタ'!$B$5:$B$104,"&lt;&gt;")&lt;&gt;1,NOT(ISNUMBER(VLOOKUP(C214,'手数料マスタ'!$A$5:$B$104,2,FALSE))),VLOOKUP(C214,'手数料マスタ'!$A$5:$B$104,2,FALSE)&lt;0,VLOOKUP(C214,'手数料マスタ'!$A$5:$B$104,2,FALSE)&gt;1),"要確認",ROUND(E214*VLOOKUP(C214,'手数料マスタ'!$A$5:$B$104,2,FALSE),0)),"要確認"))</ns0:f>
        <ns0:v/>
      </ns0:c>
      <ns0:c r="G214" s="7" t="n"/>
      <ns0:c r="H214" s="7" t="n"/>
      <ns0:c r="I214" s="8" t="str">
        <ns0:f>IF(OR(B214="",J214&lt;&gt;"販売済み",D214="",E214="",G214="",H214=""),"",IF(ISNUMBER(F214),E214-D214-F214-G214-H214,"要確認"))</ns0:f>
        <ns0:v/>
      </ns0:c>
      <ns0:c r="J214" s="6" t="n"/>
      <ns0:c r="K214" s="5" t="n"/>
      <ns0:c r="L214" s="9" t="str">
        <ns0:f>IF(AND(B214&lt;&gt;"",J214="在庫"),COUNTIFS($J$5:J214,"在庫",$B$5:B214,"&lt;&gt;"),"")</ns0:f>
        <ns0:v/>
      </ns0:c>
    </ns0:row>
    <ns0:row r="215">
      <ns0:c r="A215" s="5" t="n"/>
      <ns0:c r="B215" s="6" t="n"/>
      <ns0:c r="C215" s="6" t="n"/>
      <ns0:c r="D215" s="7" t="n"/>
      <ns0:c r="E215" s="7" t="n"/>
      <ns0:c r="F215" s="8" t="str">
        <ns0:f>IF(OR(B215="",J215&lt;&gt;"販売済み",E215="",C215=""),"",IFERROR(IF(OR(COUNTIF('手数料マスタ'!$A$5:$A$104,C215)&lt;&gt;1,COUNTIFS('手数料マスタ'!$A$5:$A$104,C215,'手数料マスタ'!$B$5:$B$104,"&lt;&gt;")&lt;&gt;1,NOT(ISNUMBER(VLOOKUP(C215,'手数料マスタ'!$A$5:$B$104,2,FALSE))),VLOOKUP(C215,'手数料マスタ'!$A$5:$B$104,2,FALSE)&lt;0,VLOOKUP(C215,'手数料マスタ'!$A$5:$B$104,2,FALSE)&gt;1),"要確認",ROUND(E215*VLOOKUP(C215,'手数料マスタ'!$A$5:$B$104,2,FALSE),0)),"要確認"))</ns0:f>
        <ns0:v/>
      </ns0:c>
      <ns0:c r="G215" s="7" t="n"/>
      <ns0:c r="H215" s="7" t="n"/>
      <ns0:c r="I215" s="8" t="str">
        <ns0:f>IF(OR(B215="",J215&lt;&gt;"販売済み",D215="",E215="",G215="",H215=""),"",IF(ISNUMBER(F215),E215-D215-F215-G215-H215,"要確認"))</ns0:f>
        <ns0:v/>
      </ns0:c>
      <ns0:c r="J215" s="6" t="n"/>
      <ns0:c r="K215" s="5" t="n"/>
      <ns0:c r="L215" s="9" t="str">
        <ns0:f>IF(AND(B215&lt;&gt;"",J215="在庫"),COUNTIFS($J$5:J215,"在庫",$B$5:B215,"&lt;&gt;"),"")</ns0:f>
        <ns0:v/>
      </ns0:c>
    </ns0:row>
    <ns0:row r="216">
      <ns0:c r="A216" s="5" t="n"/>
      <ns0:c r="B216" s="6" t="n"/>
      <ns0:c r="C216" s="6" t="n"/>
      <ns0:c r="D216" s="7" t="n"/>
      <ns0:c r="E216" s="7" t="n"/>
      <ns0:c r="F216" s="8" t="str">
        <ns0:f>IF(OR(B216="",J216&lt;&gt;"販売済み",E216="",C216=""),"",IFERROR(IF(OR(COUNTIF('手数料マスタ'!$A$5:$A$104,C216)&lt;&gt;1,COUNTIFS('手数料マスタ'!$A$5:$A$104,C216,'手数料マスタ'!$B$5:$B$104,"&lt;&gt;")&lt;&gt;1,NOT(ISNUMBER(VLOOKUP(C216,'手数料マスタ'!$A$5:$B$104,2,FALSE))),VLOOKUP(C216,'手数料マスタ'!$A$5:$B$104,2,FALSE)&lt;0,VLOOKUP(C216,'手数料マスタ'!$A$5:$B$104,2,FALSE)&gt;1),"要確認",ROUND(E216*VLOOKUP(C216,'手数料マスタ'!$A$5:$B$104,2,FALSE),0)),"要確認"))</ns0:f>
        <ns0:v/>
      </ns0:c>
      <ns0:c r="G216" s="7" t="n"/>
      <ns0:c r="H216" s="7" t="n"/>
      <ns0:c r="I216" s="8" t="str">
        <ns0:f>IF(OR(B216="",J216&lt;&gt;"販売済み",D216="",E216="",G216="",H216=""),"",IF(ISNUMBER(F216),E216-D216-F216-G216-H216,"要確認"))</ns0:f>
        <ns0:v/>
      </ns0:c>
      <ns0:c r="J216" s="6" t="n"/>
      <ns0:c r="K216" s="5" t="n"/>
      <ns0:c r="L216" s="9" t="str">
        <ns0:f>IF(AND(B216&lt;&gt;"",J216="在庫"),COUNTIFS($J$5:J216,"在庫",$B$5:B216,"&lt;&gt;"),"")</ns0:f>
        <ns0:v/>
      </ns0:c>
    </ns0:row>
    <ns0:row r="217">
      <ns0:c r="A217" s="5" t="n"/>
      <ns0:c r="B217" s="6" t="n"/>
      <ns0:c r="C217" s="6" t="n"/>
      <ns0:c r="D217" s="7" t="n"/>
      <ns0:c r="E217" s="7" t="n"/>
      <ns0:c r="F217" s="8" t="str">
        <ns0:f>IF(OR(B217="",J217&lt;&gt;"販売済み",E217="",C217=""),"",IFERROR(IF(OR(COUNTIF('手数料マスタ'!$A$5:$A$104,C217)&lt;&gt;1,COUNTIFS('手数料マスタ'!$A$5:$A$104,C217,'手数料マスタ'!$B$5:$B$104,"&lt;&gt;")&lt;&gt;1,NOT(ISNUMBER(VLOOKUP(C217,'手数料マスタ'!$A$5:$B$104,2,FALSE))),VLOOKUP(C217,'手数料マスタ'!$A$5:$B$104,2,FALSE)&lt;0,VLOOKUP(C217,'手数料マスタ'!$A$5:$B$104,2,FALSE)&gt;1),"要確認",ROUND(E217*VLOOKUP(C217,'手数料マスタ'!$A$5:$B$104,2,FALSE),0)),"要確認"))</ns0:f>
        <ns0:v/>
      </ns0:c>
      <ns0:c r="G217" s="7" t="n"/>
      <ns0:c r="H217" s="7" t="n"/>
      <ns0:c r="I217" s="8" t="str">
        <ns0:f>IF(OR(B217="",J217&lt;&gt;"販売済み",D217="",E217="",G217="",H217=""),"",IF(ISNUMBER(F217),E217-D217-F217-G217-H217,"要確認"))</ns0:f>
        <ns0:v/>
      </ns0:c>
      <ns0:c r="J217" s="6" t="n"/>
      <ns0:c r="K217" s="5" t="n"/>
      <ns0:c r="L217" s="9" t="str">
        <ns0:f>IF(AND(B217&lt;&gt;"",J217="在庫"),COUNTIFS($J$5:J217,"在庫",$B$5:B217,"&lt;&gt;"),"")</ns0:f>
        <ns0:v/>
      </ns0:c>
    </ns0:row>
    <ns0:row r="218">
      <ns0:c r="A218" s="5" t="n"/>
      <ns0:c r="B218" s="6" t="n"/>
      <ns0:c r="C218" s="6" t="n"/>
      <ns0:c r="D218" s="7" t="n"/>
      <ns0:c r="E218" s="7" t="n"/>
      <ns0:c r="F218" s="8" t="str">
        <ns0:f>IF(OR(B218="",J218&lt;&gt;"販売済み",E218="",C218=""),"",IFERROR(IF(OR(COUNTIF('手数料マスタ'!$A$5:$A$104,C218)&lt;&gt;1,COUNTIFS('手数料マスタ'!$A$5:$A$104,C218,'手数料マスタ'!$B$5:$B$104,"&lt;&gt;")&lt;&gt;1,NOT(ISNUMBER(VLOOKUP(C218,'手数料マスタ'!$A$5:$B$104,2,FALSE))),VLOOKUP(C218,'手数料マスタ'!$A$5:$B$104,2,FALSE)&lt;0,VLOOKUP(C218,'手数料マスタ'!$A$5:$B$104,2,FALSE)&gt;1),"要確認",ROUND(E218*VLOOKUP(C218,'手数料マスタ'!$A$5:$B$104,2,FALSE),0)),"要確認"))</ns0:f>
        <ns0:v/>
      </ns0:c>
      <ns0:c r="G218" s="7" t="n"/>
      <ns0:c r="H218" s="7" t="n"/>
      <ns0:c r="I218" s="8" t="str">
        <ns0:f>IF(OR(B218="",J218&lt;&gt;"販売済み",D218="",E218="",G218="",H218=""),"",IF(ISNUMBER(F218),E218-D218-F218-G218-H218,"要確認"))</ns0:f>
        <ns0:v/>
      </ns0:c>
      <ns0:c r="J218" s="6" t="n"/>
      <ns0:c r="K218" s="5" t="n"/>
      <ns0:c r="L218" s="9" t="str">
        <ns0:f>IF(AND(B218&lt;&gt;"",J218="在庫"),COUNTIFS($J$5:J218,"在庫",$B$5:B218,"&lt;&gt;"),"")</ns0:f>
        <ns0:v/>
      </ns0:c>
    </ns0:row>
    <ns0:row r="219">
      <ns0:c r="A219" s="5" t="n"/>
      <ns0:c r="B219" s="6" t="n"/>
      <ns0:c r="C219" s="6" t="n"/>
      <ns0:c r="D219" s="7" t="n"/>
      <ns0:c r="E219" s="7" t="n"/>
      <ns0:c r="F219" s="8" t="str">
        <ns0:f>IF(OR(B219="",J219&lt;&gt;"販売済み",E219="",C219=""),"",IFERROR(IF(OR(COUNTIF('手数料マスタ'!$A$5:$A$104,C219)&lt;&gt;1,COUNTIFS('手数料マスタ'!$A$5:$A$104,C219,'手数料マスタ'!$B$5:$B$104,"&lt;&gt;")&lt;&gt;1,NOT(ISNUMBER(VLOOKUP(C219,'手数料マスタ'!$A$5:$B$104,2,FALSE))),VLOOKUP(C219,'手数料マスタ'!$A$5:$B$104,2,FALSE)&lt;0,VLOOKUP(C219,'手数料マスタ'!$A$5:$B$104,2,FALSE)&gt;1),"要確認",ROUND(E219*VLOOKUP(C219,'手数料マスタ'!$A$5:$B$104,2,FALSE),0)),"要確認"))</ns0:f>
        <ns0:v/>
      </ns0:c>
      <ns0:c r="G219" s="7" t="n"/>
      <ns0:c r="H219" s="7" t="n"/>
      <ns0:c r="I219" s="8" t="str">
        <ns0:f>IF(OR(B219="",J219&lt;&gt;"販売済み",D219="",E219="",G219="",H219=""),"",IF(ISNUMBER(F219),E219-D219-F219-G219-H219,"要確認"))</ns0:f>
        <ns0:v/>
      </ns0:c>
      <ns0:c r="J219" s="6" t="n"/>
      <ns0:c r="K219" s="5" t="n"/>
      <ns0:c r="L219" s="9" t="str">
        <ns0:f>IF(AND(B219&lt;&gt;"",J219="在庫"),COUNTIFS($J$5:J219,"在庫",$B$5:B219,"&lt;&gt;"),"")</ns0:f>
        <ns0:v/>
      </ns0:c>
    </ns0:row>
    <ns0:row r="220">
      <ns0:c r="A220" s="5" t="n"/>
      <ns0:c r="B220" s="6" t="n"/>
      <ns0:c r="C220" s="6" t="n"/>
      <ns0:c r="D220" s="7" t="n"/>
      <ns0:c r="E220" s="7" t="n"/>
      <ns0:c r="F220" s="8" t="str">
        <ns0:f>IF(OR(B220="",J220&lt;&gt;"販売済み",E220="",C220=""),"",IFERROR(IF(OR(COUNTIF('手数料マスタ'!$A$5:$A$104,C220)&lt;&gt;1,COUNTIFS('手数料マスタ'!$A$5:$A$104,C220,'手数料マスタ'!$B$5:$B$104,"&lt;&gt;")&lt;&gt;1,NOT(ISNUMBER(VLOOKUP(C220,'手数料マスタ'!$A$5:$B$104,2,FALSE))),VLOOKUP(C220,'手数料マスタ'!$A$5:$B$104,2,FALSE)&lt;0,VLOOKUP(C220,'手数料マスタ'!$A$5:$B$104,2,FALSE)&gt;1),"要確認",ROUND(E220*VLOOKUP(C220,'手数料マスタ'!$A$5:$B$104,2,FALSE),0)),"要確認"))</ns0:f>
        <ns0:v/>
      </ns0:c>
      <ns0:c r="G220" s="7" t="n"/>
      <ns0:c r="H220" s="7" t="n"/>
      <ns0:c r="I220" s="8" t="str">
        <ns0:f>IF(OR(B220="",J220&lt;&gt;"販売済み",D220="",E220="",G220="",H220=""),"",IF(ISNUMBER(F220),E220-D220-F220-G220-H220,"要確認"))</ns0:f>
        <ns0:v/>
      </ns0:c>
      <ns0:c r="J220" s="6" t="n"/>
      <ns0:c r="K220" s="5" t="n"/>
      <ns0:c r="L220" s="9" t="str">
        <ns0:f>IF(AND(B220&lt;&gt;"",J220="在庫"),COUNTIFS($J$5:J220,"在庫",$B$5:B220,"&lt;&gt;"),"")</ns0:f>
        <ns0:v/>
      </ns0:c>
    </ns0:row>
    <ns0:row r="221">
      <ns0:c r="A221" s="5" t="n"/>
      <ns0:c r="B221" s="6" t="n"/>
      <ns0:c r="C221" s="6" t="n"/>
      <ns0:c r="D221" s="7" t="n"/>
      <ns0:c r="E221" s="7" t="n"/>
      <ns0:c r="F221" s="8" t="str">
        <ns0:f>IF(OR(B221="",J221&lt;&gt;"販売済み",E221="",C221=""),"",IFERROR(IF(OR(COUNTIF('手数料マスタ'!$A$5:$A$104,C221)&lt;&gt;1,COUNTIFS('手数料マスタ'!$A$5:$A$104,C221,'手数料マスタ'!$B$5:$B$104,"&lt;&gt;")&lt;&gt;1,NOT(ISNUMBER(VLOOKUP(C221,'手数料マスタ'!$A$5:$B$104,2,FALSE))),VLOOKUP(C221,'手数料マスタ'!$A$5:$B$104,2,FALSE)&lt;0,VLOOKUP(C221,'手数料マスタ'!$A$5:$B$104,2,FALSE)&gt;1),"要確認",ROUND(E221*VLOOKUP(C221,'手数料マスタ'!$A$5:$B$104,2,FALSE),0)),"要確認"))</ns0:f>
        <ns0:v/>
      </ns0:c>
      <ns0:c r="G221" s="7" t="n"/>
      <ns0:c r="H221" s="7" t="n"/>
      <ns0:c r="I221" s="8" t="str">
        <ns0:f>IF(OR(B221="",J221&lt;&gt;"販売済み",D221="",E221="",G221="",H221=""),"",IF(ISNUMBER(F221),E221-D221-F221-G221-H221,"要確認"))</ns0:f>
        <ns0:v/>
      </ns0:c>
      <ns0:c r="J221" s="6" t="n"/>
      <ns0:c r="K221" s="5" t="n"/>
      <ns0:c r="L221" s="9" t="str">
        <ns0:f>IF(AND(B221&lt;&gt;"",J221="在庫"),COUNTIFS($J$5:J221,"在庫",$B$5:B221,"&lt;&gt;"),"")</ns0:f>
        <ns0:v/>
      </ns0:c>
    </ns0:row>
    <ns0:row r="222">
      <ns0:c r="A222" s="5" t="n"/>
      <ns0:c r="B222" s="6" t="n"/>
      <ns0:c r="C222" s="6" t="n"/>
      <ns0:c r="D222" s="7" t="n"/>
      <ns0:c r="E222" s="7" t="n"/>
      <ns0:c r="F222" s="8" t="str">
        <ns0:f>IF(OR(B222="",J222&lt;&gt;"販売済み",E222="",C222=""),"",IFERROR(IF(OR(COUNTIF('手数料マスタ'!$A$5:$A$104,C222)&lt;&gt;1,COUNTIFS('手数料マスタ'!$A$5:$A$104,C222,'手数料マスタ'!$B$5:$B$104,"&lt;&gt;")&lt;&gt;1,NOT(ISNUMBER(VLOOKUP(C222,'手数料マスタ'!$A$5:$B$104,2,FALSE))),VLOOKUP(C222,'手数料マスタ'!$A$5:$B$104,2,FALSE)&lt;0,VLOOKUP(C222,'手数料マスタ'!$A$5:$B$104,2,FALSE)&gt;1),"要確認",ROUND(E222*VLOOKUP(C222,'手数料マスタ'!$A$5:$B$104,2,FALSE),0)),"要確認"))</ns0:f>
        <ns0:v/>
      </ns0:c>
      <ns0:c r="G222" s="7" t="n"/>
      <ns0:c r="H222" s="7" t="n"/>
      <ns0:c r="I222" s="8" t="str">
        <ns0:f>IF(OR(B222="",J222&lt;&gt;"販売済み",D222="",E222="",G222="",H222=""),"",IF(ISNUMBER(F222),E222-D222-F222-G222-H222,"要確認"))</ns0:f>
        <ns0:v/>
      </ns0:c>
      <ns0:c r="J222" s="6" t="n"/>
      <ns0:c r="K222" s="5" t="n"/>
      <ns0:c r="L222" s="9" t="str">
        <ns0:f>IF(AND(B222&lt;&gt;"",J222="在庫"),COUNTIFS($J$5:J222,"在庫",$B$5:B222,"&lt;&gt;"),"")</ns0:f>
        <ns0:v/>
      </ns0:c>
    </ns0:row>
    <ns0:row r="223">
      <ns0:c r="A223" s="5" t="n"/>
      <ns0:c r="B223" s="6" t="n"/>
      <ns0:c r="C223" s="6" t="n"/>
      <ns0:c r="D223" s="7" t="n"/>
      <ns0:c r="E223" s="7" t="n"/>
      <ns0:c r="F223" s="8" t="str">
        <ns0:f>IF(OR(B223="",J223&lt;&gt;"販売済み",E223="",C223=""),"",IFERROR(IF(OR(COUNTIF('手数料マスタ'!$A$5:$A$104,C223)&lt;&gt;1,COUNTIFS('手数料マスタ'!$A$5:$A$104,C223,'手数料マスタ'!$B$5:$B$104,"&lt;&gt;")&lt;&gt;1,NOT(ISNUMBER(VLOOKUP(C223,'手数料マスタ'!$A$5:$B$104,2,FALSE))),VLOOKUP(C223,'手数料マスタ'!$A$5:$B$104,2,FALSE)&lt;0,VLOOKUP(C223,'手数料マスタ'!$A$5:$B$104,2,FALSE)&gt;1),"要確認",ROUND(E223*VLOOKUP(C223,'手数料マスタ'!$A$5:$B$104,2,FALSE),0)),"要確認"))</ns0:f>
        <ns0:v/>
      </ns0:c>
      <ns0:c r="G223" s="7" t="n"/>
      <ns0:c r="H223" s="7" t="n"/>
      <ns0:c r="I223" s="8" t="str">
        <ns0:f>IF(OR(B223="",J223&lt;&gt;"販売済み",D223="",E223="",G223="",H223=""),"",IF(ISNUMBER(F223),E223-D223-F223-G223-H223,"要確認"))</ns0:f>
        <ns0:v/>
      </ns0:c>
      <ns0:c r="J223" s="6" t="n"/>
      <ns0:c r="K223" s="5" t="n"/>
      <ns0:c r="L223" s="9" t="str">
        <ns0:f>IF(AND(B223&lt;&gt;"",J223="在庫"),COUNTIFS($J$5:J223,"在庫",$B$5:B223,"&lt;&gt;"),"")</ns0:f>
        <ns0:v/>
      </ns0:c>
    </ns0:row>
    <ns0:row r="224">
      <ns0:c r="A224" s="5" t="n"/>
      <ns0:c r="B224" s="6" t="n"/>
      <ns0:c r="C224" s="6" t="n"/>
      <ns0:c r="D224" s="7" t="n"/>
      <ns0:c r="E224" s="7" t="n"/>
      <ns0:c r="F224" s="8" t="str">
        <ns0:f>IF(OR(B224="",J224&lt;&gt;"販売済み",E224="",C224=""),"",IFERROR(IF(OR(COUNTIF('手数料マスタ'!$A$5:$A$104,C224)&lt;&gt;1,COUNTIFS('手数料マスタ'!$A$5:$A$104,C224,'手数料マスタ'!$B$5:$B$104,"&lt;&gt;")&lt;&gt;1,NOT(ISNUMBER(VLOOKUP(C224,'手数料マスタ'!$A$5:$B$104,2,FALSE))),VLOOKUP(C224,'手数料マスタ'!$A$5:$B$104,2,FALSE)&lt;0,VLOOKUP(C224,'手数料マスタ'!$A$5:$B$104,2,FALSE)&gt;1),"要確認",ROUND(E224*VLOOKUP(C224,'手数料マスタ'!$A$5:$B$104,2,FALSE),0)),"要確認"))</ns0:f>
        <ns0:v/>
      </ns0:c>
      <ns0:c r="G224" s="7" t="n"/>
      <ns0:c r="H224" s="7" t="n"/>
      <ns0:c r="I224" s="8" t="str">
        <ns0:f>IF(OR(B224="",J224&lt;&gt;"販売済み",D224="",E224="",G224="",H224=""),"",IF(ISNUMBER(F224),E224-D224-F224-G224-H224,"要確認"))</ns0:f>
        <ns0:v/>
      </ns0:c>
      <ns0:c r="J224" s="6" t="n"/>
      <ns0:c r="K224" s="5" t="n"/>
      <ns0:c r="L224" s="9" t="str">
        <ns0:f>IF(AND(B224&lt;&gt;"",J224="在庫"),COUNTIFS($J$5:J224,"在庫",$B$5:B224,"&lt;&gt;"),"")</ns0:f>
        <ns0:v/>
      </ns0:c>
    </ns0:row>
    <ns0:row r="225">
      <ns0:c r="A225" s="5" t="n"/>
      <ns0:c r="B225" s="6" t="n"/>
      <ns0:c r="C225" s="6" t="n"/>
      <ns0:c r="D225" s="7" t="n"/>
      <ns0:c r="E225" s="7" t="n"/>
      <ns0:c r="F225" s="8" t="str">
        <ns0:f>IF(OR(B225="",J225&lt;&gt;"販売済み",E225="",C225=""),"",IFERROR(IF(OR(COUNTIF('手数料マスタ'!$A$5:$A$104,C225)&lt;&gt;1,COUNTIFS('手数料マスタ'!$A$5:$A$104,C225,'手数料マスタ'!$B$5:$B$104,"&lt;&gt;")&lt;&gt;1,NOT(ISNUMBER(VLOOKUP(C225,'手数料マスタ'!$A$5:$B$104,2,FALSE))),VLOOKUP(C225,'手数料マスタ'!$A$5:$B$104,2,FALSE)&lt;0,VLOOKUP(C225,'手数料マスタ'!$A$5:$B$104,2,FALSE)&gt;1),"要確認",ROUND(E225*VLOOKUP(C225,'手数料マスタ'!$A$5:$B$104,2,FALSE),0)),"要確認"))</ns0:f>
        <ns0:v/>
      </ns0:c>
      <ns0:c r="G225" s="7" t="n"/>
      <ns0:c r="H225" s="7" t="n"/>
      <ns0:c r="I225" s="8" t="str">
        <ns0:f>IF(OR(B225="",J225&lt;&gt;"販売済み",D225="",E225="",G225="",H225=""),"",IF(ISNUMBER(F225),E225-D225-F225-G225-H225,"要確認"))</ns0:f>
        <ns0:v/>
      </ns0:c>
      <ns0:c r="J225" s="6" t="n"/>
      <ns0:c r="K225" s="5" t="n"/>
      <ns0:c r="L225" s="9" t="str">
        <ns0:f>IF(AND(B225&lt;&gt;"",J225="在庫"),COUNTIFS($J$5:J225,"在庫",$B$5:B225,"&lt;&gt;"),"")</ns0:f>
        <ns0:v/>
      </ns0:c>
    </ns0:row>
    <ns0:row r="226">
      <ns0:c r="A226" s="5" t="n"/>
      <ns0:c r="B226" s="6" t="n"/>
      <ns0:c r="C226" s="6" t="n"/>
      <ns0:c r="D226" s="7" t="n"/>
      <ns0:c r="E226" s="7" t="n"/>
      <ns0:c r="F226" s="8" t="str">
        <ns0:f>IF(OR(B226="",J226&lt;&gt;"販売済み",E226="",C226=""),"",IFERROR(IF(OR(COUNTIF('手数料マスタ'!$A$5:$A$104,C226)&lt;&gt;1,COUNTIFS('手数料マスタ'!$A$5:$A$104,C226,'手数料マスタ'!$B$5:$B$104,"&lt;&gt;")&lt;&gt;1,NOT(ISNUMBER(VLOOKUP(C226,'手数料マスタ'!$A$5:$B$104,2,FALSE))),VLOOKUP(C226,'手数料マスタ'!$A$5:$B$104,2,FALSE)&lt;0,VLOOKUP(C226,'手数料マスタ'!$A$5:$B$104,2,FALSE)&gt;1),"要確認",ROUND(E226*VLOOKUP(C226,'手数料マスタ'!$A$5:$B$104,2,FALSE),0)),"要確認"))</ns0:f>
        <ns0:v/>
      </ns0:c>
      <ns0:c r="G226" s="7" t="n"/>
      <ns0:c r="H226" s="7" t="n"/>
      <ns0:c r="I226" s="8" t="str">
        <ns0:f>IF(OR(B226="",J226&lt;&gt;"販売済み",D226="",E226="",G226="",H226=""),"",IF(ISNUMBER(F226),E226-D226-F226-G226-H226,"要確認"))</ns0:f>
        <ns0:v/>
      </ns0:c>
      <ns0:c r="J226" s="6" t="n"/>
      <ns0:c r="K226" s="5" t="n"/>
      <ns0:c r="L226" s="9" t="str">
        <ns0:f>IF(AND(B226&lt;&gt;"",J226="在庫"),COUNTIFS($J$5:J226,"在庫",$B$5:B226,"&lt;&gt;"),"")</ns0:f>
        <ns0:v/>
      </ns0:c>
    </ns0:row>
    <ns0:row r="227">
      <ns0:c r="A227" s="5" t="n"/>
      <ns0:c r="B227" s="6" t="n"/>
      <ns0:c r="C227" s="6" t="n"/>
      <ns0:c r="D227" s="7" t="n"/>
      <ns0:c r="E227" s="7" t="n"/>
      <ns0:c r="F227" s="8" t="str">
        <ns0:f>IF(OR(B227="",J227&lt;&gt;"販売済み",E227="",C227=""),"",IFERROR(IF(OR(COUNTIF('手数料マスタ'!$A$5:$A$104,C227)&lt;&gt;1,COUNTIFS('手数料マスタ'!$A$5:$A$104,C227,'手数料マスタ'!$B$5:$B$104,"&lt;&gt;")&lt;&gt;1,NOT(ISNUMBER(VLOOKUP(C227,'手数料マスタ'!$A$5:$B$104,2,FALSE))),VLOOKUP(C227,'手数料マスタ'!$A$5:$B$104,2,FALSE)&lt;0,VLOOKUP(C227,'手数料マスタ'!$A$5:$B$104,2,FALSE)&gt;1),"要確認",ROUND(E227*VLOOKUP(C227,'手数料マスタ'!$A$5:$B$104,2,FALSE),0)),"要確認"))</ns0:f>
        <ns0:v/>
      </ns0:c>
      <ns0:c r="G227" s="7" t="n"/>
      <ns0:c r="H227" s="7" t="n"/>
      <ns0:c r="I227" s="8" t="str">
        <ns0:f>IF(OR(B227="",J227&lt;&gt;"販売済み",D227="",E227="",G227="",H227=""),"",IF(ISNUMBER(F227),E227-D227-F227-G227-H227,"要確認"))</ns0:f>
        <ns0:v/>
      </ns0:c>
      <ns0:c r="J227" s="6" t="n"/>
      <ns0:c r="K227" s="5" t="n"/>
      <ns0:c r="L227" s="9" t="str">
        <ns0:f>IF(AND(B227&lt;&gt;"",J227="在庫"),COUNTIFS($J$5:J227,"在庫",$B$5:B227,"&lt;&gt;"),"")</ns0:f>
        <ns0:v/>
      </ns0:c>
    </ns0:row>
    <ns0:row r="228">
      <ns0:c r="A228" s="5" t="n"/>
      <ns0:c r="B228" s="6" t="n"/>
      <ns0:c r="C228" s="6" t="n"/>
      <ns0:c r="D228" s="7" t="n"/>
      <ns0:c r="E228" s="7" t="n"/>
      <ns0:c r="F228" s="8" t="str">
        <ns0:f>IF(OR(B228="",J228&lt;&gt;"販売済み",E228="",C228=""),"",IFERROR(IF(OR(COUNTIF('手数料マスタ'!$A$5:$A$104,C228)&lt;&gt;1,COUNTIFS('手数料マスタ'!$A$5:$A$104,C228,'手数料マスタ'!$B$5:$B$104,"&lt;&gt;")&lt;&gt;1,NOT(ISNUMBER(VLOOKUP(C228,'手数料マスタ'!$A$5:$B$104,2,FALSE))),VLOOKUP(C228,'手数料マスタ'!$A$5:$B$104,2,FALSE)&lt;0,VLOOKUP(C228,'手数料マスタ'!$A$5:$B$104,2,FALSE)&gt;1),"要確認",ROUND(E228*VLOOKUP(C228,'手数料マスタ'!$A$5:$B$104,2,FALSE),0)),"要確認"))</ns0:f>
        <ns0:v/>
      </ns0:c>
      <ns0:c r="G228" s="7" t="n"/>
      <ns0:c r="H228" s="7" t="n"/>
      <ns0:c r="I228" s="8" t="str">
        <ns0:f>IF(OR(B228="",J228&lt;&gt;"販売済み",D228="",E228="",G228="",H228=""),"",IF(ISNUMBER(F228),E228-D228-F228-G228-H228,"要確認"))</ns0:f>
        <ns0:v/>
      </ns0:c>
      <ns0:c r="J228" s="6" t="n"/>
      <ns0:c r="K228" s="5" t="n"/>
      <ns0:c r="L228" s="9" t="str">
        <ns0:f>IF(AND(B228&lt;&gt;"",J228="在庫"),COUNTIFS($J$5:J228,"在庫",$B$5:B228,"&lt;&gt;"),"")</ns0:f>
        <ns0:v/>
      </ns0:c>
    </ns0:row>
    <ns0:row r="229">
      <ns0:c r="A229" s="5" t="n"/>
      <ns0:c r="B229" s="6" t="n"/>
      <ns0:c r="C229" s="6" t="n"/>
      <ns0:c r="D229" s="7" t="n"/>
      <ns0:c r="E229" s="7" t="n"/>
      <ns0:c r="F229" s="8" t="str">
        <ns0:f>IF(OR(B229="",J229&lt;&gt;"販売済み",E229="",C229=""),"",IFERROR(IF(OR(COUNTIF('手数料マスタ'!$A$5:$A$104,C229)&lt;&gt;1,COUNTIFS('手数料マスタ'!$A$5:$A$104,C229,'手数料マスタ'!$B$5:$B$104,"&lt;&gt;")&lt;&gt;1,NOT(ISNUMBER(VLOOKUP(C229,'手数料マスタ'!$A$5:$B$104,2,FALSE))),VLOOKUP(C229,'手数料マスタ'!$A$5:$B$104,2,FALSE)&lt;0,VLOOKUP(C229,'手数料マスタ'!$A$5:$B$104,2,FALSE)&gt;1),"要確認",ROUND(E229*VLOOKUP(C229,'手数料マスタ'!$A$5:$B$104,2,FALSE),0)),"要確認"))</ns0:f>
        <ns0:v/>
      </ns0:c>
      <ns0:c r="G229" s="7" t="n"/>
      <ns0:c r="H229" s="7" t="n"/>
      <ns0:c r="I229" s="8" t="str">
        <ns0:f>IF(OR(B229="",J229&lt;&gt;"販売済み",D229="",E229="",G229="",H229=""),"",IF(ISNUMBER(F229),E229-D229-F229-G229-H229,"要確認"))</ns0:f>
        <ns0:v/>
      </ns0:c>
      <ns0:c r="J229" s="6" t="n"/>
      <ns0:c r="K229" s="5" t="n"/>
      <ns0:c r="L229" s="9" t="str">
        <ns0:f>IF(AND(B229&lt;&gt;"",J229="在庫"),COUNTIFS($J$5:J229,"在庫",$B$5:B229,"&lt;&gt;"),"")</ns0:f>
        <ns0:v/>
      </ns0:c>
    </ns0:row>
    <ns0:row r="230">
      <ns0:c r="A230" s="5" t="n"/>
      <ns0:c r="B230" s="6" t="n"/>
      <ns0:c r="C230" s="6" t="n"/>
      <ns0:c r="D230" s="7" t="n"/>
      <ns0:c r="E230" s="7" t="n"/>
      <ns0:c r="F230" s="8" t="str">
        <ns0:f>IF(OR(B230="",J230&lt;&gt;"販売済み",E230="",C230=""),"",IFERROR(IF(OR(COUNTIF('手数料マスタ'!$A$5:$A$104,C230)&lt;&gt;1,COUNTIFS('手数料マスタ'!$A$5:$A$104,C230,'手数料マスタ'!$B$5:$B$104,"&lt;&gt;")&lt;&gt;1,NOT(ISNUMBER(VLOOKUP(C230,'手数料マスタ'!$A$5:$B$104,2,FALSE))),VLOOKUP(C230,'手数料マスタ'!$A$5:$B$104,2,FALSE)&lt;0,VLOOKUP(C230,'手数料マスタ'!$A$5:$B$104,2,FALSE)&gt;1),"要確認",ROUND(E230*VLOOKUP(C230,'手数料マスタ'!$A$5:$B$104,2,FALSE),0)),"要確認"))</ns0:f>
        <ns0:v/>
      </ns0:c>
      <ns0:c r="G230" s="7" t="n"/>
      <ns0:c r="H230" s="7" t="n"/>
      <ns0:c r="I230" s="8" t="str">
        <ns0:f>IF(OR(B230="",J230&lt;&gt;"販売済み",D230="",E230="",G230="",H230=""),"",IF(ISNUMBER(F230),E230-D230-F230-G230-H230,"要確認"))</ns0:f>
        <ns0:v/>
      </ns0:c>
      <ns0:c r="J230" s="6" t="n"/>
      <ns0:c r="K230" s="5" t="n"/>
      <ns0:c r="L230" s="9" t="str">
        <ns0:f>IF(AND(B230&lt;&gt;"",J230="在庫"),COUNTIFS($J$5:J230,"在庫",$B$5:B230,"&lt;&gt;"),"")</ns0:f>
        <ns0:v/>
      </ns0:c>
    </ns0:row>
    <ns0:row r="231">
      <ns0:c r="A231" s="5" t="n"/>
      <ns0:c r="B231" s="6" t="n"/>
      <ns0:c r="C231" s="6" t="n"/>
      <ns0:c r="D231" s="7" t="n"/>
      <ns0:c r="E231" s="7" t="n"/>
      <ns0:c r="F231" s="8" t="str">
        <ns0:f>IF(OR(B231="",J231&lt;&gt;"販売済み",E231="",C231=""),"",IFERROR(IF(OR(COUNTIF('手数料マスタ'!$A$5:$A$104,C231)&lt;&gt;1,COUNTIFS('手数料マスタ'!$A$5:$A$104,C231,'手数料マスタ'!$B$5:$B$104,"&lt;&gt;")&lt;&gt;1,NOT(ISNUMBER(VLOOKUP(C231,'手数料マスタ'!$A$5:$B$104,2,FALSE))),VLOOKUP(C231,'手数料マスタ'!$A$5:$B$104,2,FALSE)&lt;0,VLOOKUP(C231,'手数料マスタ'!$A$5:$B$104,2,FALSE)&gt;1),"要確認",ROUND(E231*VLOOKUP(C231,'手数料マスタ'!$A$5:$B$104,2,FALSE),0)),"要確認"))</ns0:f>
        <ns0:v/>
      </ns0:c>
      <ns0:c r="G231" s="7" t="n"/>
      <ns0:c r="H231" s="7" t="n"/>
      <ns0:c r="I231" s="8" t="str">
        <ns0:f>IF(OR(B231="",J231&lt;&gt;"販売済み",D231="",E231="",G231="",H231=""),"",IF(ISNUMBER(F231),E231-D231-F231-G231-H231,"要確認"))</ns0:f>
        <ns0:v/>
      </ns0:c>
      <ns0:c r="J231" s="6" t="n"/>
      <ns0:c r="K231" s="5" t="n"/>
      <ns0:c r="L231" s="9" t="str">
        <ns0:f>IF(AND(B231&lt;&gt;"",J231="在庫"),COUNTIFS($J$5:J231,"在庫",$B$5:B231,"&lt;&gt;"),"")</ns0:f>
        <ns0:v/>
      </ns0:c>
    </ns0:row>
    <ns0:row r="232">
      <ns0:c r="A232" s="5" t="n"/>
      <ns0:c r="B232" s="6" t="n"/>
      <ns0:c r="C232" s="6" t="n"/>
      <ns0:c r="D232" s="7" t="n"/>
      <ns0:c r="E232" s="7" t="n"/>
      <ns0:c r="F232" s="8" t="str">
        <ns0:f>IF(OR(B232="",J232&lt;&gt;"販売済み",E232="",C232=""),"",IFERROR(IF(OR(COUNTIF('手数料マスタ'!$A$5:$A$104,C232)&lt;&gt;1,COUNTIFS('手数料マスタ'!$A$5:$A$104,C232,'手数料マスタ'!$B$5:$B$104,"&lt;&gt;")&lt;&gt;1,NOT(ISNUMBER(VLOOKUP(C232,'手数料マスタ'!$A$5:$B$104,2,FALSE))),VLOOKUP(C232,'手数料マスタ'!$A$5:$B$104,2,FALSE)&lt;0,VLOOKUP(C232,'手数料マスタ'!$A$5:$B$104,2,FALSE)&gt;1),"要確認",ROUND(E232*VLOOKUP(C232,'手数料マスタ'!$A$5:$B$104,2,FALSE),0)),"要確認"))</ns0:f>
        <ns0:v/>
      </ns0:c>
      <ns0:c r="G232" s="7" t="n"/>
      <ns0:c r="H232" s="7" t="n"/>
      <ns0:c r="I232" s="8" t="str">
        <ns0:f>IF(OR(B232="",J232&lt;&gt;"販売済み",D232="",E232="",G232="",H232=""),"",IF(ISNUMBER(F232),E232-D232-F232-G232-H232,"要確認"))</ns0:f>
        <ns0:v/>
      </ns0:c>
      <ns0:c r="J232" s="6" t="n"/>
      <ns0:c r="K232" s="5" t="n"/>
      <ns0:c r="L232" s="9" t="str">
        <ns0:f>IF(AND(B232&lt;&gt;"",J232="在庫"),COUNTIFS($J$5:J232,"在庫",$B$5:B232,"&lt;&gt;"),"")</ns0:f>
        <ns0:v/>
      </ns0:c>
    </ns0:row>
    <ns0:row r="233">
      <ns0:c r="A233" s="5" t="n"/>
      <ns0:c r="B233" s="6" t="n"/>
      <ns0:c r="C233" s="6" t="n"/>
      <ns0:c r="D233" s="7" t="n"/>
      <ns0:c r="E233" s="7" t="n"/>
      <ns0:c r="F233" s="8" t="str">
        <ns0:f>IF(OR(B233="",J233&lt;&gt;"販売済み",E233="",C233=""),"",IFERROR(IF(OR(COUNTIF('手数料マスタ'!$A$5:$A$104,C233)&lt;&gt;1,COUNTIFS('手数料マスタ'!$A$5:$A$104,C233,'手数料マスタ'!$B$5:$B$104,"&lt;&gt;")&lt;&gt;1,NOT(ISNUMBER(VLOOKUP(C233,'手数料マスタ'!$A$5:$B$104,2,FALSE))),VLOOKUP(C233,'手数料マスタ'!$A$5:$B$104,2,FALSE)&lt;0,VLOOKUP(C233,'手数料マスタ'!$A$5:$B$104,2,FALSE)&gt;1),"要確認",ROUND(E233*VLOOKUP(C233,'手数料マスタ'!$A$5:$B$104,2,FALSE),0)),"要確認"))</ns0:f>
        <ns0:v/>
      </ns0:c>
      <ns0:c r="G233" s="7" t="n"/>
      <ns0:c r="H233" s="7" t="n"/>
      <ns0:c r="I233" s="8" t="str">
        <ns0:f>IF(OR(B233="",J233&lt;&gt;"販売済み",D233="",E233="",G233="",H233=""),"",IF(ISNUMBER(F233),E233-D233-F233-G233-H233,"要確認"))</ns0:f>
        <ns0:v/>
      </ns0:c>
      <ns0:c r="J233" s="6" t="n"/>
      <ns0:c r="K233" s="5" t="n"/>
      <ns0:c r="L233" s="9" t="str">
        <ns0:f>IF(AND(B233&lt;&gt;"",J233="在庫"),COUNTIFS($J$5:J233,"在庫",$B$5:B233,"&lt;&gt;"),"")</ns0:f>
        <ns0:v/>
      </ns0:c>
    </ns0:row>
    <ns0:row r="234">
      <ns0:c r="A234" s="5" t="n"/>
      <ns0:c r="B234" s="6" t="n"/>
      <ns0:c r="C234" s="6" t="n"/>
      <ns0:c r="D234" s="7" t="n"/>
      <ns0:c r="E234" s="7" t="n"/>
      <ns0:c r="F234" s="8" t="str">
        <ns0:f>IF(OR(B234="",J234&lt;&gt;"販売済み",E234="",C234=""),"",IFERROR(IF(OR(COUNTIF('手数料マスタ'!$A$5:$A$104,C234)&lt;&gt;1,COUNTIFS('手数料マスタ'!$A$5:$A$104,C234,'手数料マスタ'!$B$5:$B$104,"&lt;&gt;")&lt;&gt;1,NOT(ISNUMBER(VLOOKUP(C234,'手数料マスタ'!$A$5:$B$104,2,FALSE))),VLOOKUP(C234,'手数料マスタ'!$A$5:$B$104,2,FALSE)&lt;0,VLOOKUP(C234,'手数料マスタ'!$A$5:$B$104,2,FALSE)&gt;1),"要確認",ROUND(E234*VLOOKUP(C234,'手数料マスタ'!$A$5:$B$104,2,FALSE),0)),"要確認"))</ns0:f>
        <ns0:v/>
      </ns0:c>
      <ns0:c r="G234" s="7" t="n"/>
      <ns0:c r="H234" s="7" t="n"/>
      <ns0:c r="I234" s="8" t="str">
        <ns0:f>IF(OR(B234="",J234&lt;&gt;"販売済み",D234="",E234="",G234="",H234=""),"",IF(ISNUMBER(F234),E234-D234-F234-G234-H234,"要確認"))</ns0:f>
        <ns0:v/>
      </ns0:c>
      <ns0:c r="J234" s="6" t="n"/>
      <ns0:c r="K234" s="5" t="n"/>
      <ns0:c r="L234" s="9" t="str">
        <ns0:f>IF(AND(B234&lt;&gt;"",J234="在庫"),COUNTIFS($J$5:J234,"在庫",$B$5:B234,"&lt;&gt;"),"")</ns0:f>
        <ns0:v/>
      </ns0:c>
    </ns0:row>
    <ns0:row r="235">
      <ns0:c r="A235" s="5" t="n"/>
      <ns0:c r="B235" s="6" t="n"/>
      <ns0:c r="C235" s="6" t="n"/>
      <ns0:c r="D235" s="7" t="n"/>
      <ns0:c r="E235" s="7" t="n"/>
      <ns0:c r="F235" s="8" t="str">
        <ns0:f>IF(OR(B235="",J235&lt;&gt;"販売済み",E235="",C235=""),"",IFERROR(IF(OR(COUNTIF('手数料マスタ'!$A$5:$A$104,C235)&lt;&gt;1,COUNTIFS('手数料マスタ'!$A$5:$A$104,C235,'手数料マスタ'!$B$5:$B$104,"&lt;&gt;")&lt;&gt;1,NOT(ISNUMBER(VLOOKUP(C235,'手数料マスタ'!$A$5:$B$104,2,FALSE))),VLOOKUP(C235,'手数料マスタ'!$A$5:$B$104,2,FALSE)&lt;0,VLOOKUP(C235,'手数料マスタ'!$A$5:$B$104,2,FALSE)&gt;1),"要確認",ROUND(E235*VLOOKUP(C235,'手数料マスタ'!$A$5:$B$104,2,FALSE),0)),"要確認"))</ns0:f>
        <ns0:v/>
      </ns0:c>
      <ns0:c r="G235" s="7" t="n"/>
      <ns0:c r="H235" s="7" t="n"/>
      <ns0:c r="I235" s="8" t="str">
        <ns0:f>IF(OR(B235="",J235&lt;&gt;"販売済み",D235="",E235="",G235="",H235=""),"",IF(ISNUMBER(F235),E235-D235-F235-G235-H235,"要確認"))</ns0:f>
        <ns0:v/>
      </ns0:c>
      <ns0:c r="J235" s="6" t="n"/>
      <ns0:c r="K235" s="5" t="n"/>
      <ns0:c r="L235" s="9" t="str">
        <ns0:f>IF(AND(B235&lt;&gt;"",J235="在庫"),COUNTIFS($J$5:J235,"在庫",$B$5:B235,"&lt;&gt;"),"")</ns0:f>
        <ns0:v/>
      </ns0:c>
    </ns0:row>
    <ns0:row r="236">
      <ns0:c r="A236" s="5" t="n"/>
      <ns0:c r="B236" s="6" t="n"/>
      <ns0:c r="C236" s="6" t="n"/>
      <ns0:c r="D236" s="7" t="n"/>
      <ns0:c r="E236" s="7" t="n"/>
      <ns0:c r="F236" s="8" t="str">
        <ns0:f>IF(OR(B236="",J236&lt;&gt;"販売済み",E236="",C236=""),"",IFERROR(IF(OR(COUNTIF('手数料マスタ'!$A$5:$A$104,C236)&lt;&gt;1,COUNTIFS('手数料マスタ'!$A$5:$A$104,C236,'手数料マスタ'!$B$5:$B$104,"&lt;&gt;")&lt;&gt;1,NOT(ISNUMBER(VLOOKUP(C236,'手数料マスタ'!$A$5:$B$104,2,FALSE))),VLOOKUP(C236,'手数料マスタ'!$A$5:$B$104,2,FALSE)&lt;0,VLOOKUP(C236,'手数料マスタ'!$A$5:$B$104,2,FALSE)&gt;1),"要確認",ROUND(E236*VLOOKUP(C236,'手数料マスタ'!$A$5:$B$104,2,FALSE),0)),"要確認"))</ns0:f>
        <ns0:v/>
      </ns0:c>
      <ns0:c r="G236" s="7" t="n"/>
      <ns0:c r="H236" s="7" t="n"/>
      <ns0:c r="I236" s="8" t="str">
        <ns0:f>IF(OR(B236="",J236&lt;&gt;"販売済み",D236="",E236="",G236="",H236=""),"",IF(ISNUMBER(F236),E236-D236-F236-G236-H236,"要確認"))</ns0:f>
        <ns0:v/>
      </ns0:c>
      <ns0:c r="J236" s="6" t="n"/>
      <ns0:c r="K236" s="5" t="n"/>
      <ns0:c r="L236" s="9" t="str">
        <ns0:f>IF(AND(B236&lt;&gt;"",J236="在庫"),COUNTIFS($J$5:J236,"在庫",$B$5:B236,"&lt;&gt;"),"")</ns0:f>
        <ns0:v/>
      </ns0:c>
    </ns0:row>
    <ns0:row r="237">
      <ns0:c r="A237" s="5" t="n"/>
      <ns0:c r="B237" s="6" t="n"/>
      <ns0:c r="C237" s="6" t="n"/>
      <ns0:c r="D237" s="7" t="n"/>
      <ns0:c r="E237" s="7" t="n"/>
      <ns0:c r="F237" s="8" t="str">
        <ns0:f>IF(OR(B237="",J237&lt;&gt;"販売済み",E237="",C237=""),"",IFERROR(IF(OR(COUNTIF('手数料マスタ'!$A$5:$A$104,C237)&lt;&gt;1,COUNTIFS('手数料マスタ'!$A$5:$A$104,C237,'手数料マスタ'!$B$5:$B$104,"&lt;&gt;")&lt;&gt;1,NOT(ISNUMBER(VLOOKUP(C237,'手数料マスタ'!$A$5:$B$104,2,FALSE))),VLOOKUP(C237,'手数料マスタ'!$A$5:$B$104,2,FALSE)&lt;0,VLOOKUP(C237,'手数料マスタ'!$A$5:$B$104,2,FALSE)&gt;1),"要確認",ROUND(E237*VLOOKUP(C237,'手数料マスタ'!$A$5:$B$104,2,FALSE),0)),"要確認"))</ns0:f>
        <ns0:v/>
      </ns0:c>
      <ns0:c r="G237" s="7" t="n"/>
      <ns0:c r="H237" s="7" t="n"/>
      <ns0:c r="I237" s="8" t="str">
        <ns0:f>IF(OR(B237="",J237&lt;&gt;"販売済み",D237="",E237="",G237="",H237=""),"",IF(ISNUMBER(F237),E237-D237-F237-G237-H237,"要確認"))</ns0:f>
        <ns0:v/>
      </ns0:c>
      <ns0:c r="J237" s="6" t="n"/>
      <ns0:c r="K237" s="5" t="n"/>
      <ns0:c r="L237" s="9" t="str">
        <ns0:f>IF(AND(B237&lt;&gt;"",J237="在庫"),COUNTIFS($J$5:J237,"在庫",$B$5:B237,"&lt;&gt;"),"")</ns0:f>
        <ns0:v/>
      </ns0:c>
    </ns0:row>
    <ns0:row r="238">
      <ns0:c r="A238" s="5" t="n"/>
      <ns0:c r="B238" s="6" t="n"/>
      <ns0:c r="C238" s="6" t="n"/>
      <ns0:c r="D238" s="7" t="n"/>
      <ns0:c r="E238" s="7" t="n"/>
      <ns0:c r="F238" s="8" t="str">
        <ns0:f>IF(OR(B238="",J238&lt;&gt;"販売済み",E238="",C238=""),"",IFERROR(IF(OR(COUNTIF('手数料マスタ'!$A$5:$A$104,C238)&lt;&gt;1,COUNTIFS('手数料マスタ'!$A$5:$A$104,C238,'手数料マスタ'!$B$5:$B$104,"&lt;&gt;")&lt;&gt;1,NOT(ISNUMBER(VLOOKUP(C238,'手数料マスタ'!$A$5:$B$104,2,FALSE))),VLOOKUP(C238,'手数料マスタ'!$A$5:$B$104,2,FALSE)&lt;0,VLOOKUP(C238,'手数料マスタ'!$A$5:$B$104,2,FALSE)&gt;1),"要確認",ROUND(E238*VLOOKUP(C238,'手数料マスタ'!$A$5:$B$104,2,FALSE),0)),"要確認"))</ns0:f>
        <ns0:v/>
      </ns0:c>
      <ns0:c r="G238" s="7" t="n"/>
      <ns0:c r="H238" s="7" t="n"/>
      <ns0:c r="I238" s="8" t="str">
        <ns0:f>IF(OR(B238="",J238&lt;&gt;"販売済み",D238="",E238="",G238="",H238=""),"",IF(ISNUMBER(F238),E238-D238-F238-G238-H238,"要確認"))</ns0:f>
        <ns0:v/>
      </ns0:c>
      <ns0:c r="J238" s="6" t="n"/>
      <ns0:c r="K238" s="5" t="n"/>
      <ns0:c r="L238" s="9" t="str">
        <ns0:f>IF(AND(B238&lt;&gt;"",J238="在庫"),COUNTIFS($J$5:J238,"在庫",$B$5:B238,"&lt;&gt;"),"")</ns0:f>
        <ns0:v/>
      </ns0:c>
    </ns0:row>
    <ns0:row r="239">
      <ns0:c r="A239" s="5" t="n"/>
      <ns0:c r="B239" s="6" t="n"/>
      <ns0:c r="C239" s="6" t="n"/>
      <ns0:c r="D239" s="7" t="n"/>
      <ns0:c r="E239" s="7" t="n"/>
      <ns0:c r="F239" s="8" t="str">
        <ns0:f>IF(OR(B239="",J239&lt;&gt;"販売済み",E239="",C239=""),"",IFERROR(IF(OR(COUNTIF('手数料マスタ'!$A$5:$A$104,C239)&lt;&gt;1,COUNTIFS('手数料マスタ'!$A$5:$A$104,C239,'手数料マスタ'!$B$5:$B$104,"&lt;&gt;")&lt;&gt;1,NOT(ISNUMBER(VLOOKUP(C239,'手数料マスタ'!$A$5:$B$104,2,FALSE))),VLOOKUP(C239,'手数料マスタ'!$A$5:$B$104,2,FALSE)&lt;0,VLOOKUP(C239,'手数料マスタ'!$A$5:$B$104,2,FALSE)&gt;1),"要確認",ROUND(E239*VLOOKUP(C239,'手数料マスタ'!$A$5:$B$104,2,FALSE),0)),"要確認"))</ns0:f>
        <ns0:v/>
      </ns0:c>
      <ns0:c r="G239" s="7" t="n"/>
      <ns0:c r="H239" s="7" t="n"/>
      <ns0:c r="I239" s="8" t="str">
        <ns0:f>IF(OR(B239="",J239&lt;&gt;"販売済み",D239="",E239="",G239="",H239=""),"",IF(ISNUMBER(F239),E239-D239-F239-G239-H239,"要確認"))</ns0:f>
        <ns0:v/>
      </ns0:c>
      <ns0:c r="J239" s="6" t="n"/>
      <ns0:c r="K239" s="5" t="n"/>
      <ns0:c r="L239" s="9" t="str">
        <ns0:f>IF(AND(B239&lt;&gt;"",J239="在庫"),COUNTIFS($J$5:J239,"在庫",$B$5:B239,"&lt;&gt;"),"")</ns0:f>
        <ns0:v/>
      </ns0:c>
    </ns0:row>
    <ns0:row r="240">
      <ns0:c r="A240" s="5" t="n"/>
      <ns0:c r="B240" s="6" t="n"/>
      <ns0:c r="C240" s="6" t="n"/>
      <ns0:c r="D240" s="7" t="n"/>
      <ns0:c r="E240" s="7" t="n"/>
      <ns0:c r="F240" s="8" t="str">
        <ns0:f>IF(OR(B240="",J240&lt;&gt;"販売済み",E240="",C240=""),"",IFERROR(IF(OR(COUNTIF('手数料マスタ'!$A$5:$A$104,C240)&lt;&gt;1,COUNTIFS('手数料マスタ'!$A$5:$A$104,C240,'手数料マスタ'!$B$5:$B$104,"&lt;&gt;")&lt;&gt;1,NOT(ISNUMBER(VLOOKUP(C240,'手数料マスタ'!$A$5:$B$104,2,FALSE))),VLOOKUP(C240,'手数料マスタ'!$A$5:$B$104,2,FALSE)&lt;0,VLOOKUP(C240,'手数料マスタ'!$A$5:$B$104,2,FALSE)&gt;1),"要確認",ROUND(E240*VLOOKUP(C240,'手数料マスタ'!$A$5:$B$104,2,FALSE),0)),"要確認"))</ns0:f>
        <ns0:v/>
      </ns0:c>
      <ns0:c r="G240" s="7" t="n"/>
      <ns0:c r="H240" s="7" t="n"/>
      <ns0:c r="I240" s="8" t="str">
        <ns0:f>IF(OR(B240="",J240&lt;&gt;"販売済み",D240="",E240="",G240="",H240=""),"",IF(ISNUMBER(F240),E240-D240-F240-G240-H240,"要確認"))</ns0:f>
        <ns0:v/>
      </ns0:c>
      <ns0:c r="J240" s="6" t="n"/>
      <ns0:c r="K240" s="5" t="n"/>
      <ns0:c r="L240" s="9" t="str">
        <ns0:f>IF(AND(B240&lt;&gt;"",J240="在庫"),COUNTIFS($J$5:J240,"在庫",$B$5:B240,"&lt;&gt;"),"")</ns0:f>
        <ns0:v/>
      </ns0:c>
    </ns0:row>
    <ns0:row r="241">
      <ns0:c r="A241" s="5" t="n"/>
      <ns0:c r="B241" s="6" t="n"/>
      <ns0:c r="C241" s="6" t="n"/>
      <ns0:c r="D241" s="7" t="n"/>
      <ns0:c r="E241" s="7" t="n"/>
      <ns0:c r="F241" s="8" t="str">
        <ns0:f>IF(OR(B241="",J241&lt;&gt;"販売済み",E241="",C241=""),"",IFERROR(IF(OR(COUNTIF('手数料マスタ'!$A$5:$A$104,C241)&lt;&gt;1,COUNTIFS('手数料マスタ'!$A$5:$A$104,C241,'手数料マスタ'!$B$5:$B$104,"&lt;&gt;")&lt;&gt;1,NOT(ISNUMBER(VLOOKUP(C241,'手数料マスタ'!$A$5:$B$104,2,FALSE))),VLOOKUP(C241,'手数料マスタ'!$A$5:$B$104,2,FALSE)&lt;0,VLOOKUP(C241,'手数料マスタ'!$A$5:$B$104,2,FALSE)&gt;1),"要確認",ROUND(E241*VLOOKUP(C241,'手数料マスタ'!$A$5:$B$104,2,FALSE),0)),"要確認"))</ns0:f>
        <ns0:v/>
      </ns0:c>
      <ns0:c r="G241" s="7" t="n"/>
      <ns0:c r="H241" s="7" t="n"/>
      <ns0:c r="I241" s="8" t="str">
        <ns0:f>IF(OR(B241="",J241&lt;&gt;"販売済み",D241="",E241="",G241="",H241=""),"",IF(ISNUMBER(F241),E241-D241-F241-G241-H241,"要確認"))</ns0:f>
        <ns0:v/>
      </ns0:c>
      <ns0:c r="J241" s="6" t="n"/>
      <ns0:c r="K241" s="5" t="n"/>
      <ns0:c r="L241" s="9" t="str">
        <ns0:f>IF(AND(B241&lt;&gt;"",J241="在庫"),COUNTIFS($J$5:J241,"在庫",$B$5:B241,"&lt;&gt;"),"")</ns0:f>
        <ns0:v/>
      </ns0:c>
    </ns0:row>
    <ns0:row r="242">
      <ns0:c r="A242" s="5" t="n"/>
      <ns0:c r="B242" s="6" t="n"/>
      <ns0:c r="C242" s="6" t="n"/>
      <ns0:c r="D242" s="7" t="n"/>
      <ns0:c r="E242" s="7" t="n"/>
      <ns0:c r="F242" s="8" t="str">
        <ns0:f>IF(OR(B242="",J242&lt;&gt;"販売済み",E242="",C242=""),"",IFERROR(IF(OR(COUNTIF('手数料マスタ'!$A$5:$A$104,C242)&lt;&gt;1,COUNTIFS('手数料マスタ'!$A$5:$A$104,C242,'手数料マスタ'!$B$5:$B$104,"&lt;&gt;")&lt;&gt;1,NOT(ISNUMBER(VLOOKUP(C242,'手数料マスタ'!$A$5:$B$104,2,FALSE))),VLOOKUP(C242,'手数料マスタ'!$A$5:$B$104,2,FALSE)&lt;0,VLOOKUP(C242,'手数料マスタ'!$A$5:$B$104,2,FALSE)&gt;1),"要確認",ROUND(E242*VLOOKUP(C242,'手数料マスタ'!$A$5:$B$104,2,FALSE),0)),"要確認"))</ns0:f>
        <ns0:v/>
      </ns0:c>
      <ns0:c r="G242" s="7" t="n"/>
      <ns0:c r="H242" s="7" t="n"/>
      <ns0:c r="I242" s="8" t="str">
        <ns0:f>IF(OR(B242="",J242&lt;&gt;"販売済み",D242="",E242="",G242="",H242=""),"",IF(ISNUMBER(F242),E242-D242-F242-G242-H242,"要確認"))</ns0:f>
        <ns0:v/>
      </ns0:c>
      <ns0:c r="J242" s="6" t="n"/>
      <ns0:c r="K242" s="5" t="n"/>
      <ns0:c r="L242" s="9" t="str">
        <ns0:f>IF(AND(B242&lt;&gt;"",J242="在庫"),COUNTIFS($J$5:J242,"在庫",$B$5:B242,"&lt;&gt;"),"")</ns0:f>
        <ns0:v/>
      </ns0:c>
    </ns0:row>
    <ns0:row r="243">
      <ns0:c r="A243" s="5" t="n"/>
      <ns0:c r="B243" s="6" t="n"/>
      <ns0:c r="C243" s="6" t="n"/>
      <ns0:c r="D243" s="7" t="n"/>
      <ns0:c r="E243" s="7" t="n"/>
      <ns0:c r="F243" s="8" t="str">
        <ns0:f>IF(OR(B243="",J243&lt;&gt;"販売済み",E243="",C243=""),"",IFERROR(IF(OR(COUNTIF('手数料マスタ'!$A$5:$A$104,C243)&lt;&gt;1,COUNTIFS('手数料マスタ'!$A$5:$A$104,C243,'手数料マスタ'!$B$5:$B$104,"&lt;&gt;")&lt;&gt;1,NOT(ISNUMBER(VLOOKUP(C243,'手数料マスタ'!$A$5:$B$104,2,FALSE))),VLOOKUP(C243,'手数料マスタ'!$A$5:$B$104,2,FALSE)&lt;0,VLOOKUP(C243,'手数料マスタ'!$A$5:$B$104,2,FALSE)&gt;1),"要確認",ROUND(E243*VLOOKUP(C243,'手数料マスタ'!$A$5:$B$104,2,FALSE),0)),"要確認"))</ns0:f>
        <ns0:v/>
      </ns0:c>
      <ns0:c r="G243" s="7" t="n"/>
      <ns0:c r="H243" s="7" t="n"/>
      <ns0:c r="I243" s="8" t="str">
        <ns0:f>IF(OR(B243="",J243&lt;&gt;"販売済み",D243="",E243="",G243="",H243=""),"",IF(ISNUMBER(F243),E243-D243-F243-G243-H243,"要確認"))</ns0:f>
        <ns0:v/>
      </ns0:c>
      <ns0:c r="J243" s="6" t="n"/>
      <ns0:c r="K243" s="5" t="n"/>
      <ns0:c r="L243" s="9" t="str">
        <ns0:f>IF(AND(B243&lt;&gt;"",J243="在庫"),COUNTIFS($J$5:J243,"在庫",$B$5:B243,"&lt;&gt;"),"")</ns0:f>
        <ns0:v/>
      </ns0:c>
    </ns0:row>
    <ns0:row r="244">
      <ns0:c r="A244" s="5" t="n"/>
      <ns0:c r="B244" s="6" t="n"/>
      <ns0:c r="C244" s="6" t="n"/>
      <ns0:c r="D244" s="7" t="n"/>
      <ns0:c r="E244" s="7" t="n"/>
      <ns0:c r="F244" s="8" t="str">
        <ns0:f>IF(OR(B244="",J244&lt;&gt;"販売済み",E244="",C244=""),"",IFERROR(IF(OR(COUNTIF('手数料マスタ'!$A$5:$A$104,C244)&lt;&gt;1,COUNTIFS('手数料マスタ'!$A$5:$A$104,C244,'手数料マスタ'!$B$5:$B$104,"&lt;&gt;")&lt;&gt;1,NOT(ISNUMBER(VLOOKUP(C244,'手数料マスタ'!$A$5:$B$104,2,FALSE))),VLOOKUP(C244,'手数料マスタ'!$A$5:$B$104,2,FALSE)&lt;0,VLOOKUP(C244,'手数料マスタ'!$A$5:$B$104,2,FALSE)&gt;1),"要確認",ROUND(E244*VLOOKUP(C244,'手数料マスタ'!$A$5:$B$104,2,FALSE),0)),"要確認"))</ns0:f>
        <ns0:v/>
      </ns0:c>
      <ns0:c r="G244" s="7" t="n"/>
      <ns0:c r="H244" s="7" t="n"/>
      <ns0:c r="I244" s="8" t="str">
        <ns0:f>IF(OR(B244="",J244&lt;&gt;"販売済み",D244="",E244="",G244="",H244=""),"",IF(ISNUMBER(F244),E244-D244-F244-G244-H244,"要確認"))</ns0:f>
        <ns0:v/>
      </ns0:c>
      <ns0:c r="J244" s="6" t="n"/>
      <ns0:c r="K244" s="5" t="n"/>
      <ns0:c r="L244" s="9" t="str">
        <ns0:f>IF(AND(B244&lt;&gt;"",J244="在庫"),COUNTIFS($J$5:J244,"在庫",$B$5:B244,"&lt;&gt;"),"")</ns0:f>
        <ns0:v/>
      </ns0:c>
    </ns0:row>
    <ns0:row r="245">
      <ns0:c r="A245" s="5" t="n"/>
      <ns0:c r="B245" s="6" t="n"/>
      <ns0:c r="C245" s="6" t="n"/>
      <ns0:c r="D245" s="7" t="n"/>
      <ns0:c r="E245" s="7" t="n"/>
      <ns0:c r="F245" s="8" t="str">
        <ns0:f>IF(OR(B245="",J245&lt;&gt;"販売済み",E245="",C245=""),"",IFERROR(IF(OR(COUNTIF('手数料マスタ'!$A$5:$A$104,C245)&lt;&gt;1,COUNTIFS('手数料マスタ'!$A$5:$A$104,C245,'手数料マスタ'!$B$5:$B$104,"&lt;&gt;")&lt;&gt;1,NOT(ISNUMBER(VLOOKUP(C245,'手数料マスタ'!$A$5:$B$104,2,FALSE))),VLOOKUP(C245,'手数料マスタ'!$A$5:$B$104,2,FALSE)&lt;0,VLOOKUP(C245,'手数料マスタ'!$A$5:$B$104,2,FALSE)&gt;1),"要確認",ROUND(E245*VLOOKUP(C245,'手数料マスタ'!$A$5:$B$104,2,FALSE),0)),"要確認"))</ns0:f>
        <ns0:v/>
      </ns0:c>
      <ns0:c r="G245" s="7" t="n"/>
      <ns0:c r="H245" s="7" t="n"/>
      <ns0:c r="I245" s="8" t="str">
        <ns0:f>IF(OR(B245="",J245&lt;&gt;"販売済み",D245="",E245="",G245="",H245=""),"",IF(ISNUMBER(F245),E245-D245-F245-G245-H245,"要確認"))</ns0:f>
        <ns0:v/>
      </ns0:c>
      <ns0:c r="J245" s="6" t="n"/>
      <ns0:c r="K245" s="5" t="n"/>
      <ns0:c r="L245" s="9" t="str">
        <ns0:f>IF(AND(B245&lt;&gt;"",J245="在庫"),COUNTIFS($J$5:J245,"在庫",$B$5:B245,"&lt;&gt;"),"")</ns0:f>
        <ns0:v/>
      </ns0:c>
    </ns0:row>
    <ns0:row r="246">
      <ns0:c r="A246" s="5" t="n"/>
      <ns0:c r="B246" s="6" t="n"/>
      <ns0:c r="C246" s="6" t="n"/>
      <ns0:c r="D246" s="7" t="n"/>
      <ns0:c r="E246" s="7" t="n"/>
      <ns0:c r="F246" s="8" t="str">
        <ns0:f>IF(OR(B246="",J246&lt;&gt;"販売済み",E246="",C246=""),"",IFERROR(IF(OR(COUNTIF('手数料マスタ'!$A$5:$A$104,C246)&lt;&gt;1,COUNTIFS('手数料マスタ'!$A$5:$A$104,C246,'手数料マスタ'!$B$5:$B$104,"&lt;&gt;")&lt;&gt;1,NOT(ISNUMBER(VLOOKUP(C246,'手数料マスタ'!$A$5:$B$104,2,FALSE))),VLOOKUP(C246,'手数料マスタ'!$A$5:$B$104,2,FALSE)&lt;0,VLOOKUP(C246,'手数料マスタ'!$A$5:$B$104,2,FALSE)&gt;1),"要確認",ROUND(E246*VLOOKUP(C246,'手数料マスタ'!$A$5:$B$104,2,FALSE),0)),"要確認"))</ns0:f>
        <ns0:v/>
      </ns0:c>
      <ns0:c r="G246" s="7" t="n"/>
      <ns0:c r="H246" s="7" t="n"/>
      <ns0:c r="I246" s="8" t="str">
        <ns0:f>IF(OR(B246="",J246&lt;&gt;"販売済み",D246="",E246="",G246="",H246=""),"",IF(ISNUMBER(F246),E246-D246-F246-G246-H246,"要確認"))</ns0:f>
        <ns0:v/>
      </ns0:c>
      <ns0:c r="J246" s="6" t="n"/>
      <ns0:c r="K246" s="5" t="n"/>
      <ns0:c r="L246" s="9" t="str">
        <ns0:f>IF(AND(B246&lt;&gt;"",J246="在庫"),COUNTIFS($J$5:J246,"在庫",$B$5:B246,"&lt;&gt;"),"")</ns0:f>
        <ns0:v/>
      </ns0:c>
    </ns0:row>
    <ns0:row r="247">
      <ns0:c r="A247" s="5" t="n"/>
      <ns0:c r="B247" s="6" t="n"/>
      <ns0:c r="C247" s="6" t="n"/>
      <ns0:c r="D247" s="7" t="n"/>
      <ns0:c r="E247" s="7" t="n"/>
      <ns0:c r="F247" s="8" t="str">
        <ns0:f>IF(OR(B247="",J247&lt;&gt;"販売済み",E247="",C247=""),"",IFERROR(IF(OR(COUNTIF('手数料マスタ'!$A$5:$A$104,C247)&lt;&gt;1,COUNTIFS('手数料マスタ'!$A$5:$A$104,C247,'手数料マスタ'!$B$5:$B$104,"&lt;&gt;")&lt;&gt;1,NOT(ISNUMBER(VLOOKUP(C247,'手数料マスタ'!$A$5:$B$104,2,FALSE))),VLOOKUP(C247,'手数料マスタ'!$A$5:$B$104,2,FALSE)&lt;0,VLOOKUP(C247,'手数料マスタ'!$A$5:$B$104,2,FALSE)&gt;1),"要確認",ROUND(E247*VLOOKUP(C247,'手数料マスタ'!$A$5:$B$104,2,FALSE),0)),"要確認"))</ns0:f>
        <ns0:v/>
      </ns0:c>
      <ns0:c r="G247" s="7" t="n"/>
      <ns0:c r="H247" s="7" t="n"/>
      <ns0:c r="I247" s="8" t="str">
        <ns0:f>IF(OR(B247="",J247&lt;&gt;"販売済み",D247="",E247="",G247="",H247=""),"",IF(ISNUMBER(F247),E247-D247-F247-G247-H247,"要確認"))</ns0:f>
        <ns0:v/>
      </ns0:c>
      <ns0:c r="J247" s="6" t="n"/>
      <ns0:c r="K247" s="5" t="n"/>
      <ns0:c r="L247" s="9" t="str">
        <ns0:f>IF(AND(B247&lt;&gt;"",J247="在庫"),COUNTIFS($J$5:J247,"在庫",$B$5:B247,"&lt;&gt;"),"")</ns0:f>
        <ns0:v/>
      </ns0:c>
    </ns0:row>
    <ns0:row r="248">
      <ns0:c r="A248" s="5" t="n"/>
      <ns0:c r="B248" s="6" t="n"/>
      <ns0:c r="C248" s="6" t="n"/>
      <ns0:c r="D248" s="7" t="n"/>
      <ns0:c r="E248" s="7" t="n"/>
      <ns0:c r="F248" s="8" t="str">
        <ns0:f>IF(OR(B248="",J248&lt;&gt;"販売済み",E248="",C248=""),"",IFERROR(IF(OR(COUNTIF('手数料マスタ'!$A$5:$A$104,C248)&lt;&gt;1,COUNTIFS('手数料マスタ'!$A$5:$A$104,C248,'手数料マスタ'!$B$5:$B$104,"&lt;&gt;")&lt;&gt;1,NOT(ISNUMBER(VLOOKUP(C248,'手数料マスタ'!$A$5:$B$104,2,FALSE))),VLOOKUP(C248,'手数料マスタ'!$A$5:$B$104,2,FALSE)&lt;0,VLOOKUP(C248,'手数料マスタ'!$A$5:$B$104,2,FALSE)&gt;1),"要確認",ROUND(E248*VLOOKUP(C248,'手数料マスタ'!$A$5:$B$104,2,FALSE),0)),"要確認"))</ns0:f>
        <ns0:v/>
      </ns0:c>
      <ns0:c r="G248" s="7" t="n"/>
      <ns0:c r="H248" s="7" t="n"/>
      <ns0:c r="I248" s="8" t="str">
        <ns0:f>IF(OR(B248="",J248&lt;&gt;"販売済み",D248="",E248="",G248="",H248=""),"",IF(ISNUMBER(F248),E248-D248-F248-G248-H248,"要確認"))</ns0:f>
        <ns0:v/>
      </ns0:c>
      <ns0:c r="J248" s="6" t="n"/>
      <ns0:c r="K248" s="5" t="n"/>
      <ns0:c r="L248" s="9" t="str">
        <ns0:f>IF(AND(B248&lt;&gt;"",J248="在庫"),COUNTIFS($J$5:J248,"在庫",$B$5:B248,"&lt;&gt;"),"")</ns0:f>
        <ns0:v/>
      </ns0:c>
    </ns0:row>
    <ns0:row r="249">
      <ns0:c r="A249" s="5" t="n"/>
      <ns0:c r="B249" s="6" t="n"/>
      <ns0:c r="C249" s="6" t="n"/>
      <ns0:c r="D249" s="7" t="n"/>
      <ns0:c r="E249" s="7" t="n"/>
      <ns0:c r="F249" s="8" t="str">
        <ns0:f>IF(OR(B249="",J249&lt;&gt;"販売済み",E249="",C249=""),"",IFERROR(IF(OR(COUNTIF('手数料マスタ'!$A$5:$A$104,C249)&lt;&gt;1,COUNTIFS('手数料マスタ'!$A$5:$A$104,C249,'手数料マスタ'!$B$5:$B$104,"&lt;&gt;")&lt;&gt;1,NOT(ISNUMBER(VLOOKUP(C249,'手数料マスタ'!$A$5:$B$104,2,FALSE))),VLOOKUP(C249,'手数料マスタ'!$A$5:$B$104,2,FALSE)&lt;0,VLOOKUP(C249,'手数料マスタ'!$A$5:$B$104,2,FALSE)&gt;1),"要確認",ROUND(E249*VLOOKUP(C249,'手数料マスタ'!$A$5:$B$104,2,FALSE),0)),"要確認"))</ns0:f>
        <ns0:v/>
      </ns0:c>
      <ns0:c r="G249" s="7" t="n"/>
      <ns0:c r="H249" s="7" t="n"/>
      <ns0:c r="I249" s="8" t="str">
        <ns0:f>IF(OR(B249="",J249&lt;&gt;"販売済み",D249="",E249="",G249="",H249=""),"",IF(ISNUMBER(F249),E249-D249-F249-G249-H249,"要確認"))</ns0:f>
        <ns0:v/>
      </ns0:c>
      <ns0:c r="J249" s="6" t="n"/>
      <ns0:c r="K249" s="5" t="n"/>
      <ns0:c r="L249" s="9" t="str">
        <ns0:f>IF(AND(B249&lt;&gt;"",J249="在庫"),COUNTIFS($J$5:J249,"在庫",$B$5:B249,"&lt;&gt;"),"")</ns0:f>
        <ns0:v/>
      </ns0:c>
    </ns0:row>
    <ns0:row r="250">
      <ns0:c r="A250" s="5" t="n"/>
      <ns0:c r="B250" s="6" t="n"/>
      <ns0:c r="C250" s="6" t="n"/>
      <ns0:c r="D250" s="7" t="n"/>
      <ns0:c r="E250" s="7" t="n"/>
      <ns0:c r="F250" s="8" t="str">
        <ns0:f>IF(OR(B250="",J250&lt;&gt;"販売済み",E250="",C250=""),"",IFERROR(IF(OR(COUNTIF('手数料マスタ'!$A$5:$A$104,C250)&lt;&gt;1,COUNTIFS('手数料マスタ'!$A$5:$A$104,C250,'手数料マスタ'!$B$5:$B$104,"&lt;&gt;")&lt;&gt;1,NOT(ISNUMBER(VLOOKUP(C250,'手数料マスタ'!$A$5:$B$104,2,FALSE))),VLOOKUP(C250,'手数料マスタ'!$A$5:$B$104,2,FALSE)&lt;0,VLOOKUP(C250,'手数料マスタ'!$A$5:$B$104,2,FALSE)&gt;1),"要確認",ROUND(E250*VLOOKUP(C250,'手数料マスタ'!$A$5:$B$104,2,FALSE),0)),"要確認"))</ns0:f>
        <ns0:v/>
      </ns0:c>
      <ns0:c r="G250" s="7" t="n"/>
      <ns0:c r="H250" s="7" t="n"/>
      <ns0:c r="I250" s="8" t="str">
        <ns0:f>IF(OR(B250="",J250&lt;&gt;"販売済み",D250="",E250="",G250="",H250=""),"",IF(ISNUMBER(F250),E250-D250-F250-G250-H250,"要確認"))</ns0:f>
        <ns0:v/>
      </ns0:c>
      <ns0:c r="J250" s="6" t="n"/>
      <ns0:c r="K250" s="5" t="n"/>
      <ns0:c r="L250" s="9" t="str">
        <ns0:f>IF(AND(B250&lt;&gt;"",J250="在庫"),COUNTIFS($J$5:J250,"在庫",$B$5:B250,"&lt;&gt;"),"")</ns0:f>
        <ns0:v/>
      </ns0:c>
    </ns0:row>
    <ns0:row r="251">
      <ns0:c r="A251" s="5" t="n"/>
      <ns0:c r="B251" s="6" t="n"/>
      <ns0:c r="C251" s="6" t="n"/>
      <ns0:c r="D251" s="7" t="n"/>
      <ns0:c r="E251" s="7" t="n"/>
      <ns0:c r="F251" s="8" t="str">
        <ns0:f>IF(OR(B251="",J251&lt;&gt;"販売済み",E251="",C251=""),"",IFERROR(IF(OR(COUNTIF('手数料マスタ'!$A$5:$A$104,C251)&lt;&gt;1,COUNTIFS('手数料マスタ'!$A$5:$A$104,C251,'手数料マスタ'!$B$5:$B$104,"&lt;&gt;")&lt;&gt;1,NOT(ISNUMBER(VLOOKUP(C251,'手数料マスタ'!$A$5:$B$104,2,FALSE))),VLOOKUP(C251,'手数料マスタ'!$A$5:$B$104,2,FALSE)&lt;0,VLOOKUP(C251,'手数料マスタ'!$A$5:$B$104,2,FALSE)&gt;1),"要確認",ROUND(E251*VLOOKUP(C251,'手数料マスタ'!$A$5:$B$104,2,FALSE),0)),"要確認"))</ns0:f>
        <ns0:v/>
      </ns0:c>
      <ns0:c r="G251" s="7" t="n"/>
      <ns0:c r="H251" s="7" t="n"/>
      <ns0:c r="I251" s="8" t="str">
        <ns0:f>IF(OR(B251="",J251&lt;&gt;"販売済み",D251="",E251="",G251="",H251=""),"",IF(ISNUMBER(F251),E251-D251-F251-G251-H251,"要確認"))</ns0:f>
        <ns0:v/>
      </ns0:c>
      <ns0:c r="J251" s="6" t="n"/>
      <ns0:c r="K251" s="5" t="n"/>
      <ns0:c r="L251" s="9" t="str">
        <ns0:f>IF(AND(B251&lt;&gt;"",J251="在庫"),COUNTIFS($J$5:J251,"在庫",$B$5:B251,"&lt;&gt;"),"")</ns0:f>
        <ns0:v/>
      </ns0:c>
    </ns0:row>
    <ns0:row r="252">
      <ns0:c r="A252" s="5" t="n"/>
      <ns0:c r="B252" s="6" t="n"/>
      <ns0:c r="C252" s="6" t="n"/>
      <ns0:c r="D252" s="7" t="n"/>
      <ns0:c r="E252" s="7" t="n"/>
      <ns0:c r="F252" s="8" t="str">
        <ns0:f>IF(OR(B252="",J252&lt;&gt;"販売済み",E252="",C252=""),"",IFERROR(IF(OR(COUNTIF('手数料マスタ'!$A$5:$A$104,C252)&lt;&gt;1,COUNTIFS('手数料マスタ'!$A$5:$A$104,C252,'手数料マスタ'!$B$5:$B$104,"&lt;&gt;")&lt;&gt;1,NOT(ISNUMBER(VLOOKUP(C252,'手数料マスタ'!$A$5:$B$104,2,FALSE))),VLOOKUP(C252,'手数料マスタ'!$A$5:$B$104,2,FALSE)&lt;0,VLOOKUP(C252,'手数料マスタ'!$A$5:$B$104,2,FALSE)&gt;1),"要確認",ROUND(E252*VLOOKUP(C252,'手数料マスタ'!$A$5:$B$104,2,FALSE),0)),"要確認"))</ns0:f>
        <ns0:v/>
      </ns0:c>
      <ns0:c r="G252" s="7" t="n"/>
      <ns0:c r="H252" s="7" t="n"/>
      <ns0:c r="I252" s="8" t="str">
        <ns0:f>IF(OR(B252="",J252&lt;&gt;"販売済み",D252="",E252="",G252="",H252=""),"",IF(ISNUMBER(F252),E252-D252-F252-G252-H252,"要確認"))</ns0:f>
        <ns0:v/>
      </ns0:c>
      <ns0:c r="J252" s="6" t="n"/>
      <ns0:c r="K252" s="5" t="n"/>
      <ns0:c r="L252" s="9" t="str">
        <ns0:f>IF(AND(B252&lt;&gt;"",J252="在庫"),COUNTIFS($J$5:J252,"在庫",$B$5:B252,"&lt;&gt;"),"")</ns0:f>
        <ns0:v/>
      </ns0:c>
    </ns0:row>
    <ns0:row r="253">
      <ns0:c r="A253" s="5" t="n"/>
      <ns0:c r="B253" s="6" t="n"/>
      <ns0:c r="C253" s="6" t="n"/>
      <ns0:c r="D253" s="7" t="n"/>
      <ns0:c r="E253" s="7" t="n"/>
      <ns0:c r="F253" s="8" t="str">
        <ns0:f>IF(OR(B253="",J253&lt;&gt;"販売済み",E253="",C253=""),"",IFERROR(IF(OR(COUNTIF('手数料マスタ'!$A$5:$A$104,C253)&lt;&gt;1,COUNTIFS('手数料マスタ'!$A$5:$A$104,C253,'手数料マスタ'!$B$5:$B$104,"&lt;&gt;")&lt;&gt;1,NOT(ISNUMBER(VLOOKUP(C253,'手数料マスタ'!$A$5:$B$104,2,FALSE))),VLOOKUP(C253,'手数料マスタ'!$A$5:$B$104,2,FALSE)&lt;0,VLOOKUP(C253,'手数料マスタ'!$A$5:$B$104,2,FALSE)&gt;1),"要確認",ROUND(E253*VLOOKUP(C253,'手数料マスタ'!$A$5:$B$104,2,FALSE),0)),"要確認"))</ns0:f>
        <ns0:v/>
      </ns0:c>
      <ns0:c r="G253" s="7" t="n"/>
      <ns0:c r="H253" s="7" t="n"/>
      <ns0:c r="I253" s="8" t="str">
        <ns0:f>IF(OR(B253="",J253&lt;&gt;"販売済み",D253="",E253="",G253="",H253=""),"",IF(ISNUMBER(F253),E253-D253-F253-G253-H253,"要確認"))</ns0:f>
        <ns0:v/>
      </ns0:c>
      <ns0:c r="J253" s="6" t="n"/>
      <ns0:c r="K253" s="5" t="n"/>
      <ns0:c r="L253" s="9" t="str">
        <ns0:f>IF(AND(B253&lt;&gt;"",J253="在庫"),COUNTIFS($J$5:J253,"在庫",$B$5:B253,"&lt;&gt;"),"")</ns0:f>
        <ns0:v/>
      </ns0:c>
    </ns0:row>
    <ns0:row r="254">
      <ns0:c r="A254" s="5" t="n"/>
      <ns0:c r="B254" s="6" t="n"/>
      <ns0:c r="C254" s="6" t="n"/>
      <ns0:c r="D254" s="7" t="n"/>
      <ns0:c r="E254" s="7" t="n"/>
      <ns0:c r="F254" s="8" t="str">
        <ns0:f>IF(OR(B254="",J254&lt;&gt;"販売済み",E254="",C254=""),"",IFERROR(IF(OR(COUNTIF('手数料マスタ'!$A$5:$A$104,C254)&lt;&gt;1,COUNTIFS('手数料マスタ'!$A$5:$A$104,C254,'手数料マスタ'!$B$5:$B$104,"&lt;&gt;")&lt;&gt;1,NOT(ISNUMBER(VLOOKUP(C254,'手数料マスタ'!$A$5:$B$104,2,FALSE))),VLOOKUP(C254,'手数料マスタ'!$A$5:$B$104,2,FALSE)&lt;0,VLOOKUP(C254,'手数料マスタ'!$A$5:$B$104,2,FALSE)&gt;1),"要確認",ROUND(E254*VLOOKUP(C254,'手数料マスタ'!$A$5:$B$104,2,FALSE),0)),"要確認"))</ns0:f>
        <ns0:v/>
      </ns0:c>
      <ns0:c r="G254" s="7" t="n"/>
      <ns0:c r="H254" s="7" t="n"/>
      <ns0:c r="I254" s="8" t="str">
        <ns0:f>IF(OR(B254="",J254&lt;&gt;"販売済み",D254="",E254="",G254="",H254=""),"",IF(ISNUMBER(F254),E254-D254-F254-G254-H254,"要確認"))</ns0:f>
        <ns0:v/>
      </ns0:c>
      <ns0:c r="J254" s="6" t="n"/>
      <ns0:c r="K254" s="5" t="n"/>
      <ns0:c r="L254" s="9" t="str">
        <ns0:f>IF(AND(B254&lt;&gt;"",J254="在庫"),COUNTIFS($J$5:J254,"在庫",$B$5:B254,"&lt;&gt;"),"")</ns0:f>
        <ns0:v/>
      </ns0:c>
    </ns0:row>
    <ns0:row r="255">
      <ns0:c r="A255" s="5" t="n"/>
      <ns0:c r="B255" s="6" t="n"/>
      <ns0:c r="C255" s="6" t="n"/>
      <ns0:c r="D255" s="7" t="n"/>
      <ns0:c r="E255" s="7" t="n"/>
      <ns0:c r="F255" s="8" t="str">
        <ns0:f>IF(OR(B255="",J255&lt;&gt;"販売済み",E255="",C255=""),"",IFERROR(IF(OR(COUNTIF('手数料マスタ'!$A$5:$A$104,C255)&lt;&gt;1,COUNTIFS('手数料マスタ'!$A$5:$A$104,C255,'手数料マスタ'!$B$5:$B$104,"&lt;&gt;")&lt;&gt;1,NOT(ISNUMBER(VLOOKUP(C255,'手数料マスタ'!$A$5:$B$104,2,FALSE))),VLOOKUP(C255,'手数料マスタ'!$A$5:$B$104,2,FALSE)&lt;0,VLOOKUP(C255,'手数料マスタ'!$A$5:$B$104,2,FALSE)&gt;1),"要確認",ROUND(E255*VLOOKUP(C255,'手数料マスタ'!$A$5:$B$104,2,FALSE),0)),"要確認"))</ns0:f>
        <ns0:v/>
      </ns0:c>
      <ns0:c r="G255" s="7" t="n"/>
      <ns0:c r="H255" s="7" t="n"/>
      <ns0:c r="I255" s="8" t="str">
        <ns0:f>IF(OR(B255="",J255&lt;&gt;"販売済み",D255="",E255="",G255="",H255=""),"",IF(ISNUMBER(F255),E255-D255-F255-G255-H255,"要確認"))</ns0:f>
        <ns0:v/>
      </ns0:c>
      <ns0:c r="J255" s="6" t="n"/>
      <ns0:c r="K255" s="5" t="n"/>
      <ns0:c r="L255" s="9" t="str">
        <ns0:f>IF(AND(B255&lt;&gt;"",J255="在庫"),COUNTIFS($J$5:J255,"在庫",$B$5:B255,"&lt;&gt;"),"")</ns0:f>
        <ns0:v/>
      </ns0:c>
    </ns0:row>
    <ns0:row r="256">
      <ns0:c r="A256" s="5" t="n"/>
      <ns0:c r="B256" s="6" t="n"/>
      <ns0:c r="C256" s="6" t="n"/>
      <ns0:c r="D256" s="7" t="n"/>
      <ns0:c r="E256" s="7" t="n"/>
      <ns0:c r="F256" s="8" t="str">
        <ns0:f>IF(OR(B256="",J256&lt;&gt;"販売済み",E256="",C256=""),"",IFERROR(IF(OR(COUNTIF('手数料マスタ'!$A$5:$A$104,C256)&lt;&gt;1,COUNTIFS('手数料マスタ'!$A$5:$A$104,C256,'手数料マスタ'!$B$5:$B$104,"&lt;&gt;")&lt;&gt;1,NOT(ISNUMBER(VLOOKUP(C256,'手数料マスタ'!$A$5:$B$104,2,FALSE))),VLOOKUP(C256,'手数料マスタ'!$A$5:$B$104,2,FALSE)&lt;0,VLOOKUP(C256,'手数料マスタ'!$A$5:$B$104,2,FALSE)&gt;1),"要確認",ROUND(E256*VLOOKUP(C256,'手数料マスタ'!$A$5:$B$104,2,FALSE),0)),"要確認"))</ns0:f>
        <ns0:v/>
      </ns0:c>
      <ns0:c r="G256" s="7" t="n"/>
      <ns0:c r="H256" s="7" t="n"/>
      <ns0:c r="I256" s="8" t="str">
        <ns0:f>IF(OR(B256="",J256&lt;&gt;"販売済み",D256="",E256="",G256="",H256=""),"",IF(ISNUMBER(F256),E256-D256-F256-G256-H256,"要確認"))</ns0:f>
        <ns0:v/>
      </ns0:c>
      <ns0:c r="J256" s="6" t="n"/>
      <ns0:c r="K256" s="5" t="n"/>
      <ns0:c r="L256" s="9" t="str">
        <ns0:f>IF(AND(B256&lt;&gt;"",J256="在庫"),COUNTIFS($J$5:J256,"在庫",$B$5:B256,"&lt;&gt;"),"")</ns0:f>
        <ns0:v/>
      </ns0:c>
    </ns0:row>
    <ns0:row r="257">
      <ns0:c r="A257" s="5" t="n"/>
      <ns0:c r="B257" s="6" t="n"/>
      <ns0:c r="C257" s="6" t="n"/>
      <ns0:c r="D257" s="7" t="n"/>
      <ns0:c r="E257" s="7" t="n"/>
      <ns0:c r="F257" s="8" t="str">
        <ns0:f>IF(OR(B257="",J257&lt;&gt;"販売済み",E257="",C257=""),"",IFERROR(IF(OR(COUNTIF('手数料マスタ'!$A$5:$A$104,C257)&lt;&gt;1,COUNTIFS('手数料マスタ'!$A$5:$A$104,C257,'手数料マスタ'!$B$5:$B$104,"&lt;&gt;")&lt;&gt;1,NOT(ISNUMBER(VLOOKUP(C257,'手数料マスタ'!$A$5:$B$104,2,FALSE))),VLOOKUP(C257,'手数料マスタ'!$A$5:$B$104,2,FALSE)&lt;0,VLOOKUP(C257,'手数料マスタ'!$A$5:$B$104,2,FALSE)&gt;1),"要確認",ROUND(E257*VLOOKUP(C257,'手数料マスタ'!$A$5:$B$104,2,FALSE),0)),"要確認"))</ns0:f>
        <ns0:v/>
      </ns0:c>
      <ns0:c r="G257" s="7" t="n"/>
      <ns0:c r="H257" s="7" t="n"/>
      <ns0:c r="I257" s="8" t="str">
        <ns0:f>IF(OR(B257="",J257&lt;&gt;"販売済み",D257="",E257="",G257="",H257=""),"",IF(ISNUMBER(F257),E257-D257-F257-G257-H257,"要確認"))</ns0:f>
        <ns0:v/>
      </ns0:c>
      <ns0:c r="J257" s="6" t="n"/>
      <ns0:c r="K257" s="5" t="n"/>
      <ns0:c r="L257" s="9" t="str">
        <ns0:f>IF(AND(B257&lt;&gt;"",J257="在庫"),COUNTIFS($J$5:J257,"在庫",$B$5:B257,"&lt;&gt;"),"")</ns0:f>
        <ns0:v/>
      </ns0:c>
    </ns0:row>
    <ns0:row r="258">
      <ns0:c r="A258" s="5" t="n"/>
      <ns0:c r="B258" s="6" t="n"/>
      <ns0:c r="C258" s="6" t="n"/>
      <ns0:c r="D258" s="7" t="n"/>
      <ns0:c r="E258" s="7" t="n"/>
      <ns0:c r="F258" s="8" t="str">
        <ns0:f>IF(OR(B258="",J258&lt;&gt;"販売済み",E258="",C258=""),"",IFERROR(IF(OR(COUNTIF('手数料マスタ'!$A$5:$A$104,C258)&lt;&gt;1,COUNTIFS('手数料マスタ'!$A$5:$A$104,C258,'手数料マスタ'!$B$5:$B$104,"&lt;&gt;")&lt;&gt;1,NOT(ISNUMBER(VLOOKUP(C258,'手数料マスタ'!$A$5:$B$104,2,FALSE))),VLOOKUP(C258,'手数料マスタ'!$A$5:$B$104,2,FALSE)&lt;0,VLOOKUP(C258,'手数料マスタ'!$A$5:$B$104,2,FALSE)&gt;1),"要確認",ROUND(E258*VLOOKUP(C258,'手数料マスタ'!$A$5:$B$104,2,FALSE),0)),"要確認"))</ns0:f>
        <ns0:v/>
      </ns0:c>
      <ns0:c r="G258" s="7" t="n"/>
      <ns0:c r="H258" s="7" t="n"/>
      <ns0:c r="I258" s="8" t="str">
        <ns0:f>IF(OR(B258="",J258&lt;&gt;"販売済み",D258="",E258="",G258="",H258=""),"",IF(ISNUMBER(F258),E258-D258-F258-G258-H258,"要確認"))</ns0:f>
        <ns0:v/>
      </ns0:c>
      <ns0:c r="J258" s="6" t="n"/>
      <ns0:c r="K258" s="5" t="n"/>
      <ns0:c r="L258" s="9" t="str">
        <ns0:f>IF(AND(B258&lt;&gt;"",J258="在庫"),COUNTIFS($J$5:J258,"在庫",$B$5:B258,"&lt;&gt;"),"")</ns0:f>
        <ns0:v/>
      </ns0:c>
    </ns0:row>
    <ns0:row r="259">
      <ns0:c r="A259" s="5" t="n"/>
      <ns0:c r="B259" s="6" t="n"/>
      <ns0:c r="C259" s="6" t="n"/>
      <ns0:c r="D259" s="7" t="n"/>
      <ns0:c r="E259" s="7" t="n"/>
      <ns0:c r="F259" s="8" t="str">
        <ns0:f>IF(OR(B259="",J259&lt;&gt;"販売済み",E259="",C259=""),"",IFERROR(IF(OR(COUNTIF('手数料マスタ'!$A$5:$A$104,C259)&lt;&gt;1,COUNTIFS('手数料マスタ'!$A$5:$A$104,C259,'手数料マスタ'!$B$5:$B$104,"&lt;&gt;")&lt;&gt;1,NOT(ISNUMBER(VLOOKUP(C259,'手数料マスタ'!$A$5:$B$104,2,FALSE))),VLOOKUP(C259,'手数料マスタ'!$A$5:$B$104,2,FALSE)&lt;0,VLOOKUP(C259,'手数料マスタ'!$A$5:$B$104,2,FALSE)&gt;1),"要確認",ROUND(E259*VLOOKUP(C259,'手数料マスタ'!$A$5:$B$104,2,FALSE),0)),"要確認"))</ns0:f>
        <ns0:v/>
      </ns0:c>
      <ns0:c r="G259" s="7" t="n"/>
      <ns0:c r="H259" s="7" t="n"/>
      <ns0:c r="I259" s="8" t="str">
        <ns0:f>IF(OR(B259="",J259&lt;&gt;"販売済み",D259="",E259="",G259="",H259=""),"",IF(ISNUMBER(F259),E259-D259-F259-G259-H259,"要確認"))</ns0:f>
        <ns0:v/>
      </ns0:c>
      <ns0:c r="J259" s="6" t="n"/>
      <ns0:c r="K259" s="5" t="n"/>
      <ns0:c r="L259" s="9" t="str">
        <ns0:f>IF(AND(B259&lt;&gt;"",J259="在庫"),COUNTIFS($J$5:J259,"在庫",$B$5:B259,"&lt;&gt;"),"")</ns0:f>
        <ns0:v/>
      </ns0:c>
    </ns0:row>
    <ns0:row r="260">
      <ns0:c r="A260" s="5" t="n"/>
      <ns0:c r="B260" s="6" t="n"/>
      <ns0:c r="C260" s="6" t="n"/>
      <ns0:c r="D260" s="7" t="n"/>
      <ns0:c r="E260" s="7" t="n"/>
      <ns0:c r="F260" s="8" t="str">
        <ns0:f>IF(OR(B260="",J260&lt;&gt;"販売済み",E260="",C260=""),"",IFERROR(IF(OR(COUNTIF('手数料マスタ'!$A$5:$A$104,C260)&lt;&gt;1,COUNTIFS('手数料マスタ'!$A$5:$A$104,C260,'手数料マスタ'!$B$5:$B$104,"&lt;&gt;")&lt;&gt;1,NOT(ISNUMBER(VLOOKUP(C260,'手数料マスタ'!$A$5:$B$104,2,FALSE))),VLOOKUP(C260,'手数料マスタ'!$A$5:$B$104,2,FALSE)&lt;0,VLOOKUP(C260,'手数料マスタ'!$A$5:$B$104,2,FALSE)&gt;1),"要確認",ROUND(E260*VLOOKUP(C260,'手数料マスタ'!$A$5:$B$104,2,FALSE),0)),"要確認"))</ns0:f>
        <ns0:v/>
      </ns0:c>
      <ns0:c r="G260" s="7" t="n"/>
      <ns0:c r="H260" s="7" t="n"/>
      <ns0:c r="I260" s="8" t="str">
        <ns0:f>IF(OR(B260="",J260&lt;&gt;"販売済み",D260="",E260="",G260="",H260=""),"",IF(ISNUMBER(F260),E260-D260-F260-G260-H260,"要確認"))</ns0:f>
        <ns0:v/>
      </ns0:c>
      <ns0:c r="J260" s="6" t="n"/>
      <ns0:c r="K260" s="5" t="n"/>
      <ns0:c r="L260" s="9" t="str">
        <ns0:f>IF(AND(B260&lt;&gt;"",J260="在庫"),COUNTIFS($J$5:J260,"在庫",$B$5:B260,"&lt;&gt;"),"")</ns0:f>
        <ns0:v/>
      </ns0:c>
    </ns0:row>
    <ns0:row r="261">
      <ns0:c r="A261" s="5" t="n"/>
      <ns0:c r="B261" s="6" t="n"/>
      <ns0:c r="C261" s="6" t="n"/>
      <ns0:c r="D261" s="7" t="n"/>
      <ns0:c r="E261" s="7" t="n"/>
      <ns0:c r="F261" s="8" t="str">
        <ns0:f>IF(OR(B261="",J261&lt;&gt;"販売済み",E261="",C261=""),"",IFERROR(IF(OR(COUNTIF('手数料マスタ'!$A$5:$A$104,C261)&lt;&gt;1,COUNTIFS('手数料マスタ'!$A$5:$A$104,C261,'手数料マスタ'!$B$5:$B$104,"&lt;&gt;")&lt;&gt;1,NOT(ISNUMBER(VLOOKUP(C261,'手数料マスタ'!$A$5:$B$104,2,FALSE))),VLOOKUP(C261,'手数料マスタ'!$A$5:$B$104,2,FALSE)&lt;0,VLOOKUP(C261,'手数料マスタ'!$A$5:$B$104,2,FALSE)&gt;1),"要確認",ROUND(E261*VLOOKUP(C261,'手数料マスタ'!$A$5:$B$104,2,FALSE),0)),"要確認"))</ns0:f>
        <ns0:v/>
      </ns0:c>
      <ns0:c r="G261" s="7" t="n"/>
      <ns0:c r="H261" s="7" t="n"/>
      <ns0:c r="I261" s="8" t="str">
        <ns0:f>IF(OR(B261="",J261&lt;&gt;"販売済み",D261="",E261="",G261="",H261=""),"",IF(ISNUMBER(F261),E261-D261-F261-G261-H261,"要確認"))</ns0:f>
        <ns0:v/>
      </ns0:c>
      <ns0:c r="J261" s="6" t="n"/>
      <ns0:c r="K261" s="5" t="n"/>
      <ns0:c r="L261" s="9" t="str">
        <ns0:f>IF(AND(B261&lt;&gt;"",J261="在庫"),COUNTIFS($J$5:J261,"在庫",$B$5:B261,"&lt;&gt;"),"")</ns0:f>
        <ns0:v/>
      </ns0:c>
    </ns0:row>
    <ns0:row r="262">
      <ns0:c r="A262" s="5" t="n"/>
      <ns0:c r="B262" s="6" t="n"/>
      <ns0:c r="C262" s="6" t="n"/>
      <ns0:c r="D262" s="7" t="n"/>
      <ns0:c r="E262" s="7" t="n"/>
      <ns0:c r="F262" s="8" t="str">
        <ns0:f>IF(OR(B262="",J262&lt;&gt;"販売済み",E262="",C262=""),"",IFERROR(IF(OR(COUNTIF('手数料マスタ'!$A$5:$A$104,C262)&lt;&gt;1,COUNTIFS('手数料マスタ'!$A$5:$A$104,C262,'手数料マスタ'!$B$5:$B$104,"&lt;&gt;")&lt;&gt;1,NOT(ISNUMBER(VLOOKUP(C262,'手数料マスタ'!$A$5:$B$104,2,FALSE))),VLOOKUP(C262,'手数料マスタ'!$A$5:$B$104,2,FALSE)&lt;0,VLOOKUP(C262,'手数料マスタ'!$A$5:$B$104,2,FALSE)&gt;1),"要確認",ROUND(E262*VLOOKUP(C262,'手数料マスタ'!$A$5:$B$104,2,FALSE),0)),"要確認"))</ns0:f>
        <ns0:v/>
      </ns0:c>
      <ns0:c r="G262" s="7" t="n"/>
      <ns0:c r="H262" s="7" t="n"/>
      <ns0:c r="I262" s="8" t="str">
        <ns0:f>IF(OR(B262="",J262&lt;&gt;"販売済み",D262="",E262="",G262="",H262=""),"",IF(ISNUMBER(F262),E262-D262-F262-G262-H262,"要確認"))</ns0:f>
        <ns0:v/>
      </ns0:c>
      <ns0:c r="J262" s="6" t="n"/>
      <ns0:c r="K262" s="5" t="n"/>
      <ns0:c r="L262" s="9" t="str">
        <ns0:f>IF(AND(B262&lt;&gt;"",J262="在庫"),COUNTIFS($J$5:J262,"在庫",$B$5:B262,"&lt;&gt;"),"")</ns0:f>
        <ns0:v/>
      </ns0:c>
    </ns0:row>
    <ns0:row r="263">
      <ns0:c r="A263" s="5" t="n"/>
      <ns0:c r="B263" s="6" t="n"/>
      <ns0:c r="C263" s="6" t="n"/>
      <ns0:c r="D263" s="7" t="n"/>
      <ns0:c r="E263" s="7" t="n"/>
      <ns0:c r="F263" s="8" t="str">
        <ns0:f>IF(OR(B263="",J263&lt;&gt;"販売済み",E263="",C263=""),"",IFERROR(IF(OR(COUNTIF('手数料マスタ'!$A$5:$A$104,C263)&lt;&gt;1,COUNTIFS('手数料マスタ'!$A$5:$A$104,C263,'手数料マスタ'!$B$5:$B$104,"&lt;&gt;")&lt;&gt;1,NOT(ISNUMBER(VLOOKUP(C263,'手数料マスタ'!$A$5:$B$104,2,FALSE))),VLOOKUP(C263,'手数料マスタ'!$A$5:$B$104,2,FALSE)&lt;0,VLOOKUP(C263,'手数料マスタ'!$A$5:$B$104,2,FALSE)&gt;1),"要確認",ROUND(E263*VLOOKUP(C263,'手数料マスタ'!$A$5:$B$104,2,FALSE),0)),"要確認"))</ns0:f>
        <ns0:v/>
      </ns0:c>
      <ns0:c r="G263" s="7" t="n"/>
      <ns0:c r="H263" s="7" t="n"/>
      <ns0:c r="I263" s="8" t="str">
        <ns0:f>IF(OR(B263="",J263&lt;&gt;"販売済み",D263="",E263="",G263="",H263=""),"",IF(ISNUMBER(F263),E263-D263-F263-G263-H263,"要確認"))</ns0:f>
        <ns0:v/>
      </ns0:c>
      <ns0:c r="J263" s="6" t="n"/>
      <ns0:c r="K263" s="5" t="n"/>
      <ns0:c r="L263" s="9" t="str">
        <ns0:f>IF(AND(B263&lt;&gt;"",J263="在庫"),COUNTIFS($J$5:J263,"在庫",$B$5:B263,"&lt;&gt;"),"")</ns0:f>
        <ns0:v/>
      </ns0:c>
    </ns0:row>
    <ns0:row r="264">
      <ns0:c r="A264" s="5" t="n"/>
      <ns0:c r="B264" s="6" t="n"/>
      <ns0:c r="C264" s="6" t="n"/>
      <ns0:c r="D264" s="7" t="n"/>
      <ns0:c r="E264" s="7" t="n"/>
      <ns0:c r="F264" s="8" t="str">
        <ns0:f>IF(OR(B264="",J264&lt;&gt;"販売済み",E264="",C264=""),"",IFERROR(IF(OR(COUNTIF('手数料マスタ'!$A$5:$A$104,C264)&lt;&gt;1,COUNTIFS('手数料マスタ'!$A$5:$A$104,C264,'手数料マスタ'!$B$5:$B$104,"&lt;&gt;")&lt;&gt;1,NOT(ISNUMBER(VLOOKUP(C264,'手数料マスタ'!$A$5:$B$104,2,FALSE))),VLOOKUP(C264,'手数料マスタ'!$A$5:$B$104,2,FALSE)&lt;0,VLOOKUP(C264,'手数料マスタ'!$A$5:$B$104,2,FALSE)&gt;1),"要確認",ROUND(E264*VLOOKUP(C264,'手数料マスタ'!$A$5:$B$104,2,FALSE),0)),"要確認"))</ns0:f>
        <ns0:v/>
      </ns0:c>
      <ns0:c r="G264" s="7" t="n"/>
      <ns0:c r="H264" s="7" t="n"/>
      <ns0:c r="I264" s="8" t="str">
        <ns0:f>IF(OR(B264="",J264&lt;&gt;"販売済み",D264="",E264="",G264="",H264=""),"",IF(ISNUMBER(F264),E264-D264-F264-G264-H264,"要確認"))</ns0:f>
        <ns0:v/>
      </ns0:c>
      <ns0:c r="J264" s="6" t="n"/>
      <ns0:c r="K264" s="5" t="n"/>
      <ns0:c r="L264" s="9" t="str">
        <ns0:f>IF(AND(B264&lt;&gt;"",J264="在庫"),COUNTIFS($J$5:J264,"在庫",$B$5:B264,"&lt;&gt;"),"")</ns0:f>
        <ns0:v/>
      </ns0:c>
    </ns0:row>
    <ns0:row r="265">
      <ns0:c r="A265" s="5" t="n"/>
      <ns0:c r="B265" s="6" t="n"/>
      <ns0:c r="C265" s="6" t="n"/>
      <ns0:c r="D265" s="7" t="n"/>
      <ns0:c r="E265" s="7" t="n"/>
      <ns0:c r="F265" s="8" t="str">
        <ns0:f>IF(OR(B265="",J265&lt;&gt;"販売済み",E265="",C265=""),"",IFERROR(IF(OR(COUNTIF('手数料マスタ'!$A$5:$A$104,C265)&lt;&gt;1,COUNTIFS('手数料マスタ'!$A$5:$A$104,C265,'手数料マスタ'!$B$5:$B$104,"&lt;&gt;")&lt;&gt;1,NOT(ISNUMBER(VLOOKUP(C265,'手数料マスタ'!$A$5:$B$104,2,FALSE))),VLOOKUP(C265,'手数料マスタ'!$A$5:$B$104,2,FALSE)&lt;0,VLOOKUP(C265,'手数料マスタ'!$A$5:$B$104,2,FALSE)&gt;1),"要確認",ROUND(E265*VLOOKUP(C265,'手数料マスタ'!$A$5:$B$104,2,FALSE),0)),"要確認"))</ns0:f>
        <ns0:v/>
      </ns0:c>
      <ns0:c r="G265" s="7" t="n"/>
      <ns0:c r="H265" s="7" t="n"/>
      <ns0:c r="I265" s="8" t="str">
        <ns0:f>IF(OR(B265="",J265&lt;&gt;"販売済み",D265="",E265="",G265="",H265=""),"",IF(ISNUMBER(F265),E265-D265-F265-G265-H265,"要確認"))</ns0:f>
        <ns0:v/>
      </ns0:c>
      <ns0:c r="J265" s="6" t="n"/>
      <ns0:c r="K265" s="5" t="n"/>
      <ns0:c r="L265" s="9" t="str">
        <ns0:f>IF(AND(B265&lt;&gt;"",J265="在庫"),COUNTIFS($J$5:J265,"在庫",$B$5:B265,"&lt;&gt;"),"")</ns0:f>
        <ns0:v/>
      </ns0:c>
    </ns0:row>
    <ns0:row r="266">
      <ns0:c r="A266" s="5" t="n"/>
      <ns0:c r="B266" s="6" t="n"/>
      <ns0:c r="C266" s="6" t="n"/>
      <ns0:c r="D266" s="7" t="n"/>
      <ns0:c r="E266" s="7" t="n"/>
      <ns0:c r="F266" s="8" t="str">
        <ns0:f>IF(OR(B266="",J266&lt;&gt;"販売済み",E266="",C266=""),"",IFERROR(IF(OR(COUNTIF('手数料マスタ'!$A$5:$A$104,C266)&lt;&gt;1,COUNTIFS('手数料マスタ'!$A$5:$A$104,C266,'手数料マスタ'!$B$5:$B$104,"&lt;&gt;")&lt;&gt;1,NOT(ISNUMBER(VLOOKUP(C266,'手数料マスタ'!$A$5:$B$104,2,FALSE))),VLOOKUP(C266,'手数料マスタ'!$A$5:$B$104,2,FALSE)&lt;0,VLOOKUP(C266,'手数料マスタ'!$A$5:$B$104,2,FALSE)&gt;1),"要確認",ROUND(E266*VLOOKUP(C266,'手数料マスタ'!$A$5:$B$104,2,FALSE),0)),"要確認"))</ns0:f>
        <ns0:v/>
      </ns0:c>
      <ns0:c r="G266" s="7" t="n"/>
      <ns0:c r="H266" s="7" t="n"/>
      <ns0:c r="I266" s="8" t="str">
        <ns0:f>IF(OR(B266="",J266&lt;&gt;"販売済み",D266="",E266="",G266="",H266=""),"",IF(ISNUMBER(F266),E266-D266-F266-G266-H266,"要確認"))</ns0:f>
        <ns0:v/>
      </ns0:c>
      <ns0:c r="J266" s="6" t="n"/>
      <ns0:c r="K266" s="5" t="n"/>
      <ns0:c r="L266" s="9" t="str">
        <ns0:f>IF(AND(B266&lt;&gt;"",J266="在庫"),COUNTIFS($J$5:J266,"在庫",$B$5:B266,"&lt;&gt;"),"")</ns0:f>
        <ns0:v/>
      </ns0:c>
    </ns0:row>
    <ns0:row r="267">
      <ns0:c r="A267" s="5" t="n"/>
      <ns0:c r="B267" s="6" t="n"/>
      <ns0:c r="C267" s="6" t="n"/>
      <ns0:c r="D267" s="7" t="n"/>
      <ns0:c r="E267" s="7" t="n"/>
      <ns0:c r="F267" s="8" t="str">
        <ns0:f>IF(OR(B267="",J267&lt;&gt;"販売済み",E267="",C267=""),"",IFERROR(IF(OR(COUNTIF('手数料マスタ'!$A$5:$A$104,C267)&lt;&gt;1,COUNTIFS('手数料マスタ'!$A$5:$A$104,C267,'手数料マスタ'!$B$5:$B$104,"&lt;&gt;")&lt;&gt;1,NOT(ISNUMBER(VLOOKUP(C267,'手数料マスタ'!$A$5:$B$104,2,FALSE))),VLOOKUP(C267,'手数料マスタ'!$A$5:$B$104,2,FALSE)&lt;0,VLOOKUP(C267,'手数料マスタ'!$A$5:$B$104,2,FALSE)&gt;1),"要確認",ROUND(E267*VLOOKUP(C267,'手数料マスタ'!$A$5:$B$104,2,FALSE),0)),"要確認"))</ns0:f>
        <ns0:v/>
      </ns0:c>
      <ns0:c r="G267" s="7" t="n"/>
      <ns0:c r="H267" s="7" t="n"/>
      <ns0:c r="I267" s="8" t="str">
        <ns0:f>IF(OR(B267="",J267&lt;&gt;"販売済み",D267="",E267="",G267="",H267=""),"",IF(ISNUMBER(F267),E267-D267-F267-G267-H267,"要確認"))</ns0:f>
        <ns0:v/>
      </ns0:c>
      <ns0:c r="J267" s="6" t="n"/>
      <ns0:c r="K267" s="5" t="n"/>
      <ns0:c r="L267" s="9" t="str">
        <ns0:f>IF(AND(B267&lt;&gt;"",J267="在庫"),COUNTIFS($J$5:J267,"在庫",$B$5:B267,"&lt;&gt;"),"")</ns0:f>
        <ns0:v/>
      </ns0:c>
    </ns0:row>
    <ns0:row r="268">
      <ns0:c r="A268" s="5" t="n"/>
      <ns0:c r="B268" s="6" t="n"/>
      <ns0:c r="C268" s="6" t="n"/>
      <ns0:c r="D268" s="7" t="n"/>
      <ns0:c r="E268" s="7" t="n"/>
      <ns0:c r="F268" s="8" t="str">
        <ns0:f>IF(OR(B268="",J268&lt;&gt;"販売済み",E268="",C268=""),"",IFERROR(IF(OR(COUNTIF('手数料マスタ'!$A$5:$A$104,C268)&lt;&gt;1,COUNTIFS('手数料マスタ'!$A$5:$A$104,C268,'手数料マスタ'!$B$5:$B$104,"&lt;&gt;")&lt;&gt;1,NOT(ISNUMBER(VLOOKUP(C268,'手数料マスタ'!$A$5:$B$104,2,FALSE))),VLOOKUP(C268,'手数料マスタ'!$A$5:$B$104,2,FALSE)&lt;0,VLOOKUP(C268,'手数料マスタ'!$A$5:$B$104,2,FALSE)&gt;1),"要確認",ROUND(E268*VLOOKUP(C268,'手数料マスタ'!$A$5:$B$104,2,FALSE),0)),"要確認"))</ns0:f>
        <ns0:v/>
      </ns0:c>
      <ns0:c r="G268" s="7" t="n"/>
      <ns0:c r="H268" s="7" t="n"/>
      <ns0:c r="I268" s="8" t="str">
        <ns0:f>IF(OR(B268="",J268&lt;&gt;"販売済み",D268="",E268="",G268="",H268=""),"",IF(ISNUMBER(F268),E268-D268-F268-G268-H268,"要確認"))</ns0:f>
        <ns0:v/>
      </ns0:c>
      <ns0:c r="J268" s="6" t="n"/>
      <ns0:c r="K268" s="5" t="n"/>
      <ns0:c r="L268" s="9" t="str">
        <ns0:f>IF(AND(B268&lt;&gt;"",J268="在庫"),COUNTIFS($J$5:J268,"在庫",$B$5:B268,"&lt;&gt;"),"")</ns0:f>
        <ns0:v/>
      </ns0:c>
    </ns0:row>
    <ns0:row r="269">
      <ns0:c r="A269" s="5" t="n"/>
      <ns0:c r="B269" s="6" t="n"/>
      <ns0:c r="C269" s="6" t="n"/>
      <ns0:c r="D269" s="7" t="n"/>
      <ns0:c r="E269" s="7" t="n"/>
      <ns0:c r="F269" s="8" t="str">
        <ns0:f>IF(OR(B269="",J269&lt;&gt;"販売済み",E269="",C269=""),"",IFERROR(IF(OR(COUNTIF('手数料マスタ'!$A$5:$A$104,C269)&lt;&gt;1,COUNTIFS('手数料マスタ'!$A$5:$A$104,C269,'手数料マスタ'!$B$5:$B$104,"&lt;&gt;")&lt;&gt;1,NOT(ISNUMBER(VLOOKUP(C269,'手数料マスタ'!$A$5:$B$104,2,FALSE))),VLOOKUP(C269,'手数料マスタ'!$A$5:$B$104,2,FALSE)&lt;0,VLOOKUP(C269,'手数料マスタ'!$A$5:$B$104,2,FALSE)&gt;1),"要確認",ROUND(E269*VLOOKUP(C269,'手数料マスタ'!$A$5:$B$104,2,FALSE),0)),"要確認"))</ns0:f>
        <ns0:v/>
      </ns0:c>
      <ns0:c r="G269" s="7" t="n"/>
      <ns0:c r="H269" s="7" t="n"/>
      <ns0:c r="I269" s="8" t="str">
        <ns0:f>IF(OR(B269="",J269&lt;&gt;"販売済み",D269="",E269="",G269="",H269=""),"",IF(ISNUMBER(F269),E269-D269-F269-G269-H269,"要確認"))</ns0:f>
        <ns0:v/>
      </ns0:c>
      <ns0:c r="J269" s="6" t="n"/>
      <ns0:c r="K269" s="5" t="n"/>
      <ns0:c r="L269" s="9" t="str">
        <ns0:f>IF(AND(B269&lt;&gt;"",J269="在庫"),COUNTIFS($J$5:J269,"在庫",$B$5:B269,"&lt;&gt;"),"")</ns0:f>
        <ns0:v/>
      </ns0:c>
    </ns0:row>
    <ns0:row r="270">
      <ns0:c r="A270" s="5" t="n"/>
      <ns0:c r="B270" s="6" t="n"/>
      <ns0:c r="C270" s="6" t="n"/>
      <ns0:c r="D270" s="7" t="n"/>
      <ns0:c r="E270" s="7" t="n"/>
      <ns0:c r="F270" s="8" t="str">
        <ns0:f>IF(OR(B270="",J270&lt;&gt;"販売済み",E270="",C270=""),"",IFERROR(IF(OR(COUNTIF('手数料マスタ'!$A$5:$A$104,C270)&lt;&gt;1,COUNTIFS('手数料マスタ'!$A$5:$A$104,C270,'手数料マスタ'!$B$5:$B$104,"&lt;&gt;")&lt;&gt;1,NOT(ISNUMBER(VLOOKUP(C270,'手数料マスタ'!$A$5:$B$104,2,FALSE))),VLOOKUP(C270,'手数料マスタ'!$A$5:$B$104,2,FALSE)&lt;0,VLOOKUP(C270,'手数料マスタ'!$A$5:$B$104,2,FALSE)&gt;1),"要確認",ROUND(E270*VLOOKUP(C270,'手数料マスタ'!$A$5:$B$104,2,FALSE),0)),"要確認"))</ns0:f>
        <ns0:v/>
      </ns0:c>
      <ns0:c r="G270" s="7" t="n"/>
      <ns0:c r="H270" s="7" t="n"/>
      <ns0:c r="I270" s="8" t="str">
        <ns0:f>IF(OR(B270="",J270&lt;&gt;"販売済み",D270="",E270="",G270="",H270=""),"",IF(ISNUMBER(F270),E270-D270-F270-G270-H270,"要確認"))</ns0:f>
        <ns0:v/>
      </ns0:c>
      <ns0:c r="J270" s="6" t="n"/>
      <ns0:c r="K270" s="5" t="n"/>
      <ns0:c r="L270" s="9" t="str">
        <ns0:f>IF(AND(B270&lt;&gt;"",J270="在庫"),COUNTIFS($J$5:J270,"在庫",$B$5:B270,"&lt;&gt;"),"")</ns0:f>
        <ns0:v/>
      </ns0:c>
    </ns0:row>
    <ns0:row r="271">
      <ns0:c r="A271" s="5" t="n"/>
      <ns0:c r="B271" s="6" t="n"/>
      <ns0:c r="C271" s="6" t="n"/>
      <ns0:c r="D271" s="7" t="n"/>
      <ns0:c r="E271" s="7" t="n"/>
      <ns0:c r="F271" s="8" t="str">
        <ns0:f>IF(OR(B271="",J271&lt;&gt;"販売済み",E271="",C271=""),"",IFERROR(IF(OR(COUNTIF('手数料マスタ'!$A$5:$A$104,C271)&lt;&gt;1,COUNTIFS('手数料マスタ'!$A$5:$A$104,C271,'手数料マスタ'!$B$5:$B$104,"&lt;&gt;")&lt;&gt;1,NOT(ISNUMBER(VLOOKUP(C271,'手数料マスタ'!$A$5:$B$104,2,FALSE))),VLOOKUP(C271,'手数料マスタ'!$A$5:$B$104,2,FALSE)&lt;0,VLOOKUP(C271,'手数料マスタ'!$A$5:$B$104,2,FALSE)&gt;1),"要確認",ROUND(E271*VLOOKUP(C271,'手数料マスタ'!$A$5:$B$104,2,FALSE),0)),"要確認"))</ns0:f>
        <ns0:v/>
      </ns0:c>
      <ns0:c r="G271" s="7" t="n"/>
      <ns0:c r="H271" s="7" t="n"/>
      <ns0:c r="I271" s="8" t="str">
        <ns0:f>IF(OR(B271="",J271&lt;&gt;"販売済み",D271="",E271="",G271="",H271=""),"",IF(ISNUMBER(F271),E271-D271-F271-G271-H271,"要確認"))</ns0:f>
        <ns0:v/>
      </ns0:c>
      <ns0:c r="J271" s="6" t="n"/>
      <ns0:c r="K271" s="5" t="n"/>
      <ns0:c r="L271" s="9" t="str">
        <ns0:f>IF(AND(B271&lt;&gt;"",J271="在庫"),COUNTIFS($J$5:J271,"在庫",$B$5:B271,"&lt;&gt;"),"")</ns0:f>
        <ns0:v/>
      </ns0:c>
    </ns0:row>
    <ns0:row r="272">
      <ns0:c r="A272" s="5" t="n"/>
      <ns0:c r="B272" s="6" t="n"/>
      <ns0:c r="C272" s="6" t="n"/>
      <ns0:c r="D272" s="7" t="n"/>
      <ns0:c r="E272" s="7" t="n"/>
      <ns0:c r="F272" s="8" t="str">
        <ns0:f>IF(OR(B272="",J272&lt;&gt;"販売済み",E272="",C272=""),"",IFERROR(IF(OR(COUNTIF('手数料マスタ'!$A$5:$A$104,C272)&lt;&gt;1,COUNTIFS('手数料マスタ'!$A$5:$A$104,C272,'手数料マスタ'!$B$5:$B$104,"&lt;&gt;")&lt;&gt;1,NOT(ISNUMBER(VLOOKUP(C272,'手数料マスタ'!$A$5:$B$104,2,FALSE))),VLOOKUP(C272,'手数料マスタ'!$A$5:$B$104,2,FALSE)&lt;0,VLOOKUP(C272,'手数料マスタ'!$A$5:$B$104,2,FALSE)&gt;1),"要確認",ROUND(E272*VLOOKUP(C272,'手数料マスタ'!$A$5:$B$104,2,FALSE),0)),"要確認"))</ns0:f>
        <ns0:v/>
      </ns0:c>
      <ns0:c r="G272" s="7" t="n"/>
      <ns0:c r="H272" s="7" t="n"/>
      <ns0:c r="I272" s="8" t="str">
        <ns0:f>IF(OR(B272="",J272&lt;&gt;"販売済み",D272="",E272="",G272="",H272=""),"",IF(ISNUMBER(F272),E272-D272-F272-G272-H272,"要確認"))</ns0:f>
        <ns0:v/>
      </ns0:c>
      <ns0:c r="J272" s="6" t="n"/>
      <ns0:c r="K272" s="5" t="n"/>
      <ns0:c r="L272" s="9" t="str">
        <ns0:f>IF(AND(B272&lt;&gt;"",J272="在庫"),COUNTIFS($J$5:J272,"在庫",$B$5:B272,"&lt;&gt;"),"")</ns0:f>
        <ns0:v/>
      </ns0:c>
    </ns0:row>
    <ns0:row r="273">
      <ns0:c r="A273" s="5" t="n"/>
      <ns0:c r="B273" s="6" t="n"/>
      <ns0:c r="C273" s="6" t="n"/>
      <ns0:c r="D273" s="7" t="n"/>
      <ns0:c r="E273" s="7" t="n"/>
      <ns0:c r="F273" s="8" t="str">
        <ns0:f>IF(OR(B273="",J273&lt;&gt;"販売済み",E273="",C273=""),"",IFERROR(IF(OR(COUNTIF('手数料マスタ'!$A$5:$A$104,C273)&lt;&gt;1,COUNTIFS('手数料マスタ'!$A$5:$A$104,C273,'手数料マスタ'!$B$5:$B$104,"&lt;&gt;")&lt;&gt;1,NOT(ISNUMBER(VLOOKUP(C273,'手数料マスタ'!$A$5:$B$104,2,FALSE))),VLOOKUP(C273,'手数料マスタ'!$A$5:$B$104,2,FALSE)&lt;0,VLOOKUP(C273,'手数料マスタ'!$A$5:$B$104,2,FALSE)&gt;1),"要確認",ROUND(E273*VLOOKUP(C273,'手数料マスタ'!$A$5:$B$104,2,FALSE),0)),"要確認"))</ns0:f>
        <ns0:v/>
      </ns0:c>
      <ns0:c r="G273" s="7" t="n"/>
      <ns0:c r="H273" s="7" t="n"/>
      <ns0:c r="I273" s="8" t="str">
        <ns0:f>IF(OR(B273="",J273&lt;&gt;"販売済み",D273="",E273="",G273="",H273=""),"",IF(ISNUMBER(F273),E273-D273-F273-G273-H273,"要確認"))</ns0:f>
        <ns0:v/>
      </ns0:c>
      <ns0:c r="J273" s="6" t="n"/>
      <ns0:c r="K273" s="5" t="n"/>
      <ns0:c r="L273" s="9" t="str">
        <ns0:f>IF(AND(B273&lt;&gt;"",J273="在庫"),COUNTIFS($J$5:J273,"在庫",$B$5:B273,"&lt;&gt;"),"")</ns0:f>
        <ns0:v/>
      </ns0:c>
    </ns0:row>
    <ns0:row r="274">
      <ns0:c r="A274" s="5" t="n"/>
      <ns0:c r="B274" s="6" t="n"/>
      <ns0:c r="C274" s="6" t="n"/>
      <ns0:c r="D274" s="7" t="n"/>
      <ns0:c r="E274" s="7" t="n"/>
      <ns0:c r="F274" s="8" t="str">
        <ns0:f>IF(OR(B274="",J274&lt;&gt;"販売済み",E274="",C274=""),"",IFERROR(IF(OR(COUNTIF('手数料マスタ'!$A$5:$A$104,C274)&lt;&gt;1,COUNTIFS('手数料マスタ'!$A$5:$A$104,C274,'手数料マスタ'!$B$5:$B$104,"&lt;&gt;")&lt;&gt;1,NOT(ISNUMBER(VLOOKUP(C274,'手数料マスタ'!$A$5:$B$104,2,FALSE))),VLOOKUP(C274,'手数料マスタ'!$A$5:$B$104,2,FALSE)&lt;0,VLOOKUP(C274,'手数料マスタ'!$A$5:$B$104,2,FALSE)&gt;1),"要確認",ROUND(E274*VLOOKUP(C274,'手数料マスタ'!$A$5:$B$104,2,FALSE),0)),"要確認"))</ns0:f>
        <ns0:v/>
      </ns0:c>
      <ns0:c r="G274" s="7" t="n"/>
      <ns0:c r="H274" s="7" t="n"/>
      <ns0:c r="I274" s="8" t="str">
        <ns0:f>IF(OR(B274="",J274&lt;&gt;"販売済み",D274="",E274="",G274="",H274=""),"",IF(ISNUMBER(F274),E274-D274-F274-G274-H274,"要確認"))</ns0:f>
        <ns0:v/>
      </ns0:c>
      <ns0:c r="J274" s="6" t="n"/>
      <ns0:c r="K274" s="5" t="n"/>
      <ns0:c r="L274" s="9" t="str">
        <ns0:f>IF(AND(B274&lt;&gt;"",J274="在庫"),COUNTIFS($J$5:J274,"在庫",$B$5:B274,"&lt;&gt;"),"")</ns0:f>
        <ns0:v/>
      </ns0:c>
    </ns0:row>
    <ns0:row r="275">
      <ns0:c r="A275" s="5" t="n"/>
      <ns0:c r="B275" s="6" t="n"/>
      <ns0:c r="C275" s="6" t="n"/>
      <ns0:c r="D275" s="7" t="n"/>
      <ns0:c r="E275" s="7" t="n"/>
      <ns0:c r="F275" s="8" t="str">
        <ns0:f>IF(OR(B275="",J275&lt;&gt;"販売済み",E275="",C275=""),"",IFERROR(IF(OR(COUNTIF('手数料マスタ'!$A$5:$A$104,C275)&lt;&gt;1,COUNTIFS('手数料マスタ'!$A$5:$A$104,C275,'手数料マスタ'!$B$5:$B$104,"&lt;&gt;")&lt;&gt;1,NOT(ISNUMBER(VLOOKUP(C275,'手数料マスタ'!$A$5:$B$104,2,FALSE))),VLOOKUP(C275,'手数料マスタ'!$A$5:$B$104,2,FALSE)&lt;0,VLOOKUP(C275,'手数料マスタ'!$A$5:$B$104,2,FALSE)&gt;1),"要確認",ROUND(E275*VLOOKUP(C275,'手数料マスタ'!$A$5:$B$104,2,FALSE),0)),"要確認"))</ns0:f>
        <ns0:v/>
      </ns0:c>
      <ns0:c r="G275" s="7" t="n"/>
      <ns0:c r="H275" s="7" t="n"/>
      <ns0:c r="I275" s="8" t="str">
        <ns0:f>IF(OR(B275="",J275&lt;&gt;"販売済み",D275="",E275="",G275="",H275=""),"",IF(ISNUMBER(F275),E275-D275-F275-G275-H275,"要確認"))</ns0:f>
        <ns0:v/>
      </ns0:c>
      <ns0:c r="J275" s="6" t="n"/>
      <ns0:c r="K275" s="5" t="n"/>
      <ns0:c r="L275" s="9" t="str">
        <ns0:f>IF(AND(B275&lt;&gt;"",J275="在庫"),COUNTIFS($J$5:J275,"在庫",$B$5:B275,"&lt;&gt;"),"")</ns0:f>
        <ns0:v/>
      </ns0:c>
    </ns0:row>
    <ns0:row r="276">
      <ns0:c r="A276" s="5" t="n"/>
      <ns0:c r="B276" s="6" t="n"/>
      <ns0:c r="C276" s="6" t="n"/>
      <ns0:c r="D276" s="7" t="n"/>
      <ns0:c r="E276" s="7" t="n"/>
      <ns0:c r="F276" s="8" t="str">
        <ns0:f>IF(OR(B276="",J276&lt;&gt;"販売済み",E276="",C276=""),"",IFERROR(IF(OR(COUNTIF('手数料マスタ'!$A$5:$A$104,C276)&lt;&gt;1,COUNTIFS('手数料マスタ'!$A$5:$A$104,C276,'手数料マスタ'!$B$5:$B$104,"&lt;&gt;")&lt;&gt;1,NOT(ISNUMBER(VLOOKUP(C276,'手数料マスタ'!$A$5:$B$104,2,FALSE))),VLOOKUP(C276,'手数料マスタ'!$A$5:$B$104,2,FALSE)&lt;0,VLOOKUP(C276,'手数料マスタ'!$A$5:$B$104,2,FALSE)&gt;1),"要確認",ROUND(E276*VLOOKUP(C276,'手数料マスタ'!$A$5:$B$104,2,FALSE),0)),"要確認"))</ns0:f>
        <ns0:v/>
      </ns0:c>
      <ns0:c r="G276" s="7" t="n"/>
      <ns0:c r="H276" s="7" t="n"/>
      <ns0:c r="I276" s="8" t="str">
        <ns0:f>IF(OR(B276="",J276&lt;&gt;"販売済み",D276="",E276="",G276="",H276=""),"",IF(ISNUMBER(F276),E276-D276-F276-G276-H276,"要確認"))</ns0:f>
        <ns0:v/>
      </ns0:c>
      <ns0:c r="J276" s="6" t="n"/>
      <ns0:c r="K276" s="5" t="n"/>
      <ns0:c r="L276" s="9" t="str">
        <ns0:f>IF(AND(B276&lt;&gt;"",J276="在庫"),COUNTIFS($J$5:J276,"在庫",$B$5:B276,"&lt;&gt;"),"")</ns0:f>
        <ns0:v/>
      </ns0:c>
    </ns0:row>
    <ns0:row r="277">
      <ns0:c r="A277" s="5" t="n"/>
      <ns0:c r="B277" s="6" t="n"/>
      <ns0:c r="C277" s="6" t="n"/>
      <ns0:c r="D277" s="7" t="n"/>
      <ns0:c r="E277" s="7" t="n"/>
      <ns0:c r="F277" s="8" t="str">
        <ns0:f>IF(OR(B277="",J277&lt;&gt;"販売済み",E277="",C277=""),"",IFERROR(IF(OR(COUNTIF('手数料マスタ'!$A$5:$A$104,C277)&lt;&gt;1,COUNTIFS('手数料マスタ'!$A$5:$A$104,C277,'手数料マスタ'!$B$5:$B$104,"&lt;&gt;")&lt;&gt;1,NOT(ISNUMBER(VLOOKUP(C277,'手数料マスタ'!$A$5:$B$104,2,FALSE))),VLOOKUP(C277,'手数料マスタ'!$A$5:$B$104,2,FALSE)&lt;0,VLOOKUP(C277,'手数料マスタ'!$A$5:$B$104,2,FALSE)&gt;1),"要確認",ROUND(E277*VLOOKUP(C277,'手数料マスタ'!$A$5:$B$104,2,FALSE),0)),"要確認"))</ns0:f>
        <ns0:v/>
      </ns0:c>
      <ns0:c r="G277" s="7" t="n"/>
      <ns0:c r="H277" s="7" t="n"/>
      <ns0:c r="I277" s="8" t="str">
        <ns0:f>IF(OR(B277="",J277&lt;&gt;"販売済み",D277="",E277="",G277="",H277=""),"",IF(ISNUMBER(F277),E277-D277-F277-G277-H277,"要確認"))</ns0:f>
        <ns0:v/>
      </ns0:c>
      <ns0:c r="J277" s="6" t="n"/>
      <ns0:c r="K277" s="5" t="n"/>
      <ns0:c r="L277" s="9" t="str">
        <ns0:f>IF(AND(B277&lt;&gt;"",J277="在庫"),COUNTIFS($J$5:J277,"在庫",$B$5:B277,"&lt;&gt;"),"")</ns0:f>
        <ns0:v/>
      </ns0:c>
    </ns0:row>
    <ns0:row r="278">
      <ns0:c r="A278" s="5" t="n"/>
      <ns0:c r="B278" s="6" t="n"/>
      <ns0:c r="C278" s="6" t="n"/>
      <ns0:c r="D278" s="7" t="n"/>
      <ns0:c r="E278" s="7" t="n"/>
      <ns0:c r="F278" s="8" t="str">
        <ns0:f>IF(OR(B278="",J278&lt;&gt;"販売済み",E278="",C278=""),"",IFERROR(IF(OR(COUNTIF('手数料マスタ'!$A$5:$A$104,C278)&lt;&gt;1,COUNTIFS('手数料マスタ'!$A$5:$A$104,C278,'手数料マスタ'!$B$5:$B$104,"&lt;&gt;")&lt;&gt;1,NOT(ISNUMBER(VLOOKUP(C278,'手数料マスタ'!$A$5:$B$104,2,FALSE))),VLOOKUP(C278,'手数料マスタ'!$A$5:$B$104,2,FALSE)&lt;0,VLOOKUP(C278,'手数料マスタ'!$A$5:$B$104,2,FALSE)&gt;1),"要確認",ROUND(E278*VLOOKUP(C278,'手数料マスタ'!$A$5:$B$104,2,FALSE),0)),"要確認"))</ns0:f>
        <ns0:v/>
      </ns0:c>
      <ns0:c r="G278" s="7" t="n"/>
      <ns0:c r="H278" s="7" t="n"/>
      <ns0:c r="I278" s="8" t="str">
        <ns0:f>IF(OR(B278="",J278&lt;&gt;"販売済み",D278="",E278="",G278="",H278=""),"",IF(ISNUMBER(F278),E278-D278-F278-G278-H278,"要確認"))</ns0:f>
        <ns0:v/>
      </ns0:c>
      <ns0:c r="J278" s="6" t="n"/>
      <ns0:c r="K278" s="5" t="n"/>
      <ns0:c r="L278" s="9" t="str">
        <ns0:f>IF(AND(B278&lt;&gt;"",J278="在庫"),COUNTIFS($J$5:J278,"在庫",$B$5:B278,"&lt;&gt;"),"")</ns0:f>
        <ns0:v/>
      </ns0:c>
    </ns0:row>
    <ns0:row r="279">
      <ns0:c r="A279" s="5" t="n"/>
      <ns0:c r="B279" s="6" t="n"/>
      <ns0:c r="C279" s="6" t="n"/>
      <ns0:c r="D279" s="7" t="n"/>
      <ns0:c r="E279" s="7" t="n"/>
      <ns0:c r="F279" s="8" t="str">
        <ns0:f>IF(OR(B279="",J279&lt;&gt;"販売済み",E279="",C279=""),"",IFERROR(IF(OR(COUNTIF('手数料マスタ'!$A$5:$A$104,C279)&lt;&gt;1,COUNTIFS('手数料マスタ'!$A$5:$A$104,C279,'手数料マスタ'!$B$5:$B$104,"&lt;&gt;")&lt;&gt;1,NOT(ISNUMBER(VLOOKUP(C279,'手数料マスタ'!$A$5:$B$104,2,FALSE))),VLOOKUP(C279,'手数料マスタ'!$A$5:$B$104,2,FALSE)&lt;0,VLOOKUP(C279,'手数料マスタ'!$A$5:$B$104,2,FALSE)&gt;1),"要確認",ROUND(E279*VLOOKUP(C279,'手数料マスタ'!$A$5:$B$104,2,FALSE),0)),"要確認"))</ns0:f>
        <ns0:v/>
      </ns0:c>
      <ns0:c r="G279" s="7" t="n"/>
      <ns0:c r="H279" s="7" t="n"/>
      <ns0:c r="I279" s="8" t="str">
        <ns0:f>IF(OR(B279="",J279&lt;&gt;"販売済み",D279="",E279="",G279="",H279=""),"",IF(ISNUMBER(F279),E279-D279-F279-G279-H279,"要確認"))</ns0:f>
        <ns0:v/>
      </ns0:c>
      <ns0:c r="J279" s="6" t="n"/>
      <ns0:c r="K279" s="5" t="n"/>
      <ns0:c r="L279" s="9" t="str">
        <ns0:f>IF(AND(B279&lt;&gt;"",J279="在庫"),COUNTIFS($J$5:J279,"在庫",$B$5:B279,"&lt;&gt;"),"")</ns0:f>
        <ns0:v/>
      </ns0:c>
    </ns0:row>
    <ns0:row r="280">
      <ns0:c r="A280" s="5" t="n"/>
      <ns0:c r="B280" s="6" t="n"/>
      <ns0:c r="C280" s="6" t="n"/>
      <ns0:c r="D280" s="7" t="n"/>
      <ns0:c r="E280" s="7" t="n"/>
      <ns0:c r="F280" s="8" t="str">
        <ns0:f>IF(OR(B280="",J280&lt;&gt;"販売済み",E280="",C280=""),"",IFERROR(IF(OR(COUNTIF('手数料マスタ'!$A$5:$A$104,C280)&lt;&gt;1,COUNTIFS('手数料マスタ'!$A$5:$A$104,C280,'手数料マスタ'!$B$5:$B$104,"&lt;&gt;")&lt;&gt;1,NOT(ISNUMBER(VLOOKUP(C280,'手数料マスタ'!$A$5:$B$104,2,FALSE))),VLOOKUP(C280,'手数料マスタ'!$A$5:$B$104,2,FALSE)&lt;0,VLOOKUP(C280,'手数料マスタ'!$A$5:$B$104,2,FALSE)&gt;1),"要確認",ROUND(E280*VLOOKUP(C280,'手数料マスタ'!$A$5:$B$104,2,FALSE),0)),"要確認"))</ns0:f>
        <ns0:v/>
      </ns0:c>
      <ns0:c r="G280" s="7" t="n"/>
      <ns0:c r="H280" s="7" t="n"/>
      <ns0:c r="I280" s="8" t="str">
        <ns0:f>IF(OR(B280="",J280&lt;&gt;"販売済み",D280="",E280="",G280="",H280=""),"",IF(ISNUMBER(F280),E280-D280-F280-G280-H280,"要確認"))</ns0:f>
        <ns0:v/>
      </ns0:c>
      <ns0:c r="J280" s="6" t="n"/>
      <ns0:c r="K280" s="5" t="n"/>
      <ns0:c r="L280" s="9" t="str">
        <ns0:f>IF(AND(B280&lt;&gt;"",J280="在庫"),COUNTIFS($J$5:J280,"在庫",$B$5:B280,"&lt;&gt;"),"")</ns0:f>
        <ns0:v/>
      </ns0:c>
    </ns0:row>
    <ns0:row r="281">
      <ns0:c r="A281" s="5" t="n"/>
      <ns0:c r="B281" s="6" t="n"/>
      <ns0:c r="C281" s="6" t="n"/>
      <ns0:c r="D281" s="7" t="n"/>
      <ns0:c r="E281" s="7" t="n"/>
      <ns0:c r="F281" s="8" t="str">
        <ns0:f>IF(OR(B281="",J281&lt;&gt;"販売済み",E281="",C281=""),"",IFERROR(IF(OR(COUNTIF('手数料マスタ'!$A$5:$A$104,C281)&lt;&gt;1,COUNTIFS('手数料マスタ'!$A$5:$A$104,C281,'手数料マスタ'!$B$5:$B$104,"&lt;&gt;")&lt;&gt;1,NOT(ISNUMBER(VLOOKUP(C281,'手数料マスタ'!$A$5:$B$104,2,FALSE))),VLOOKUP(C281,'手数料マスタ'!$A$5:$B$104,2,FALSE)&lt;0,VLOOKUP(C281,'手数料マスタ'!$A$5:$B$104,2,FALSE)&gt;1),"要確認",ROUND(E281*VLOOKUP(C281,'手数料マスタ'!$A$5:$B$104,2,FALSE),0)),"要確認"))</ns0:f>
        <ns0:v/>
      </ns0:c>
      <ns0:c r="G281" s="7" t="n"/>
      <ns0:c r="H281" s="7" t="n"/>
      <ns0:c r="I281" s="8" t="str">
        <ns0:f>IF(OR(B281="",J281&lt;&gt;"販売済み",D281="",E281="",G281="",H281=""),"",IF(ISNUMBER(F281),E281-D281-F281-G281-H281,"要確認"))</ns0:f>
        <ns0:v/>
      </ns0:c>
      <ns0:c r="J281" s="6" t="n"/>
      <ns0:c r="K281" s="5" t="n"/>
      <ns0:c r="L281" s="9" t="str">
        <ns0:f>IF(AND(B281&lt;&gt;"",J281="在庫"),COUNTIFS($J$5:J281,"在庫",$B$5:B281,"&lt;&gt;"),"")</ns0:f>
        <ns0:v/>
      </ns0:c>
    </ns0:row>
    <ns0:row r="282">
      <ns0:c r="A282" s="5" t="n"/>
      <ns0:c r="B282" s="6" t="n"/>
      <ns0:c r="C282" s="6" t="n"/>
      <ns0:c r="D282" s="7" t="n"/>
      <ns0:c r="E282" s="7" t="n"/>
      <ns0:c r="F282" s="8" t="str">
        <ns0:f>IF(OR(B282="",J282&lt;&gt;"販売済み",E282="",C282=""),"",IFERROR(IF(OR(COUNTIF('手数料マスタ'!$A$5:$A$104,C282)&lt;&gt;1,COUNTIFS('手数料マスタ'!$A$5:$A$104,C282,'手数料マスタ'!$B$5:$B$104,"&lt;&gt;")&lt;&gt;1,NOT(ISNUMBER(VLOOKUP(C282,'手数料マスタ'!$A$5:$B$104,2,FALSE))),VLOOKUP(C282,'手数料マスタ'!$A$5:$B$104,2,FALSE)&lt;0,VLOOKUP(C282,'手数料マスタ'!$A$5:$B$104,2,FALSE)&gt;1),"要確認",ROUND(E282*VLOOKUP(C282,'手数料マスタ'!$A$5:$B$104,2,FALSE),0)),"要確認"))</ns0:f>
        <ns0:v/>
      </ns0:c>
      <ns0:c r="G282" s="7" t="n"/>
      <ns0:c r="H282" s="7" t="n"/>
      <ns0:c r="I282" s="8" t="str">
        <ns0:f>IF(OR(B282="",J282&lt;&gt;"販売済み",D282="",E282="",G282="",H282=""),"",IF(ISNUMBER(F282),E282-D282-F282-G282-H282,"要確認"))</ns0:f>
        <ns0:v/>
      </ns0:c>
      <ns0:c r="J282" s="6" t="n"/>
      <ns0:c r="K282" s="5" t="n"/>
      <ns0:c r="L282" s="9" t="str">
        <ns0:f>IF(AND(B282&lt;&gt;"",J282="在庫"),COUNTIFS($J$5:J282,"在庫",$B$5:B282,"&lt;&gt;"),"")</ns0:f>
        <ns0:v/>
      </ns0:c>
    </ns0:row>
    <ns0:row r="283">
      <ns0:c r="A283" s="5" t="n"/>
      <ns0:c r="B283" s="6" t="n"/>
      <ns0:c r="C283" s="6" t="n"/>
      <ns0:c r="D283" s="7" t="n"/>
      <ns0:c r="E283" s="7" t="n"/>
      <ns0:c r="F283" s="8" t="str">
        <ns0:f>IF(OR(B283="",J283&lt;&gt;"販売済み",E283="",C283=""),"",IFERROR(IF(OR(COUNTIF('手数料マスタ'!$A$5:$A$104,C283)&lt;&gt;1,COUNTIFS('手数料マスタ'!$A$5:$A$104,C283,'手数料マスタ'!$B$5:$B$104,"&lt;&gt;")&lt;&gt;1,NOT(ISNUMBER(VLOOKUP(C283,'手数料マスタ'!$A$5:$B$104,2,FALSE))),VLOOKUP(C283,'手数料マスタ'!$A$5:$B$104,2,FALSE)&lt;0,VLOOKUP(C283,'手数料マスタ'!$A$5:$B$104,2,FALSE)&gt;1),"要確認",ROUND(E283*VLOOKUP(C283,'手数料マスタ'!$A$5:$B$104,2,FALSE),0)),"要確認"))</ns0:f>
        <ns0:v/>
      </ns0:c>
      <ns0:c r="G283" s="7" t="n"/>
      <ns0:c r="H283" s="7" t="n"/>
      <ns0:c r="I283" s="8" t="str">
        <ns0:f>IF(OR(B283="",J283&lt;&gt;"販売済み",D283="",E283="",G283="",H283=""),"",IF(ISNUMBER(F283),E283-D283-F283-G283-H283,"要確認"))</ns0:f>
        <ns0:v/>
      </ns0:c>
      <ns0:c r="J283" s="6" t="n"/>
      <ns0:c r="K283" s="5" t="n"/>
      <ns0:c r="L283" s="9" t="str">
        <ns0:f>IF(AND(B283&lt;&gt;"",J283="在庫"),COUNTIFS($J$5:J283,"在庫",$B$5:B283,"&lt;&gt;"),"")</ns0:f>
        <ns0:v/>
      </ns0:c>
    </ns0:row>
    <ns0:row r="284">
      <ns0:c r="A284" s="5" t="n"/>
      <ns0:c r="B284" s="6" t="n"/>
      <ns0:c r="C284" s="6" t="n"/>
      <ns0:c r="D284" s="7" t="n"/>
      <ns0:c r="E284" s="7" t="n"/>
      <ns0:c r="F284" s="8" t="str">
        <ns0:f>IF(OR(B284="",J284&lt;&gt;"販売済み",E284="",C284=""),"",IFERROR(IF(OR(COUNTIF('手数料マスタ'!$A$5:$A$104,C284)&lt;&gt;1,COUNTIFS('手数料マスタ'!$A$5:$A$104,C284,'手数料マスタ'!$B$5:$B$104,"&lt;&gt;")&lt;&gt;1,NOT(ISNUMBER(VLOOKUP(C284,'手数料マスタ'!$A$5:$B$104,2,FALSE))),VLOOKUP(C284,'手数料マスタ'!$A$5:$B$104,2,FALSE)&lt;0,VLOOKUP(C284,'手数料マスタ'!$A$5:$B$104,2,FALSE)&gt;1),"要確認",ROUND(E284*VLOOKUP(C284,'手数料マスタ'!$A$5:$B$104,2,FALSE),0)),"要確認"))</ns0:f>
        <ns0:v/>
      </ns0:c>
      <ns0:c r="G284" s="7" t="n"/>
      <ns0:c r="H284" s="7" t="n"/>
      <ns0:c r="I284" s="8" t="str">
        <ns0:f>IF(OR(B284="",J284&lt;&gt;"販売済み",D284="",E284="",G284="",H284=""),"",IF(ISNUMBER(F284),E284-D284-F284-G284-H284,"要確認"))</ns0:f>
        <ns0:v/>
      </ns0:c>
      <ns0:c r="J284" s="6" t="n"/>
      <ns0:c r="K284" s="5" t="n"/>
      <ns0:c r="L284" s="9" t="str">
        <ns0:f>IF(AND(B284&lt;&gt;"",J284="在庫"),COUNTIFS($J$5:J284,"在庫",$B$5:B284,"&lt;&gt;"),"")</ns0:f>
        <ns0:v/>
      </ns0:c>
    </ns0:row>
    <ns0:row r="285">
      <ns0:c r="A285" s="5" t="n"/>
      <ns0:c r="B285" s="6" t="n"/>
      <ns0:c r="C285" s="6" t="n"/>
      <ns0:c r="D285" s="7" t="n"/>
      <ns0:c r="E285" s="7" t="n"/>
      <ns0:c r="F285" s="8" t="str">
        <ns0:f>IF(OR(B285="",J285&lt;&gt;"販売済み",E285="",C285=""),"",IFERROR(IF(OR(COUNTIF('手数料マスタ'!$A$5:$A$104,C285)&lt;&gt;1,COUNTIFS('手数料マスタ'!$A$5:$A$104,C285,'手数料マスタ'!$B$5:$B$104,"&lt;&gt;")&lt;&gt;1,NOT(ISNUMBER(VLOOKUP(C285,'手数料マスタ'!$A$5:$B$104,2,FALSE))),VLOOKUP(C285,'手数料マスタ'!$A$5:$B$104,2,FALSE)&lt;0,VLOOKUP(C285,'手数料マスタ'!$A$5:$B$104,2,FALSE)&gt;1),"要確認",ROUND(E285*VLOOKUP(C285,'手数料マスタ'!$A$5:$B$104,2,FALSE),0)),"要確認"))</ns0:f>
        <ns0:v/>
      </ns0:c>
      <ns0:c r="G285" s="7" t="n"/>
      <ns0:c r="H285" s="7" t="n"/>
      <ns0:c r="I285" s="8" t="str">
        <ns0:f>IF(OR(B285="",J285&lt;&gt;"販売済み",D285="",E285="",G285="",H285=""),"",IF(ISNUMBER(F285),E285-D285-F285-G285-H285,"要確認"))</ns0:f>
        <ns0:v/>
      </ns0:c>
      <ns0:c r="J285" s="6" t="n"/>
      <ns0:c r="K285" s="5" t="n"/>
      <ns0:c r="L285" s="9" t="str">
        <ns0:f>IF(AND(B285&lt;&gt;"",J285="在庫"),COUNTIFS($J$5:J285,"在庫",$B$5:B285,"&lt;&gt;"),"")</ns0:f>
        <ns0:v/>
      </ns0:c>
    </ns0:row>
    <ns0:row r="286">
      <ns0:c r="A286" s="5" t="n"/>
      <ns0:c r="B286" s="6" t="n"/>
      <ns0:c r="C286" s="6" t="n"/>
      <ns0:c r="D286" s="7" t="n"/>
      <ns0:c r="E286" s="7" t="n"/>
      <ns0:c r="F286" s="8" t="str">
        <ns0:f>IF(OR(B286="",J286&lt;&gt;"販売済み",E286="",C286=""),"",IFERROR(IF(OR(COUNTIF('手数料マスタ'!$A$5:$A$104,C286)&lt;&gt;1,COUNTIFS('手数料マスタ'!$A$5:$A$104,C286,'手数料マスタ'!$B$5:$B$104,"&lt;&gt;")&lt;&gt;1,NOT(ISNUMBER(VLOOKUP(C286,'手数料マスタ'!$A$5:$B$104,2,FALSE))),VLOOKUP(C286,'手数料マスタ'!$A$5:$B$104,2,FALSE)&lt;0,VLOOKUP(C286,'手数料マスタ'!$A$5:$B$104,2,FALSE)&gt;1),"要確認",ROUND(E286*VLOOKUP(C286,'手数料マスタ'!$A$5:$B$104,2,FALSE),0)),"要確認"))</ns0:f>
        <ns0:v/>
      </ns0:c>
      <ns0:c r="G286" s="7" t="n"/>
      <ns0:c r="H286" s="7" t="n"/>
      <ns0:c r="I286" s="8" t="str">
        <ns0:f>IF(OR(B286="",J286&lt;&gt;"販売済み",D286="",E286="",G286="",H286=""),"",IF(ISNUMBER(F286),E286-D286-F286-G286-H286,"要確認"))</ns0:f>
        <ns0:v/>
      </ns0:c>
      <ns0:c r="J286" s="6" t="n"/>
      <ns0:c r="K286" s="5" t="n"/>
      <ns0:c r="L286" s="9" t="str">
        <ns0:f>IF(AND(B286&lt;&gt;"",J286="在庫"),COUNTIFS($J$5:J286,"在庫",$B$5:B286,"&lt;&gt;"),"")</ns0:f>
        <ns0:v/>
      </ns0:c>
    </ns0:row>
    <ns0:row r="287">
      <ns0:c r="A287" s="5" t="n"/>
      <ns0:c r="B287" s="6" t="n"/>
      <ns0:c r="C287" s="6" t="n"/>
      <ns0:c r="D287" s="7" t="n"/>
      <ns0:c r="E287" s="7" t="n"/>
      <ns0:c r="F287" s="8" t="str">
        <ns0:f>IF(OR(B287="",J287&lt;&gt;"販売済み",E287="",C287=""),"",IFERROR(IF(OR(COUNTIF('手数料マスタ'!$A$5:$A$104,C287)&lt;&gt;1,COUNTIFS('手数料マスタ'!$A$5:$A$104,C287,'手数料マスタ'!$B$5:$B$104,"&lt;&gt;")&lt;&gt;1,NOT(ISNUMBER(VLOOKUP(C287,'手数料マスタ'!$A$5:$B$104,2,FALSE))),VLOOKUP(C287,'手数料マスタ'!$A$5:$B$104,2,FALSE)&lt;0,VLOOKUP(C287,'手数料マスタ'!$A$5:$B$104,2,FALSE)&gt;1),"要確認",ROUND(E287*VLOOKUP(C287,'手数料マスタ'!$A$5:$B$104,2,FALSE),0)),"要確認"))</ns0:f>
        <ns0:v/>
      </ns0:c>
      <ns0:c r="G287" s="7" t="n"/>
      <ns0:c r="H287" s="7" t="n"/>
      <ns0:c r="I287" s="8" t="str">
        <ns0:f>IF(OR(B287="",J287&lt;&gt;"販売済み",D287="",E287="",G287="",H287=""),"",IF(ISNUMBER(F287),E287-D287-F287-G287-H287,"要確認"))</ns0:f>
        <ns0:v/>
      </ns0:c>
      <ns0:c r="J287" s="6" t="n"/>
      <ns0:c r="K287" s="5" t="n"/>
      <ns0:c r="L287" s="9" t="str">
        <ns0:f>IF(AND(B287&lt;&gt;"",J287="在庫"),COUNTIFS($J$5:J287,"在庫",$B$5:B287,"&lt;&gt;"),"")</ns0:f>
        <ns0:v/>
      </ns0:c>
    </ns0:row>
    <ns0:row r="288">
      <ns0:c r="A288" s="5" t="n"/>
      <ns0:c r="B288" s="6" t="n"/>
      <ns0:c r="C288" s="6" t="n"/>
      <ns0:c r="D288" s="7" t="n"/>
      <ns0:c r="E288" s="7" t="n"/>
      <ns0:c r="F288" s="8" t="str">
        <ns0:f>IF(OR(B288="",J288&lt;&gt;"販売済み",E288="",C288=""),"",IFERROR(IF(OR(COUNTIF('手数料マスタ'!$A$5:$A$104,C288)&lt;&gt;1,COUNTIFS('手数料マスタ'!$A$5:$A$104,C288,'手数料マスタ'!$B$5:$B$104,"&lt;&gt;")&lt;&gt;1,NOT(ISNUMBER(VLOOKUP(C288,'手数料マスタ'!$A$5:$B$104,2,FALSE))),VLOOKUP(C288,'手数料マスタ'!$A$5:$B$104,2,FALSE)&lt;0,VLOOKUP(C288,'手数料マスタ'!$A$5:$B$104,2,FALSE)&gt;1),"要確認",ROUND(E288*VLOOKUP(C288,'手数料マスタ'!$A$5:$B$104,2,FALSE),0)),"要確認"))</ns0:f>
        <ns0:v/>
      </ns0:c>
      <ns0:c r="G288" s="7" t="n"/>
      <ns0:c r="H288" s="7" t="n"/>
      <ns0:c r="I288" s="8" t="str">
        <ns0:f>IF(OR(B288="",J288&lt;&gt;"販売済み",D288="",E288="",G288="",H288=""),"",IF(ISNUMBER(F288),E288-D288-F288-G288-H288,"要確認"))</ns0:f>
        <ns0:v/>
      </ns0:c>
      <ns0:c r="J288" s="6" t="n"/>
      <ns0:c r="K288" s="5" t="n"/>
      <ns0:c r="L288" s="9" t="str">
        <ns0:f>IF(AND(B288&lt;&gt;"",J288="在庫"),COUNTIFS($J$5:J288,"在庫",$B$5:B288,"&lt;&gt;"),"")</ns0:f>
        <ns0:v/>
      </ns0:c>
    </ns0:row>
    <ns0:row r="289">
      <ns0:c r="A289" s="5" t="n"/>
      <ns0:c r="B289" s="6" t="n"/>
      <ns0:c r="C289" s="6" t="n"/>
      <ns0:c r="D289" s="7" t="n"/>
      <ns0:c r="E289" s="7" t="n"/>
      <ns0:c r="F289" s="8" t="str">
        <ns0:f>IF(OR(B289="",J289&lt;&gt;"販売済み",E289="",C289=""),"",IFERROR(IF(OR(COUNTIF('手数料マスタ'!$A$5:$A$104,C289)&lt;&gt;1,COUNTIFS('手数料マスタ'!$A$5:$A$104,C289,'手数料マスタ'!$B$5:$B$104,"&lt;&gt;")&lt;&gt;1,NOT(ISNUMBER(VLOOKUP(C289,'手数料マスタ'!$A$5:$B$104,2,FALSE))),VLOOKUP(C289,'手数料マスタ'!$A$5:$B$104,2,FALSE)&lt;0,VLOOKUP(C289,'手数料マスタ'!$A$5:$B$104,2,FALSE)&gt;1),"要確認",ROUND(E289*VLOOKUP(C289,'手数料マスタ'!$A$5:$B$104,2,FALSE),0)),"要確認"))</ns0:f>
        <ns0:v/>
      </ns0:c>
      <ns0:c r="G289" s="7" t="n"/>
      <ns0:c r="H289" s="7" t="n"/>
      <ns0:c r="I289" s="8" t="str">
        <ns0:f>IF(OR(B289="",J289&lt;&gt;"販売済み",D289="",E289="",G289="",H289=""),"",IF(ISNUMBER(F289),E289-D289-F289-G289-H289,"要確認"))</ns0:f>
        <ns0:v/>
      </ns0:c>
      <ns0:c r="J289" s="6" t="n"/>
      <ns0:c r="K289" s="5" t="n"/>
      <ns0:c r="L289" s="9" t="str">
        <ns0:f>IF(AND(B289&lt;&gt;"",J289="在庫"),COUNTIFS($J$5:J289,"在庫",$B$5:B289,"&lt;&gt;"),"")</ns0:f>
        <ns0:v/>
      </ns0:c>
    </ns0:row>
    <ns0:row r="290">
      <ns0:c r="A290" s="5" t="n"/>
      <ns0:c r="B290" s="6" t="n"/>
      <ns0:c r="C290" s="6" t="n"/>
      <ns0:c r="D290" s="7" t="n"/>
      <ns0:c r="E290" s="7" t="n"/>
      <ns0:c r="F290" s="8" t="str">
        <ns0:f>IF(OR(B290="",J290&lt;&gt;"販売済み",E290="",C290=""),"",IFERROR(IF(OR(COUNTIF('手数料マスタ'!$A$5:$A$104,C290)&lt;&gt;1,COUNTIFS('手数料マスタ'!$A$5:$A$104,C290,'手数料マスタ'!$B$5:$B$104,"&lt;&gt;")&lt;&gt;1,NOT(ISNUMBER(VLOOKUP(C290,'手数料マスタ'!$A$5:$B$104,2,FALSE))),VLOOKUP(C290,'手数料マスタ'!$A$5:$B$104,2,FALSE)&lt;0,VLOOKUP(C290,'手数料マスタ'!$A$5:$B$104,2,FALSE)&gt;1),"要確認",ROUND(E290*VLOOKUP(C290,'手数料マスタ'!$A$5:$B$104,2,FALSE),0)),"要確認"))</ns0:f>
        <ns0:v/>
      </ns0:c>
      <ns0:c r="G290" s="7" t="n"/>
      <ns0:c r="H290" s="7" t="n"/>
      <ns0:c r="I290" s="8" t="str">
        <ns0:f>IF(OR(B290="",J290&lt;&gt;"販売済み",D290="",E290="",G290="",H290=""),"",IF(ISNUMBER(F290),E290-D290-F290-G290-H290,"要確認"))</ns0:f>
        <ns0:v/>
      </ns0:c>
      <ns0:c r="J290" s="6" t="n"/>
      <ns0:c r="K290" s="5" t="n"/>
      <ns0:c r="L290" s="9" t="str">
        <ns0:f>IF(AND(B290&lt;&gt;"",J290="在庫"),COUNTIFS($J$5:J290,"在庫",$B$5:B290,"&lt;&gt;"),"")</ns0:f>
        <ns0:v/>
      </ns0:c>
    </ns0:row>
    <ns0:row r="291">
      <ns0:c r="A291" s="5" t="n"/>
      <ns0:c r="B291" s="6" t="n"/>
      <ns0:c r="C291" s="6" t="n"/>
      <ns0:c r="D291" s="7" t="n"/>
      <ns0:c r="E291" s="7" t="n"/>
      <ns0:c r="F291" s="8" t="str">
        <ns0:f>IF(OR(B291="",J291&lt;&gt;"販売済み",E291="",C291=""),"",IFERROR(IF(OR(COUNTIF('手数料マスタ'!$A$5:$A$104,C291)&lt;&gt;1,COUNTIFS('手数料マスタ'!$A$5:$A$104,C291,'手数料マスタ'!$B$5:$B$104,"&lt;&gt;")&lt;&gt;1,NOT(ISNUMBER(VLOOKUP(C291,'手数料マスタ'!$A$5:$B$104,2,FALSE))),VLOOKUP(C291,'手数料マスタ'!$A$5:$B$104,2,FALSE)&lt;0,VLOOKUP(C291,'手数料マスタ'!$A$5:$B$104,2,FALSE)&gt;1),"要確認",ROUND(E291*VLOOKUP(C291,'手数料マスタ'!$A$5:$B$104,2,FALSE),0)),"要確認"))</ns0:f>
        <ns0:v/>
      </ns0:c>
      <ns0:c r="G291" s="7" t="n"/>
      <ns0:c r="H291" s="7" t="n"/>
      <ns0:c r="I291" s="8" t="str">
        <ns0:f>IF(OR(B291="",J291&lt;&gt;"販売済み",D291="",E291="",G291="",H291=""),"",IF(ISNUMBER(F291),E291-D291-F291-G291-H291,"要確認"))</ns0:f>
        <ns0:v/>
      </ns0:c>
      <ns0:c r="J291" s="6" t="n"/>
      <ns0:c r="K291" s="5" t="n"/>
      <ns0:c r="L291" s="9" t="str">
        <ns0:f>IF(AND(B291&lt;&gt;"",J291="在庫"),COUNTIFS($J$5:J291,"在庫",$B$5:B291,"&lt;&gt;"),"")</ns0:f>
        <ns0:v/>
      </ns0:c>
    </ns0:row>
    <ns0:row r="292">
      <ns0:c r="A292" s="5" t="n"/>
      <ns0:c r="B292" s="6" t="n"/>
      <ns0:c r="C292" s="6" t="n"/>
      <ns0:c r="D292" s="7" t="n"/>
      <ns0:c r="E292" s="7" t="n"/>
      <ns0:c r="F292" s="8" t="str">
        <ns0:f>IF(OR(B292="",J292&lt;&gt;"販売済み",E292="",C292=""),"",IFERROR(IF(OR(COUNTIF('手数料マスタ'!$A$5:$A$104,C292)&lt;&gt;1,COUNTIFS('手数料マスタ'!$A$5:$A$104,C292,'手数料マスタ'!$B$5:$B$104,"&lt;&gt;")&lt;&gt;1,NOT(ISNUMBER(VLOOKUP(C292,'手数料マスタ'!$A$5:$B$104,2,FALSE))),VLOOKUP(C292,'手数料マスタ'!$A$5:$B$104,2,FALSE)&lt;0,VLOOKUP(C292,'手数料マスタ'!$A$5:$B$104,2,FALSE)&gt;1),"要確認",ROUND(E292*VLOOKUP(C292,'手数料マスタ'!$A$5:$B$104,2,FALSE),0)),"要確認"))</ns0:f>
        <ns0:v/>
      </ns0:c>
      <ns0:c r="G292" s="7" t="n"/>
      <ns0:c r="H292" s="7" t="n"/>
      <ns0:c r="I292" s="8" t="str">
        <ns0:f>IF(OR(B292="",J292&lt;&gt;"販売済み",D292="",E292="",G292="",H292=""),"",IF(ISNUMBER(F292),E292-D292-F292-G292-H292,"要確認"))</ns0:f>
        <ns0:v/>
      </ns0:c>
      <ns0:c r="J292" s="6" t="n"/>
      <ns0:c r="K292" s="5" t="n"/>
      <ns0:c r="L292" s="9" t="str">
        <ns0:f>IF(AND(B292&lt;&gt;"",J292="在庫"),COUNTIFS($J$5:J292,"在庫",$B$5:B292,"&lt;&gt;"),"")</ns0:f>
        <ns0:v/>
      </ns0:c>
    </ns0:row>
    <ns0:row r="293">
      <ns0:c r="A293" s="5" t="n"/>
      <ns0:c r="B293" s="6" t="n"/>
      <ns0:c r="C293" s="6" t="n"/>
      <ns0:c r="D293" s="7" t="n"/>
      <ns0:c r="E293" s="7" t="n"/>
      <ns0:c r="F293" s="8" t="str">
        <ns0:f>IF(OR(B293="",J293&lt;&gt;"販売済み",E293="",C293=""),"",IFERROR(IF(OR(COUNTIF('手数料マスタ'!$A$5:$A$104,C293)&lt;&gt;1,COUNTIFS('手数料マスタ'!$A$5:$A$104,C293,'手数料マスタ'!$B$5:$B$104,"&lt;&gt;")&lt;&gt;1,NOT(ISNUMBER(VLOOKUP(C293,'手数料マスタ'!$A$5:$B$104,2,FALSE))),VLOOKUP(C293,'手数料マスタ'!$A$5:$B$104,2,FALSE)&lt;0,VLOOKUP(C293,'手数料マスタ'!$A$5:$B$104,2,FALSE)&gt;1),"要確認",ROUND(E293*VLOOKUP(C293,'手数料マスタ'!$A$5:$B$104,2,FALSE),0)),"要確認"))</ns0:f>
        <ns0:v/>
      </ns0:c>
      <ns0:c r="G293" s="7" t="n"/>
      <ns0:c r="H293" s="7" t="n"/>
      <ns0:c r="I293" s="8" t="str">
        <ns0:f>IF(OR(B293="",J293&lt;&gt;"販売済み",D293="",E293="",G293="",H293=""),"",IF(ISNUMBER(F293),E293-D293-F293-G293-H293,"要確認"))</ns0:f>
        <ns0:v/>
      </ns0:c>
      <ns0:c r="J293" s="6" t="n"/>
      <ns0:c r="K293" s="5" t="n"/>
      <ns0:c r="L293" s="9" t="str">
        <ns0:f>IF(AND(B293&lt;&gt;"",J293="在庫"),COUNTIFS($J$5:J293,"在庫",$B$5:B293,"&lt;&gt;"),"")</ns0:f>
        <ns0:v/>
      </ns0:c>
    </ns0:row>
    <ns0:row r="294">
      <ns0:c r="A294" s="5" t="n"/>
      <ns0:c r="B294" s="6" t="n"/>
      <ns0:c r="C294" s="6" t="n"/>
      <ns0:c r="D294" s="7" t="n"/>
      <ns0:c r="E294" s="7" t="n"/>
      <ns0:c r="F294" s="8" t="str">
        <ns0:f>IF(OR(B294="",J294&lt;&gt;"販売済み",E294="",C294=""),"",IFERROR(IF(OR(COUNTIF('手数料マスタ'!$A$5:$A$104,C294)&lt;&gt;1,COUNTIFS('手数料マスタ'!$A$5:$A$104,C294,'手数料マスタ'!$B$5:$B$104,"&lt;&gt;")&lt;&gt;1,NOT(ISNUMBER(VLOOKUP(C294,'手数料マスタ'!$A$5:$B$104,2,FALSE))),VLOOKUP(C294,'手数料マスタ'!$A$5:$B$104,2,FALSE)&lt;0,VLOOKUP(C294,'手数料マスタ'!$A$5:$B$104,2,FALSE)&gt;1),"要確認",ROUND(E294*VLOOKUP(C294,'手数料マスタ'!$A$5:$B$104,2,FALSE),0)),"要確認"))</ns0:f>
        <ns0:v/>
      </ns0:c>
      <ns0:c r="G294" s="7" t="n"/>
      <ns0:c r="H294" s="7" t="n"/>
      <ns0:c r="I294" s="8" t="str">
        <ns0:f>IF(OR(B294="",J294&lt;&gt;"販売済み",D294="",E294="",G294="",H294=""),"",IF(ISNUMBER(F294),E294-D294-F294-G294-H294,"要確認"))</ns0:f>
        <ns0:v/>
      </ns0:c>
      <ns0:c r="J294" s="6" t="n"/>
      <ns0:c r="K294" s="5" t="n"/>
      <ns0:c r="L294" s="9" t="str">
        <ns0:f>IF(AND(B294&lt;&gt;"",J294="在庫"),COUNTIFS($J$5:J294,"在庫",$B$5:B294,"&lt;&gt;"),"")</ns0:f>
        <ns0:v/>
      </ns0:c>
    </ns0:row>
    <ns0:row r="295">
      <ns0:c r="A295" s="5" t="n"/>
      <ns0:c r="B295" s="6" t="n"/>
      <ns0:c r="C295" s="6" t="n"/>
      <ns0:c r="D295" s="7" t="n"/>
      <ns0:c r="E295" s="7" t="n"/>
      <ns0:c r="F295" s="8" t="str">
        <ns0:f>IF(OR(B295="",J295&lt;&gt;"販売済み",E295="",C295=""),"",IFERROR(IF(OR(COUNTIF('手数料マスタ'!$A$5:$A$104,C295)&lt;&gt;1,COUNTIFS('手数料マスタ'!$A$5:$A$104,C295,'手数料マスタ'!$B$5:$B$104,"&lt;&gt;")&lt;&gt;1,NOT(ISNUMBER(VLOOKUP(C295,'手数料マスタ'!$A$5:$B$104,2,FALSE))),VLOOKUP(C295,'手数料マスタ'!$A$5:$B$104,2,FALSE)&lt;0,VLOOKUP(C295,'手数料マスタ'!$A$5:$B$104,2,FALSE)&gt;1),"要確認",ROUND(E295*VLOOKUP(C295,'手数料マスタ'!$A$5:$B$104,2,FALSE),0)),"要確認"))</ns0:f>
        <ns0:v/>
      </ns0:c>
      <ns0:c r="G295" s="7" t="n"/>
      <ns0:c r="H295" s="7" t="n"/>
      <ns0:c r="I295" s="8" t="str">
        <ns0:f>IF(OR(B295="",J295&lt;&gt;"販売済み",D295="",E295="",G295="",H295=""),"",IF(ISNUMBER(F295),E295-D295-F295-G295-H295,"要確認"))</ns0:f>
        <ns0:v/>
      </ns0:c>
      <ns0:c r="J295" s="6" t="n"/>
      <ns0:c r="K295" s="5" t="n"/>
      <ns0:c r="L295" s="9" t="str">
        <ns0:f>IF(AND(B295&lt;&gt;"",J295="在庫"),COUNTIFS($J$5:J295,"在庫",$B$5:B295,"&lt;&gt;"),"")</ns0:f>
        <ns0:v/>
      </ns0:c>
    </ns0:row>
    <ns0:row r="296">
      <ns0:c r="A296" s="5" t="n"/>
      <ns0:c r="B296" s="6" t="n"/>
      <ns0:c r="C296" s="6" t="n"/>
      <ns0:c r="D296" s="7" t="n"/>
      <ns0:c r="E296" s="7" t="n"/>
      <ns0:c r="F296" s="8" t="str">
        <ns0:f>IF(OR(B296="",J296&lt;&gt;"販売済み",E296="",C296=""),"",IFERROR(IF(OR(COUNTIF('手数料マスタ'!$A$5:$A$104,C296)&lt;&gt;1,COUNTIFS('手数料マスタ'!$A$5:$A$104,C296,'手数料マスタ'!$B$5:$B$104,"&lt;&gt;")&lt;&gt;1,NOT(ISNUMBER(VLOOKUP(C296,'手数料マスタ'!$A$5:$B$104,2,FALSE))),VLOOKUP(C296,'手数料マスタ'!$A$5:$B$104,2,FALSE)&lt;0,VLOOKUP(C296,'手数料マスタ'!$A$5:$B$104,2,FALSE)&gt;1),"要確認",ROUND(E296*VLOOKUP(C296,'手数料マスタ'!$A$5:$B$104,2,FALSE),0)),"要確認"))</ns0:f>
        <ns0:v/>
      </ns0:c>
      <ns0:c r="G296" s="7" t="n"/>
      <ns0:c r="H296" s="7" t="n"/>
      <ns0:c r="I296" s="8" t="str">
        <ns0:f>IF(OR(B296="",J296&lt;&gt;"販売済み",D296="",E296="",G296="",H296=""),"",IF(ISNUMBER(F296),E296-D296-F296-G296-H296,"要確認"))</ns0:f>
        <ns0:v/>
      </ns0:c>
      <ns0:c r="J296" s="6" t="n"/>
      <ns0:c r="K296" s="5" t="n"/>
      <ns0:c r="L296" s="9" t="str">
        <ns0:f>IF(AND(B296&lt;&gt;"",J296="在庫"),COUNTIFS($J$5:J296,"在庫",$B$5:B296,"&lt;&gt;"),"")</ns0:f>
        <ns0:v/>
      </ns0:c>
    </ns0:row>
    <ns0:row r="297">
      <ns0:c r="A297" s="5" t="n"/>
      <ns0:c r="B297" s="6" t="n"/>
      <ns0:c r="C297" s="6" t="n"/>
      <ns0:c r="D297" s="7" t="n"/>
      <ns0:c r="E297" s="7" t="n"/>
      <ns0:c r="F297" s="8" t="str">
        <ns0:f>IF(OR(B297="",J297&lt;&gt;"販売済み",E297="",C297=""),"",IFERROR(IF(OR(COUNTIF('手数料マスタ'!$A$5:$A$104,C297)&lt;&gt;1,COUNTIFS('手数料マスタ'!$A$5:$A$104,C297,'手数料マスタ'!$B$5:$B$104,"&lt;&gt;")&lt;&gt;1,NOT(ISNUMBER(VLOOKUP(C297,'手数料マスタ'!$A$5:$B$104,2,FALSE))),VLOOKUP(C297,'手数料マスタ'!$A$5:$B$104,2,FALSE)&lt;0,VLOOKUP(C297,'手数料マスタ'!$A$5:$B$104,2,FALSE)&gt;1),"要確認",ROUND(E297*VLOOKUP(C297,'手数料マスタ'!$A$5:$B$104,2,FALSE),0)),"要確認"))</ns0:f>
        <ns0:v/>
      </ns0:c>
      <ns0:c r="G297" s="7" t="n"/>
      <ns0:c r="H297" s="7" t="n"/>
      <ns0:c r="I297" s="8" t="str">
        <ns0:f>IF(OR(B297="",J297&lt;&gt;"販売済み",D297="",E297="",G297="",H297=""),"",IF(ISNUMBER(F297),E297-D297-F297-G297-H297,"要確認"))</ns0:f>
        <ns0:v/>
      </ns0:c>
      <ns0:c r="J297" s="6" t="n"/>
      <ns0:c r="K297" s="5" t="n"/>
      <ns0:c r="L297" s="9" t="str">
        <ns0:f>IF(AND(B297&lt;&gt;"",J297="在庫"),COUNTIFS($J$5:J297,"在庫",$B$5:B297,"&lt;&gt;"),"")</ns0:f>
        <ns0:v/>
      </ns0:c>
    </ns0:row>
    <ns0:row r="298">
      <ns0:c r="A298" s="5" t="n"/>
      <ns0:c r="B298" s="6" t="n"/>
      <ns0:c r="C298" s="6" t="n"/>
      <ns0:c r="D298" s="7" t="n"/>
      <ns0:c r="E298" s="7" t="n"/>
      <ns0:c r="F298" s="8" t="str">
        <ns0:f>IF(OR(B298="",J298&lt;&gt;"販売済み",E298="",C298=""),"",IFERROR(IF(OR(COUNTIF('手数料マスタ'!$A$5:$A$104,C298)&lt;&gt;1,COUNTIFS('手数料マスタ'!$A$5:$A$104,C298,'手数料マスタ'!$B$5:$B$104,"&lt;&gt;")&lt;&gt;1,NOT(ISNUMBER(VLOOKUP(C298,'手数料マスタ'!$A$5:$B$104,2,FALSE))),VLOOKUP(C298,'手数料マスタ'!$A$5:$B$104,2,FALSE)&lt;0,VLOOKUP(C298,'手数料マスタ'!$A$5:$B$104,2,FALSE)&gt;1),"要確認",ROUND(E298*VLOOKUP(C298,'手数料マスタ'!$A$5:$B$104,2,FALSE),0)),"要確認"))</ns0:f>
        <ns0:v/>
      </ns0:c>
      <ns0:c r="G298" s="7" t="n"/>
      <ns0:c r="H298" s="7" t="n"/>
      <ns0:c r="I298" s="8" t="str">
        <ns0:f>IF(OR(B298="",J298&lt;&gt;"販売済み",D298="",E298="",G298="",H298=""),"",IF(ISNUMBER(F298),E298-D298-F298-G298-H298,"要確認"))</ns0:f>
        <ns0:v/>
      </ns0:c>
      <ns0:c r="J298" s="6" t="n"/>
      <ns0:c r="K298" s="5" t="n"/>
      <ns0:c r="L298" s="9" t="str">
        <ns0:f>IF(AND(B298&lt;&gt;"",J298="在庫"),COUNTIFS($J$5:J298,"在庫",$B$5:B298,"&lt;&gt;"),"")</ns0:f>
        <ns0:v/>
      </ns0:c>
    </ns0:row>
    <ns0:row r="299">
      <ns0:c r="A299" s="5" t="n"/>
      <ns0:c r="B299" s="6" t="n"/>
      <ns0:c r="C299" s="6" t="n"/>
      <ns0:c r="D299" s="7" t="n"/>
      <ns0:c r="E299" s="7" t="n"/>
      <ns0:c r="F299" s="8" t="str">
        <ns0:f>IF(OR(B299="",J299&lt;&gt;"販売済み",E299="",C299=""),"",IFERROR(IF(OR(COUNTIF('手数料マスタ'!$A$5:$A$104,C299)&lt;&gt;1,COUNTIFS('手数料マスタ'!$A$5:$A$104,C299,'手数料マスタ'!$B$5:$B$104,"&lt;&gt;")&lt;&gt;1,NOT(ISNUMBER(VLOOKUP(C299,'手数料マスタ'!$A$5:$B$104,2,FALSE))),VLOOKUP(C299,'手数料マスタ'!$A$5:$B$104,2,FALSE)&lt;0,VLOOKUP(C299,'手数料マスタ'!$A$5:$B$104,2,FALSE)&gt;1),"要確認",ROUND(E299*VLOOKUP(C299,'手数料マスタ'!$A$5:$B$104,2,FALSE),0)),"要確認"))</ns0:f>
        <ns0:v/>
      </ns0:c>
      <ns0:c r="G299" s="7" t="n"/>
      <ns0:c r="H299" s="7" t="n"/>
      <ns0:c r="I299" s="8" t="str">
        <ns0:f>IF(OR(B299="",J299&lt;&gt;"販売済み",D299="",E299="",G299="",H299=""),"",IF(ISNUMBER(F299),E299-D299-F299-G299-H299,"要確認"))</ns0:f>
        <ns0:v/>
      </ns0:c>
      <ns0:c r="J299" s="6" t="n"/>
      <ns0:c r="K299" s="5" t="n"/>
      <ns0:c r="L299" s="9" t="str">
        <ns0:f>IF(AND(B299&lt;&gt;"",J299="在庫"),COUNTIFS($J$5:J299,"在庫",$B$5:B299,"&lt;&gt;"),"")</ns0:f>
        <ns0:v/>
      </ns0:c>
    </ns0:row>
    <ns0:row r="300">
      <ns0:c r="A300" s="5" t="n"/>
      <ns0:c r="B300" s="6" t="n"/>
      <ns0:c r="C300" s="6" t="n"/>
      <ns0:c r="D300" s="7" t="n"/>
      <ns0:c r="E300" s="7" t="n"/>
      <ns0:c r="F300" s="8" t="str">
        <ns0:f>IF(OR(B300="",J300&lt;&gt;"販売済み",E300="",C300=""),"",IFERROR(IF(OR(COUNTIF('手数料マスタ'!$A$5:$A$104,C300)&lt;&gt;1,COUNTIFS('手数料マスタ'!$A$5:$A$104,C300,'手数料マスタ'!$B$5:$B$104,"&lt;&gt;")&lt;&gt;1,NOT(ISNUMBER(VLOOKUP(C300,'手数料マスタ'!$A$5:$B$104,2,FALSE))),VLOOKUP(C300,'手数料マスタ'!$A$5:$B$104,2,FALSE)&lt;0,VLOOKUP(C300,'手数料マスタ'!$A$5:$B$104,2,FALSE)&gt;1),"要確認",ROUND(E300*VLOOKUP(C300,'手数料マスタ'!$A$5:$B$104,2,FALSE),0)),"要確認"))</ns0:f>
        <ns0:v/>
      </ns0:c>
      <ns0:c r="G300" s="7" t="n"/>
      <ns0:c r="H300" s="7" t="n"/>
      <ns0:c r="I300" s="8" t="str">
        <ns0:f>IF(OR(B300="",J300&lt;&gt;"販売済み",D300="",E300="",G300="",H300=""),"",IF(ISNUMBER(F300),E300-D300-F300-G300-H300,"要確認"))</ns0:f>
        <ns0:v/>
      </ns0:c>
      <ns0:c r="J300" s="6" t="n"/>
      <ns0:c r="K300" s="5" t="n"/>
      <ns0:c r="L300" s="9" t="str">
        <ns0:f>IF(AND(B300&lt;&gt;"",J300="在庫"),COUNTIFS($J$5:J300,"在庫",$B$5:B300,"&lt;&gt;"),"")</ns0:f>
        <ns0:v/>
      </ns0:c>
    </ns0:row>
    <ns0:row r="301">
      <ns0:c r="A301" s="5" t="n"/>
      <ns0:c r="B301" s="6" t="n"/>
      <ns0:c r="C301" s="6" t="n"/>
      <ns0:c r="D301" s="7" t="n"/>
      <ns0:c r="E301" s="7" t="n"/>
      <ns0:c r="F301" s="8" t="str">
        <ns0:f>IF(OR(B301="",J301&lt;&gt;"販売済み",E301="",C301=""),"",IFERROR(IF(OR(COUNTIF('手数料マスタ'!$A$5:$A$104,C301)&lt;&gt;1,COUNTIFS('手数料マスタ'!$A$5:$A$104,C301,'手数料マスタ'!$B$5:$B$104,"&lt;&gt;")&lt;&gt;1,NOT(ISNUMBER(VLOOKUP(C301,'手数料マスタ'!$A$5:$B$104,2,FALSE))),VLOOKUP(C301,'手数料マスタ'!$A$5:$B$104,2,FALSE)&lt;0,VLOOKUP(C301,'手数料マスタ'!$A$5:$B$104,2,FALSE)&gt;1),"要確認",ROUND(E301*VLOOKUP(C301,'手数料マスタ'!$A$5:$B$104,2,FALSE),0)),"要確認"))</ns0:f>
        <ns0:v/>
      </ns0:c>
      <ns0:c r="G301" s="7" t="n"/>
      <ns0:c r="H301" s="7" t="n"/>
      <ns0:c r="I301" s="8" t="str">
        <ns0:f>IF(OR(B301="",J301&lt;&gt;"販売済み",D301="",E301="",G301="",H301=""),"",IF(ISNUMBER(F301),E301-D301-F301-G301-H301,"要確認"))</ns0:f>
        <ns0:v/>
      </ns0:c>
      <ns0:c r="J301" s="6" t="n"/>
      <ns0:c r="K301" s="5" t="n"/>
      <ns0:c r="L301" s="9" t="str">
        <ns0:f>IF(AND(B301&lt;&gt;"",J301="在庫"),COUNTIFS($J$5:J301,"在庫",$B$5:B301,"&lt;&gt;"),"")</ns0:f>
        <ns0:v/>
      </ns0:c>
    </ns0:row>
    <ns0:row r="302">
      <ns0:c r="A302" s="5" t="n"/>
      <ns0:c r="B302" s="6" t="n"/>
      <ns0:c r="C302" s="6" t="n"/>
      <ns0:c r="D302" s="7" t="n"/>
      <ns0:c r="E302" s="7" t="n"/>
      <ns0:c r="F302" s="8" t="str">
        <ns0:f>IF(OR(B302="",J302&lt;&gt;"販売済み",E302="",C302=""),"",IFERROR(IF(OR(COUNTIF('手数料マスタ'!$A$5:$A$104,C302)&lt;&gt;1,COUNTIFS('手数料マスタ'!$A$5:$A$104,C302,'手数料マスタ'!$B$5:$B$104,"&lt;&gt;")&lt;&gt;1,NOT(ISNUMBER(VLOOKUP(C302,'手数料マスタ'!$A$5:$B$104,2,FALSE))),VLOOKUP(C302,'手数料マスタ'!$A$5:$B$104,2,FALSE)&lt;0,VLOOKUP(C302,'手数料マスタ'!$A$5:$B$104,2,FALSE)&gt;1),"要確認",ROUND(E302*VLOOKUP(C302,'手数料マスタ'!$A$5:$B$104,2,FALSE),0)),"要確認"))</ns0:f>
        <ns0:v/>
      </ns0:c>
      <ns0:c r="G302" s="7" t="n"/>
      <ns0:c r="H302" s="7" t="n"/>
      <ns0:c r="I302" s="8" t="str">
        <ns0:f>IF(OR(B302="",J302&lt;&gt;"販売済み",D302="",E302="",G302="",H302=""),"",IF(ISNUMBER(F302),E302-D302-F302-G302-H302,"要確認"))</ns0:f>
        <ns0:v/>
      </ns0:c>
      <ns0:c r="J302" s="6" t="n"/>
      <ns0:c r="K302" s="5" t="n"/>
      <ns0:c r="L302" s="9" t="str">
        <ns0:f>IF(AND(B302&lt;&gt;"",J302="在庫"),COUNTIFS($J$5:J302,"在庫",$B$5:B302,"&lt;&gt;"),"")</ns0:f>
        <ns0:v/>
      </ns0:c>
    </ns0:row>
    <ns0:row r="303">
      <ns0:c r="A303" s="5" t="n"/>
      <ns0:c r="B303" s="6" t="n"/>
      <ns0:c r="C303" s="6" t="n"/>
      <ns0:c r="D303" s="7" t="n"/>
      <ns0:c r="E303" s="7" t="n"/>
      <ns0:c r="F303" s="8" t="str">
        <ns0:f>IF(OR(B303="",J303&lt;&gt;"販売済み",E303="",C303=""),"",IFERROR(IF(OR(COUNTIF('手数料マスタ'!$A$5:$A$104,C303)&lt;&gt;1,COUNTIFS('手数料マスタ'!$A$5:$A$104,C303,'手数料マスタ'!$B$5:$B$104,"&lt;&gt;")&lt;&gt;1,NOT(ISNUMBER(VLOOKUP(C303,'手数料マスタ'!$A$5:$B$104,2,FALSE))),VLOOKUP(C303,'手数料マスタ'!$A$5:$B$104,2,FALSE)&lt;0,VLOOKUP(C303,'手数料マスタ'!$A$5:$B$104,2,FALSE)&gt;1),"要確認",ROUND(E303*VLOOKUP(C303,'手数料マスタ'!$A$5:$B$104,2,FALSE),0)),"要確認"))</ns0:f>
        <ns0:v/>
      </ns0:c>
      <ns0:c r="G303" s="7" t="n"/>
      <ns0:c r="H303" s="7" t="n"/>
      <ns0:c r="I303" s="8" t="str">
        <ns0:f>IF(OR(B303="",J303&lt;&gt;"販売済み",D303="",E303="",G303="",H303=""),"",IF(ISNUMBER(F303),E303-D303-F303-G303-H303,"要確認"))</ns0:f>
        <ns0:v/>
      </ns0:c>
      <ns0:c r="J303" s="6" t="n"/>
      <ns0:c r="K303" s="5" t="n"/>
      <ns0:c r="L303" s="9" t="str">
        <ns0:f>IF(AND(B303&lt;&gt;"",J303="在庫"),COUNTIFS($J$5:J303,"在庫",$B$5:B303,"&lt;&gt;"),"")</ns0:f>
        <ns0:v/>
      </ns0:c>
    </ns0:row>
    <ns0:row r="304">
      <ns0:c r="A304" s="5" t="n"/>
      <ns0:c r="B304" s="6" t="n"/>
      <ns0:c r="C304" s="6" t="n"/>
      <ns0:c r="D304" s="7" t="n"/>
      <ns0:c r="E304" s="7" t="n"/>
      <ns0:c r="F304" s="8" t="str">
        <ns0:f>IF(OR(B304="",J304&lt;&gt;"販売済み",E304="",C304=""),"",IFERROR(IF(OR(COUNTIF('手数料マスタ'!$A$5:$A$104,C304)&lt;&gt;1,COUNTIFS('手数料マスタ'!$A$5:$A$104,C304,'手数料マスタ'!$B$5:$B$104,"&lt;&gt;")&lt;&gt;1,NOT(ISNUMBER(VLOOKUP(C304,'手数料マスタ'!$A$5:$B$104,2,FALSE))),VLOOKUP(C304,'手数料マスタ'!$A$5:$B$104,2,FALSE)&lt;0,VLOOKUP(C304,'手数料マスタ'!$A$5:$B$104,2,FALSE)&gt;1),"要確認",ROUND(E304*VLOOKUP(C304,'手数料マスタ'!$A$5:$B$104,2,FALSE),0)),"要確認"))</ns0:f>
        <ns0:v/>
      </ns0:c>
      <ns0:c r="G304" s="7" t="n"/>
      <ns0:c r="H304" s="7" t="n"/>
      <ns0:c r="I304" s="8" t="str">
        <ns0:f>IF(OR(B304="",J304&lt;&gt;"販売済み",D304="",E304="",G304="",H304=""),"",IF(ISNUMBER(F304),E304-D304-F304-G304-H304,"要確認"))</ns0:f>
        <ns0:v/>
      </ns0:c>
      <ns0:c r="J304" s="6" t="n"/>
      <ns0:c r="K304" s="5" t="n"/>
      <ns0:c r="L304" s="9" t="str">
        <ns0:f>IF(AND(B304&lt;&gt;"",J304="在庫"),COUNTIFS($J$5:J304,"在庫",$B$5:B304,"&lt;&gt;"),"")</ns0:f>
        <ns0:v/>
      </ns0:c>
    </ns0:row>
    <ns0:row r="305">
      <ns0:c r="A305" s="5" t="n"/>
      <ns0:c r="B305" s="6" t="n"/>
      <ns0:c r="C305" s="6" t="n"/>
      <ns0:c r="D305" s="7" t="n"/>
      <ns0:c r="E305" s="7" t="n"/>
      <ns0:c r="F305" s="8" t="str">
        <ns0:f>IF(OR(B305="",J305&lt;&gt;"販売済み",E305="",C305=""),"",IFERROR(IF(OR(COUNTIF('手数料マスタ'!$A$5:$A$104,C305)&lt;&gt;1,COUNTIFS('手数料マスタ'!$A$5:$A$104,C305,'手数料マスタ'!$B$5:$B$104,"&lt;&gt;")&lt;&gt;1,NOT(ISNUMBER(VLOOKUP(C305,'手数料マスタ'!$A$5:$B$104,2,FALSE))),VLOOKUP(C305,'手数料マスタ'!$A$5:$B$104,2,FALSE)&lt;0,VLOOKUP(C305,'手数料マスタ'!$A$5:$B$104,2,FALSE)&gt;1),"要確認",ROUND(E305*VLOOKUP(C305,'手数料マスタ'!$A$5:$B$104,2,FALSE),0)),"要確認"))</ns0:f>
        <ns0:v/>
      </ns0:c>
      <ns0:c r="G305" s="7" t="n"/>
      <ns0:c r="H305" s="7" t="n"/>
      <ns0:c r="I305" s="8" t="str">
        <ns0:f>IF(OR(B305="",J305&lt;&gt;"販売済み",D305="",E305="",G305="",H305=""),"",IF(ISNUMBER(F305),E305-D305-F305-G305-H305,"要確認"))</ns0:f>
        <ns0:v/>
      </ns0:c>
      <ns0:c r="J305" s="6" t="n"/>
      <ns0:c r="K305" s="5" t="n"/>
      <ns0:c r="L305" s="9" t="str">
        <ns0:f>IF(AND(B305&lt;&gt;"",J305="在庫"),COUNTIFS($J$5:J305,"在庫",$B$5:B305,"&lt;&gt;"),"")</ns0:f>
        <ns0:v/>
      </ns0:c>
    </ns0:row>
    <ns0:row r="306">
      <ns0:c r="A306" s="5" t="n"/>
      <ns0:c r="B306" s="6" t="n"/>
      <ns0:c r="C306" s="6" t="n"/>
      <ns0:c r="D306" s="7" t="n"/>
      <ns0:c r="E306" s="7" t="n"/>
      <ns0:c r="F306" s="8" t="str">
        <ns0:f>IF(OR(B306="",J306&lt;&gt;"販売済み",E306="",C306=""),"",IFERROR(IF(OR(COUNTIF('手数料マスタ'!$A$5:$A$104,C306)&lt;&gt;1,COUNTIFS('手数料マスタ'!$A$5:$A$104,C306,'手数料マスタ'!$B$5:$B$104,"&lt;&gt;")&lt;&gt;1,NOT(ISNUMBER(VLOOKUP(C306,'手数料マスタ'!$A$5:$B$104,2,FALSE))),VLOOKUP(C306,'手数料マスタ'!$A$5:$B$104,2,FALSE)&lt;0,VLOOKUP(C306,'手数料マスタ'!$A$5:$B$104,2,FALSE)&gt;1),"要確認",ROUND(E306*VLOOKUP(C306,'手数料マスタ'!$A$5:$B$104,2,FALSE),0)),"要確認"))</ns0:f>
        <ns0:v/>
      </ns0:c>
      <ns0:c r="G306" s="7" t="n"/>
      <ns0:c r="H306" s="7" t="n"/>
      <ns0:c r="I306" s="8" t="str">
        <ns0:f>IF(OR(B306="",J306&lt;&gt;"販売済み",D306="",E306="",G306="",H306=""),"",IF(ISNUMBER(F306),E306-D306-F306-G306-H306,"要確認"))</ns0:f>
        <ns0:v/>
      </ns0:c>
      <ns0:c r="J306" s="6" t="n"/>
      <ns0:c r="K306" s="5" t="n"/>
      <ns0:c r="L306" s="9" t="str">
        <ns0:f>IF(AND(B306&lt;&gt;"",J306="在庫"),COUNTIFS($J$5:J306,"在庫",$B$5:B306,"&lt;&gt;"),"")</ns0:f>
        <ns0:v/>
      </ns0:c>
    </ns0:row>
    <ns0:row r="307">
      <ns0:c r="A307" s="5" t="n"/>
      <ns0:c r="B307" s="6" t="n"/>
      <ns0:c r="C307" s="6" t="n"/>
      <ns0:c r="D307" s="7" t="n"/>
      <ns0:c r="E307" s="7" t="n"/>
      <ns0:c r="F307" s="8" t="str">
        <ns0:f>IF(OR(B307="",J307&lt;&gt;"販売済み",E307="",C307=""),"",IFERROR(IF(OR(COUNTIF('手数料マスタ'!$A$5:$A$104,C307)&lt;&gt;1,COUNTIFS('手数料マスタ'!$A$5:$A$104,C307,'手数料マスタ'!$B$5:$B$104,"&lt;&gt;")&lt;&gt;1,NOT(ISNUMBER(VLOOKUP(C307,'手数料マスタ'!$A$5:$B$104,2,FALSE))),VLOOKUP(C307,'手数料マスタ'!$A$5:$B$104,2,FALSE)&lt;0,VLOOKUP(C307,'手数料マスタ'!$A$5:$B$104,2,FALSE)&gt;1),"要確認",ROUND(E307*VLOOKUP(C307,'手数料マスタ'!$A$5:$B$104,2,FALSE),0)),"要確認"))</ns0:f>
        <ns0:v/>
      </ns0:c>
      <ns0:c r="G307" s="7" t="n"/>
      <ns0:c r="H307" s="7" t="n"/>
      <ns0:c r="I307" s="8" t="str">
        <ns0:f>IF(OR(B307="",J307&lt;&gt;"販売済み",D307="",E307="",G307="",H307=""),"",IF(ISNUMBER(F307),E307-D307-F307-G307-H307,"要確認"))</ns0:f>
        <ns0:v/>
      </ns0:c>
      <ns0:c r="J307" s="6" t="n"/>
      <ns0:c r="K307" s="5" t="n"/>
      <ns0:c r="L307" s="9" t="str">
        <ns0:f>IF(AND(B307&lt;&gt;"",J307="在庫"),COUNTIFS($J$5:J307,"在庫",$B$5:B307,"&lt;&gt;"),"")</ns0:f>
        <ns0:v/>
      </ns0:c>
    </ns0:row>
    <ns0:row r="308">
      <ns0:c r="A308" s="5" t="n"/>
      <ns0:c r="B308" s="6" t="n"/>
      <ns0:c r="C308" s="6" t="n"/>
      <ns0:c r="D308" s="7" t="n"/>
      <ns0:c r="E308" s="7" t="n"/>
      <ns0:c r="F308" s="8" t="str">
        <ns0:f>IF(OR(B308="",J308&lt;&gt;"販売済み",E308="",C308=""),"",IFERROR(IF(OR(COUNTIF('手数料マスタ'!$A$5:$A$104,C308)&lt;&gt;1,COUNTIFS('手数料マスタ'!$A$5:$A$104,C308,'手数料マスタ'!$B$5:$B$104,"&lt;&gt;")&lt;&gt;1,NOT(ISNUMBER(VLOOKUP(C308,'手数料マスタ'!$A$5:$B$104,2,FALSE))),VLOOKUP(C308,'手数料マスタ'!$A$5:$B$104,2,FALSE)&lt;0,VLOOKUP(C308,'手数料マスタ'!$A$5:$B$104,2,FALSE)&gt;1),"要確認",ROUND(E308*VLOOKUP(C308,'手数料マスタ'!$A$5:$B$104,2,FALSE),0)),"要確認"))</ns0:f>
        <ns0:v/>
      </ns0:c>
      <ns0:c r="G308" s="7" t="n"/>
      <ns0:c r="H308" s="7" t="n"/>
      <ns0:c r="I308" s="8" t="str">
        <ns0:f>IF(OR(B308="",J308&lt;&gt;"販売済み",D308="",E308="",G308="",H308=""),"",IF(ISNUMBER(F308),E308-D308-F308-G308-H308,"要確認"))</ns0:f>
        <ns0:v/>
      </ns0:c>
      <ns0:c r="J308" s="6" t="n"/>
      <ns0:c r="K308" s="5" t="n"/>
      <ns0:c r="L308" s="9" t="str">
        <ns0:f>IF(AND(B308&lt;&gt;"",J308="在庫"),COUNTIFS($J$5:J308,"在庫",$B$5:B308,"&lt;&gt;"),"")</ns0:f>
        <ns0:v/>
      </ns0:c>
    </ns0:row>
    <ns0:row r="309">
      <ns0:c r="A309" s="5" t="n"/>
      <ns0:c r="B309" s="6" t="n"/>
      <ns0:c r="C309" s="6" t="n"/>
      <ns0:c r="D309" s="7" t="n"/>
      <ns0:c r="E309" s="7" t="n"/>
      <ns0:c r="F309" s="8" t="str">
        <ns0:f>IF(OR(B309="",J309&lt;&gt;"販売済み",E309="",C309=""),"",IFERROR(IF(OR(COUNTIF('手数料マスタ'!$A$5:$A$104,C309)&lt;&gt;1,COUNTIFS('手数料マスタ'!$A$5:$A$104,C309,'手数料マスタ'!$B$5:$B$104,"&lt;&gt;")&lt;&gt;1,NOT(ISNUMBER(VLOOKUP(C309,'手数料マスタ'!$A$5:$B$104,2,FALSE))),VLOOKUP(C309,'手数料マスタ'!$A$5:$B$104,2,FALSE)&lt;0,VLOOKUP(C309,'手数料マスタ'!$A$5:$B$104,2,FALSE)&gt;1),"要確認",ROUND(E309*VLOOKUP(C309,'手数料マスタ'!$A$5:$B$104,2,FALSE),0)),"要確認"))</ns0:f>
        <ns0:v/>
      </ns0:c>
      <ns0:c r="G309" s="7" t="n"/>
      <ns0:c r="H309" s="7" t="n"/>
      <ns0:c r="I309" s="8" t="str">
        <ns0:f>IF(OR(B309="",J309&lt;&gt;"販売済み",D309="",E309="",G309="",H309=""),"",IF(ISNUMBER(F309),E309-D309-F309-G309-H309,"要確認"))</ns0:f>
        <ns0:v/>
      </ns0:c>
      <ns0:c r="J309" s="6" t="n"/>
      <ns0:c r="K309" s="5" t="n"/>
      <ns0:c r="L309" s="9" t="str">
        <ns0:f>IF(AND(B309&lt;&gt;"",J309="在庫"),COUNTIFS($J$5:J309,"在庫",$B$5:B309,"&lt;&gt;"),"")</ns0:f>
        <ns0:v/>
      </ns0:c>
    </ns0:row>
    <ns0:row r="310">
      <ns0:c r="A310" s="5" t="n"/>
      <ns0:c r="B310" s="6" t="n"/>
      <ns0:c r="C310" s="6" t="n"/>
      <ns0:c r="D310" s="7" t="n"/>
      <ns0:c r="E310" s="7" t="n"/>
      <ns0:c r="F310" s="8" t="str">
        <ns0:f>IF(OR(B310="",J310&lt;&gt;"販売済み",E310="",C310=""),"",IFERROR(IF(OR(COUNTIF('手数料マスタ'!$A$5:$A$104,C310)&lt;&gt;1,COUNTIFS('手数料マスタ'!$A$5:$A$104,C310,'手数料マスタ'!$B$5:$B$104,"&lt;&gt;")&lt;&gt;1,NOT(ISNUMBER(VLOOKUP(C310,'手数料マスタ'!$A$5:$B$104,2,FALSE))),VLOOKUP(C310,'手数料マスタ'!$A$5:$B$104,2,FALSE)&lt;0,VLOOKUP(C310,'手数料マスタ'!$A$5:$B$104,2,FALSE)&gt;1),"要確認",ROUND(E310*VLOOKUP(C310,'手数料マスタ'!$A$5:$B$104,2,FALSE),0)),"要確認"))</ns0:f>
        <ns0:v/>
      </ns0:c>
      <ns0:c r="G310" s="7" t="n"/>
      <ns0:c r="H310" s="7" t="n"/>
      <ns0:c r="I310" s="8" t="str">
        <ns0:f>IF(OR(B310="",J310&lt;&gt;"販売済み",D310="",E310="",G310="",H310=""),"",IF(ISNUMBER(F310),E310-D310-F310-G310-H310,"要確認"))</ns0:f>
        <ns0:v/>
      </ns0:c>
      <ns0:c r="J310" s="6" t="n"/>
      <ns0:c r="K310" s="5" t="n"/>
      <ns0:c r="L310" s="9" t="str">
        <ns0:f>IF(AND(B310&lt;&gt;"",J310="在庫"),COUNTIFS($J$5:J310,"在庫",$B$5:B310,"&lt;&gt;"),"")</ns0:f>
        <ns0:v/>
      </ns0:c>
    </ns0:row>
    <ns0:row r="311">
      <ns0:c r="A311" s="5" t="n"/>
      <ns0:c r="B311" s="6" t="n"/>
      <ns0:c r="C311" s="6" t="n"/>
      <ns0:c r="D311" s="7" t="n"/>
      <ns0:c r="E311" s="7" t="n"/>
      <ns0:c r="F311" s="8" t="str">
        <ns0:f>IF(OR(B311="",J311&lt;&gt;"販売済み",E311="",C311=""),"",IFERROR(IF(OR(COUNTIF('手数料マスタ'!$A$5:$A$104,C311)&lt;&gt;1,COUNTIFS('手数料マスタ'!$A$5:$A$104,C311,'手数料マスタ'!$B$5:$B$104,"&lt;&gt;")&lt;&gt;1,NOT(ISNUMBER(VLOOKUP(C311,'手数料マスタ'!$A$5:$B$104,2,FALSE))),VLOOKUP(C311,'手数料マスタ'!$A$5:$B$104,2,FALSE)&lt;0,VLOOKUP(C311,'手数料マスタ'!$A$5:$B$104,2,FALSE)&gt;1),"要確認",ROUND(E311*VLOOKUP(C311,'手数料マスタ'!$A$5:$B$104,2,FALSE),0)),"要確認"))</ns0:f>
        <ns0:v/>
      </ns0:c>
      <ns0:c r="G311" s="7" t="n"/>
      <ns0:c r="H311" s="7" t="n"/>
      <ns0:c r="I311" s="8" t="str">
        <ns0:f>IF(OR(B311="",J311&lt;&gt;"販売済み",D311="",E311="",G311="",H311=""),"",IF(ISNUMBER(F311),E311-D311-F311-G311-H311,"要確認"))</ns0:f>
        <ns0:v/>
      </ns0:c>
      <ns0:c r="J311" s="6" t="n"/>
      <ns0:c r="K311" s="5" t="n"/>
      <ns0:c r="L311" s="9" t="str">
        <ns0:f>IF(AND(B311&lt;&gt;"",J311="在庫"),COUNTIFS($J$5:J311,"在庫",$B$5:B311,"&lt;&gt;"),"")</ns0:f>
        <ns0:v/>
      </ns0:c>
    </ns0:row>
    <ns0:row r="312">
      <ns0:c r="A312" s="5" t="n"/>
      <ns0:c r="B312" s="6" t="n"/>
      <ns0:c r="C312" s="6" t="n"/>
      <ns0:c r="D312" s="7" t="n"/>
      <ns0:c r="E312" s="7" t="n"/>
      <ns0:c r="F312" s="8" t="str">
        <ns0:f>IF(OR(B312="",J312&lt;&gt;"販売済み",E312="",C312=""),"",IFERROR(IF(OR(COUNTIF('手数料マスタ'!$A$5:$A$104,C312)&lt;&gt;1,COUNTIFS('手数料マスタ'!$A$5:$A$104,C312,'手数料マスタ'!$B$5:$B$104,"&lt;&gt;")&lt;&gt;1,NOT(ISNUMBER(VLOOKUP(C312,'手数料マスタ'!$A$5:$B$104,2,FALSE))),VLOOKUP(C312,'手数料マスタ'!$A$5:$B$104,2,FALSE)&lt;0,VLOOKUP(C312,'手数料マスタ'!$A$5:$B$104,2,FALSE)&gt;1),"要確認",ROUND(E312*VLOOKUP(C312,'手数料マスタ'!$A$5:$B$104,2,FALSE),0)),"要確認"))</ns0:f>
        <ns0:v/>
      </ns0:c>
      <ns0:c r="G312" s="7" t="n"/>
      <ns0:c r="H312" s="7" t="n"/>
      <ns0:c r="I312" s="8" t="str">
        <ns0:f>IF(OR(B312="",J312&lt;&gt;"販売済み",D312="",E312="",G312="",H312=""),"",IF(ISNUMBER(F312),E312-D312-F312-G312-H312,"要確認"))</ns0:f>
        <ns0:v/>
      </ns0:c>
      <ns0:c r="J312" s="6" t="n"/>
      <ns0:c r="K312" s="5" t="n"/>
      <ns0:c r="L312" s="9" t="str">
        <ns0:f>IF(AND(B312&lt;&gt;"",J312="在庫"),COUNTIFS($J$5:J312,"在庫",$B$5:B312,"&lt;&gt;"),"")</ns0:f>
        <ns0:v/>
      </ns0:c>
    </ns0:row>
    <ns0:row r="313">
      <ns0:c r="A313" s="5" t="n"/>
      <ns0:c r="B313" s="6" t="n"/>
      <ns0:c r="C313" s="6" t="n"/>
      <ns0:c r="D313" s="7" t="n"/>
      <ns0:c r="E313" s="7" t="n"/>
      <ns0:c r="F313" s="8" t="str">
        <ns0:f>IF(OR(B313="",J313&lt;&gt;"販売済み",E313="",C313=""),"",IFERROR(IF(OR(COUNTIF('手数料マスタ'!$A$5:$A$104,C313)&lt;&gt;1,COUNTIFS('手数料マスタ'!$A$5:$A$104,C313,'手数料マスタ'!$B$5:$B$104,"&lt;&gt;")&lt;&gt;1,NOT(ISNUMBER(VLOOKUP(C313,'手数料マスタ'!$A$5:$B$104,2,FALSE))),VLOOKUP(C313,'手数料マスタ'!$A$5:$B$104,2,FALSE)&lt;0,VLOOKUP(C313,'手数料マスタ'!$A$5:$B$104,2,FALSE)&gt;1),"要確認",ROUND(E313*VLOOKUP(C313,'手数料マスタ'!$A$5:$B$104,2,FALSE),0)),"要確認"))</ns0:f>
        <ns0:v/>
      </ns0:c>
      <ns0:c r="G313" s="7" t="n"/>
      <ns0:c r="H313" s="7" t="n"/>
      <ns0:c r="I313" s="8" t="str">
        <ns0:f>IF(OR(B313="",J313&lt;&gt;"販売済み",D313="",E313="",G313="",H313=""),"",IF(ISNUMBER(F313),E313-D313-F313-G313-H313,"要確認"))</ns0:f>
        <ns0:v/>
      </ns0:c>
      <ns0:c r="J313" s="6" t="n"/>
      <ns0:c r="K313" s="5" t="n"/>
      <ns0:c r="L313" s="9" t="str">
        <ns0:f>IF(AND(B313&lt;&gt;"",J313="在庫"),COUNTIFS($J$5:J313,"在庫",$B$5:B313,"&lt;&gt;"),"")</ns0:f>
        <ns0:v/>
      </ns0:c>
    </ns0:row>
    <ns0:row r="314">
      <ns0:c r="A314" s="5" t="n"/>
      <ns0:c r="B314" s="6" t="n"/>
      <ns0:c r="C314" s="6" t="n"/>
      <ns0:c r="D314" s="7" t="n"/>
      <ns0:c r="E314" s="7" t="n"/>
      <ns0:c r="F314" s="8" t="str">
        <ns0:f>IF(OR(B314="",J314&lt;&gt;"販売済み",E314="",C314=""),"",IFERROR(IF(OR(COUNTIF('手数料マスタ'!$A$5:$A$104,C314)&lt;&gt;1,COUNTIFS('手数料マスタ'!$A$5:$A$104,C314,'手数料マスタ'!$B$5:$B$104,"&lt;&gt;")&lt;&gt;1,NOT(ISNUMBER(VLOOKUP(C314,'手数料マスタ'!$A$5:$B$104,2,FALSE))),VLOOKUP(C314,'手数料マスタ'!$A$5:$B$104,2,FALSE)&lt;0,VLOOKUP(C314,'手数料マスタ'!$A$5:$B$104,2,FALSE)&gt;1),"要確認",ROUND(E314*VLOOKUP(C314,'手数料マスタ'!$A$5:$B$104,2,FALSE),0)),"要確認"))</ns0:f>
        <ns0:v/>
      </ns0:c>
      <ns0:c r="G314" s="7" t="n"/>
      <ns0:c r="H314" s="7" t="n"/>
      <ns0:c r="I314" s="8" t="str">
        <ns0:f>IF(OR(B314="",J314&lt;&gt;"販売済み",D314="",E314="",G314="",H314=""),"",IF(ISNUMBER(F314),E314-D314-F314-G314-H314,"要確認"))</ns0:f>
        <ns0:v/>
      </ns0:c>
      <ns0:c r="J314" s="6" t="n"/>
      <ns0:c r="K314" s="5" t="n"/>
      <ns0:c r="L314" s="9" t="str">
        <ns0:f>IF(AND(B314&lt;&gt;"",J314="在庫"),COUNTIFS($J$5:J314,"在庫",$B$5:B314,"&lt;&gt;"),"")</ns0:f>
        <ns0:v/>
      </ns0:c>
    </ns0:row>
    <ns0:row r="315">
      <ns0:c r="A315" s="5" t="n"/>
      <ns0:c r="B315" s="6" t="n"/>
      <ns0:c r="C315" s="6" t="n"/>
      <ns0:c r="D315" s="7" t="n"/>
      <ns0:c r="E315" s="7" t="n"/>
      <ns0:c r="F315" s="8" t="str">
        <ns0:f>IF(OR(B315="",J315&lt;&gt;"販売済み",E315="",C315=""),"",IFERROR(IF(OR(COUNTIF('手数料マスタ'!$A$5:$A$104,C315)&lt;&gt;1,COUNTIFS('手数料マスタ'!$A$5:$A$104,C315,'手数料マスタ'!$B$5:$B$104,"&lt;&gt;")&lt;&gt;1,NOT(ISNUMBER(VLOOKUP(C315,'手数料マスタ'!$A$5:$B$104,2,FALSE))),VLOOKUP(C315,'手数料マスタ'!$A$5:$B$104,2,FALSE)&lt;0,VLOOKUP(C315,'手数料マスタ'!$A$5:$B$104,2,FALSE)&gt;1),"要確認",ROUND(E315*VLOOKUP(C315,'手数料マスタ'!$A$5:$B$104,2,FALSE),0)),"要確認"))</ns0:f>
        <ns0:v/>
      </ns0:c>
      <ns0:c r="G315" s="7" t="n"/>
      <ns0:c r="H315" s="7" t="n"/>
      <ns0:c r="I315" s="8" t="str">
        <ns0:f>IF(OR(B315="",J315&lt;&gt;"販売済み",D315="",E315="",G315="",H315=""),"",IF(ISNUMBER(F315),E315-D315-F315-G315-H315,"要確認"))</ns0:f>
        <ns0:v/>
      </ns0:c>
      <ns0:c r="J315" s="6" t="n"/>
      <ns0:c r="K315" s="5" t="n"/>
      <ns0:c r="L315" s="9" t="str">
        <ns0:f>IF(AND(B315&lt;&gt;"",J315="在庫"),COUNTIFS($J$5:J315,"在庫",$B$5:B315,"&lt;&gt;"),"")</ns0:f>
        <ns0:v/>
      </ns0:c>
    </ns0:row>
    <ns0:row r="316">
      <ns0:c r="A316" s="5" t="n"/>
      <ns0:c r="B316" s="6" t="n"/>
      <ns0:c r="C316" s="6" t="n"/>
      <ns0:c r="D316" s="7" t="n"/>
      <ns0:c r="E316" s="7" t="n"/>
      <ns0:c r="F316" s="8" t="str">
        <ns0:f>IF(OR(B316="",J316&lt;&gt;"販売済み",E316="",C316=""),"",IFERROR(IF(OR(COUNTIF('手数料マスタ'!$A$5:$A$104,C316)&lt;&gt;1,COUNTIFS('手数料マスタ'!$A$5:$A$104,C316,'手数料マスタ'!$B$5:$B$104,"&lt;&gt;")&lt;&gt;1,NOT(ISNUMBER(VLOOKUP(C316,'手数料マスタ'!$A$5:$B$104,2,FALSE))),VLOOKUP(C316,'手数料マスタ'!$A$5:$B$104,2,FALSE)&lt;0,VLOOKUP(C316,'手数料マスタ'!$A$5:$B$104,2,FALSE)&gt;1),"要確認",ROUND(E316*VLOOKUP(C316,'手数料マスタ'!$A$5:$B$104,2,FALSE),0)),"要確認"))</ns0:f>
        <ns0:v/>
      </ns0:c>
      <ns0:c r="G316" s="7" t="n"/>
      <ns0:c r="H316" s="7" t="n"/>
      <ns0:c r="I316" s="8" t="str">
        <ns0:f>IF(OR(B316="",J316&lt;&gt;"販売済み",D316="",E316="",G316="",H316=""),"",IF(ISNUMBER(F316),E316-D316-F316-G316-H316,"要確認"))</ns0:f>
        <ns0:v/>
      </ns0:c>
      <ns0:c r="J316" s="6" t="n"/>
      <ns0:c r="K316" s="5" t="n"/>
      <ns0:c r="L316" s="9" t="str">
        <ns0:f>IF(AND(B316&lt;&gt;"",J316="在庫"),COUNTIFS($J$5:J316,"在庫",$B$5:B316,"&lt;&gt;"),"")</ns0:f>
        <ns0:v/>
      </ns0:c>
    </ns0:row>
    <ns0:row r="317">
      <ns0:c r="A317" s="5" t="n"/>
      <ns0:c r="B317" s="6" t="n"/>
      <ns0:c r="C317" s="6" t="n"/>
      <ns0:c r="D317" s="7" t="n"/>
      <ns0:c r="E317" s="7" t="n"/>
      <ns0:c r="F317" s="8" t="str">
        <ns0:f>IF(OR(B317="",J317&lt;&gt;"販売済み",E317="",C317=""),"",IFERROR(IF(OR(COUNTIF('手数料マスタ'!$A$5:$A$104,C317)&lt;&gt;1,COUNTIFS('手数料マスタ'!$A$5:$A$104,C317,'手数料マスタ'!$B$5:$B$104,"&lt;&gt;")&lt;&gt;1,NOT(ISNUMBER(VLOOKUP(C317,'手数料マスタ'!$A$5:$B$104,2,FALSE))),VLOOKUP(C317,'手数料マスタ'!$A$5:$B$104,2,FALSE)&lt;0,VLOOKUP(C317,'手数料マスタ'!$A$5:$B$104,2,FALSE)&gt;1),"要確認",ROUND(E317*VLOOKUP(C317,'手数料マスタ'!$A$5:$B$104,2,FALSE),0)),"要確認"))</ns0:f>
        <ns0:v/>
      </ns0:c>
      <ns0:c r="G317" s="7" t="n"/>
      <ns0:c r="H317" s="7" t="n"/>
      <ns0:c r="I317" s="8" t="str">
        <ns0:f>IF(OR(B317="",J317&lt;&gt;"販売済み",D317="",E317="",G317="",H317=""),"",IF(ISNUMBER(F317),E317-D317-F317-G317-H317,"要確認"))</ns0:f>
        <ns0:v/>
      </ns0:c>
      <ns0:c r="J317" s="6" t="n"/>
      <ns0:c r="K317" s="5" t="n"/>
      <ns0:c r="L317" s="9" t="str">
        <ns0:f>IF(AND(B317&lt;&gt;"",J317="在庫"),COUNTIFS($J$5:J317,"在庫",$B$5:B317,"&lt;&gt;"),"")</ns0:f>
        <ns0:v/>
      </ns0:c>
    </ns0:row>
    <ns0:row r="318">
      <ns0:c r="A318" s="5" t="n"/>
      <ns0:c r="B318" s="6" t="n"/>
      <ns0:c r="C318" s="6" t="n"/>
      <ns0:c r="D318" s="7" t="n"/>
      <ns0:c r="E318" s="7" t="n"/>
      <ns0:c r="F318" s="8" t="str">
        <ns0:f>IF(OR(B318="",J318&lt;&gt;"販売済み",E318="",C318=""),"",IFERROR(IF(OR(COUNTIF('手数料マスタ'!$A$5:$A$104,C318)&lt;&gt;1,COUNTIFS('手数料マスタ'!$A$5:$A$104,C318,'手数料マスタ'!$B$5:$B$104,"&lt;&gt;")&lt;&gt;1,NOT(ISNUMBER(VLOOKUP(C318,'手数料マスタ'!$A$5:$B$104,2,FALSE))),VLOOKUP(C318,'手数料マスタ'!$A$5:$B$104,2,FALSE)&lt;0,VLOOKUP(C318,'手数料マスタ'!$A$5:$B$104,2,FALSE)&gt;1),"要確認",ROUND(E318*VLOOKUP(C318,'手数料マスタ'!$A$5:$B$104,2,FALSE),0)),"要確認"))</ns0:f>
        <ns0:v/>
      </ns0:c>
      <ns0:c r="G318" s="7" t="n"/>
      <ns0:c r="H318" s="7" t="n"/>
      <ns0:c r="I318" s="8" t="str">
        <ns0:f>IF(OR(B318="",J318&lt;&gt;"販売済み",D318="",E318="",G318="",H318=""),"",IF(ISNUMBER(F318),E318-D318-F318-G318-H318,"要確認"))</ns0:f>
        <ns0:v/>
      </ns0:c>
      <ns0:c r="J318" s="6" t="n"/>
      <ns0:c r="K318" s="5" t="n"/>
      <ns0:c r="L318" s="9" t="str">
        <ns0:f>IF(AND(B318&lt;&gt;"",J318="在庫"),COUNTIFS($J$5:J318,"在庫",$B$5:B318,"&lt;&gt;"),"")</ns0:f>
        <ns0:v/>
      </ns0:c>
    </ns0:row>
    <ns0:row r="319">
      <ns0:c r="A319" s="5" t="n"/>
      <ns0:c r="B319" s="6" t="n"/>
      <ns0:c r="C319" s="6" t="n"/>
      <ns0:c r="D319" s="7" t="n"/>
      <ns0:c r="E319" s="7" t="n"/>
      <ns0:c r="F319" s="8" t="str">
        <ns0:f>IF(OR(B319="",J319&lt;&gt;"販売済み",E319="",C319=""),"",IFERROR(IF(OR(COUNTIF('手数料マスタ'!$A$5:$A$104,C319)&lt;&gt;1,COUNTIFS('手数料マスタ'!$A$5:$A$104,C319,'手数料マスタ'!$B$5:$B$104,"&lt;&gt;")&lt;&gt;1,NOT(ISNUMBER(VLOOKUP(C319,'手数料マスタ'!$A$5:$B$104,2,FALSE))),VLOOKUP(C319,'手数料マスタ'!$A$5:$B$104,2,FALSE)&lt;0,VLOOKUP(C319,'手数料マスタ'!$A$5:$B$104,2,FALSE)&gt;1),"要確認",ROUND(E319*VLOOKUP(C319,'手数料マスタ'!$A$5:$B$104,2,FALSE),0)),"要確認"))</ns0:f>
        <ns0:v/>
      </ns0:c>
      <ns0:c r="G319" s="7" t="n"/>
      <ns0:c r="H319" s="7" t="n"/>
      <ns0:c r="I319" s="8" t="str">
        <ns0:f>IF(OR(B319="",J319&lt;&gt;"販売済み",D319="",E319="",G319="",H319=""),"",IF(ISNUMBER(F319),E319-D319-F319-G319-H319,"要確認"))</ns0:f>
        <ns0:v/>
      </ns0:c>
      <ns0:c r="J319" s="6" t="n"/>
      <ns0:c r="K319" s="5" t="n"/>
      <ns0:c r="L319" s="9" t="str">
        <ns0:f>IF(AND(B319&lt;&gt;"",J319="在庫"),COUNTIFS($J$5:J319,"在庫",$B$5:B319,"&lt;&gt;"),"")</ns0:f>
        <ns0:v/>
      </ns0:c>
    </ns0:row>
    <ns0:row r="320">
      <ns0:c r="A320" s="5" t="n"/>
      <ns0:c r="B320" s="6" t="n"/>
      <ns0:c r="C320" s="6" t="n"/>
      <ns0:c r="D320" s="7" t="n"/>
      <ns0:c r="E320" s="7" t="n"/>
      <ns0:c r="F320" s="8" t="str">
        <ns0:f>IF(OR(B320="",J320&lt;&gt;"販売済み",E320="",C320=""),"",IFERROR(IF(OR(COUNTIF('手数料マスタ'!$A$5:$A$104,C320)&lt;&gt;1,COUNTIFS('手数料マスタ'!$A$5:$A$104,C320,'手数料マスタ'!$B$5:$B$104,"&lt;&gt;")&lt;&gt;1,NOT(ISNUMBER(VLOOKUP(C320,'手数料マスタ'!$A$5:$B$104,2,FALSE))),VLOOKUP(C320,'手数料マスタ'!$A$5:$B$104,2,FALSE)&lt;0,VLOOKUP(C320,'手数料マスタ'!$A$5:$B$104,2,FALSE)&gt;1),"要確認",ROUND(E320*VLOOKUP(C320,'手数料マスタ'!$A$5:$B$104,2,FALSE),0)),"要確認"))</ns0:f>
        <ns0:v/>
      </ns0:c>
      <ns0:c r="G320" s="7" t="n"/>
      <ns0:c r="H320" s="7" t="n"/>
      <ns0:c r="I320" s="8" t="str">
        <ns0:f>IF(OR(B320="",J320&lt;&gt;"販売済み",D320="",E320="",G320="",H320=""),"",IF(ISNUMBER(F320),E320-D320-F320-G320-H320,"要確認"))</ns0:f>
        <ns0:v/>
      </ns0:c>
      <ns0:c r="J320" s="6" t="n"/>
      <ns0:c r="K320" s="5" t="n"/>
      <ns0:c r="L320" s="9" t="str">
        <ns0:f>IF(AND(B320&lt;&gt;"",J320="在庫"),COUNTIFS($J$5:J320,"在庫",$B$5:B320,"&lt;&gt;"),"")</ns0:f>
        <ns0:v/>
      </ns0:c>
    </ns0:row>
    <ns0:row r="321">
      <ns0:c r="A321" s="5" t="n"/>
      <ns0:c r="B321" s="6" t="n"/>
      <ns0:c r="C321" s="6" t="n"/>
      <ns0:c r="D321" s="7" t="n"/>
      <ns0:c r="E321" s="7" t="n"/>
      <ns0:c r="F321" s="8" t="str">
        <ns0:f>IF(OR(B321="",J321&lt;&gt;"販売済み",E321="",C321=""),"",IFERROR(IF(OR(COUNTIF('手数料マスタ'!$A$5:$A$104,C321)&lt;&gt;1,COUNTIFS('手数料マスタ'!$A$5:$A$104,C321,'手数料マスタ'!$B$5:$B$104,"&lt;&gt;")&lt;&gt;1,NOT(ISNUMBER(VLOOKUP(C321,'手数料マスタ'!$A$5:$B$104,2,FALSE))),VLOOKUP(C321,'手数料マスタ'!$A$5:$B$104,2,FALSE)&lt;0,VLOOKUP(C321,'手数料マスタ'!$A$5:$B$104,2,FALSE)&gt;1),"要確認",ROUND(E321*VLOOKUP(C321,'手数料マスタ'!$A$5:$B$104,2,FALSE),0)),"要確認"))</ns0:f>
        <ns0:v/>
      </ns0:c>
      <ns0:c r="G321" s="7" t="n"/>
      <ns0:c r="H321" s="7" t="n"/>
      <ns0:c r="I321" s="8" t="str">
        <ns0:f>IF(OR(B321="",J321&lt;&gt;"販売済み",D321="",E321="",G321="",H321=""),"",IF(ISNUMBER(F321),E321-D321-F321-G321-H321,"要確認"))</ns0:f>
        <ns0:v/>
      </ns0:c>
      <ns0:c r="J321" s="6" t="n"/>
      <ns0:c r="K321" s="5" t="n"/>
      <ns0:c r="L321" s="9" t="str">
        <ns0:f>IF(AND(B321&lt;&gt;"",J321="在庫"),COUNTIFS($J$5:J321,"在庫",$B$5:B321,"&lt;&gt;"),"")</ns0:f>
        <ns0:v/>
      </ns0:c>
    </ns0:row>
    <ns0:row r="322">
      <ns0:c r="A322" s="5" t="n"/>
      <ns0:c r="B322" s="6" t="n"/>
      <ns0:c r="C322" s="6" t="n"/>
      <ns0:c r="D322" s="7" t="n"/>
      <ns0:c r="E322" s="7" t="n"/>
      <ns0:c r="F322" s="8" t="str">
        <ns0:f>IF(OR(B322="",J322&lt;&gt;"販売済み",E322="",C322=""),"",IFERROR(IF(OR(COUNTIF('手数料マスタ'!$A$5:$A$104,C322)&lt;&gt;1,COUNTIFS('手数料マスタ'!$A$5:$A$104,C322,'手数料マスタ'!$B$5:$B$104,"&lt;&gt;")&lt;&gt;1,NOT(ISNUMBER(VLOOKUP(C322,'手数料マスタ'!$A$5:$B$104,2,FALSE))),VLOOKUP(C322,'手数料マスタ'!$A$5:$B$104,2,FALSE)&lt;0,VLOOKUP(C322,'手数料マスタ'!$A$5:$B$104,2,FALSE)&gt;1),"要確認",ROUND(E322*VLOOKUP(C322,'手数料マスタ'!$A$5:$B$104,2,FALSE),0)),"要確認"))</ns0:f>
        <ns0:v/>
      </ns0:c>
      <ns0:c r="G322" s="7" t="n"/>
      <ns0:c r="H322" s="7" t="n"/>
      <ns0:c r="I322" s="8" t="str">
        <ns0:f>IF(OR(B322="",J322&lt;&gt;"販売済み",D322="",E322="",G322="",H322=""),"",IF(ISNUMBER(F322),E322-D322-F322-G322-H322,"要確認"))</ns0:f>
        <ns0:v/>
      </ns0:c>
      <ns0:c r="J322" s="6" t="n"/>
      <ns0:c r="K322" s="5" t="n"/>
      <ns0:c r="L322" s="9" t="str">
        <ns0:f>IF(AND(B322&lt;&gt;"",J322="在庫"),COUNTIFS($J$5:J322,"在庫",$B$5:B322,"&lt;&gt;"),"")</ns0:f>
        <ns0:v/>
      </ns0:c>
    </ns0:row>
    <ns0:row r="323">
      <ns0:c r="A323" s="5" t="n"/>
      <ns0:c r="B323" s="6" t="n"/>
      <ns0:c r="C323" s="6" t="n"/>
      <ns0:c r="D323" s="7" t="n"/>
      <ns0:c r="E323" s="7" t="n"/>
      <ns0:c r="F323" s="8" t="str">
        <ns0:f>IF(OR(B323="",J323&lt;&gt;"販売済み",E323="",C323=""),"",IFERROR(IF(OR(COUNTIF('手数料マスタ'!$A$5:$A$104,C323)&lt;&gt;1,COUNTIFS('手数料マスタ'!$A$5:$A$104,C323,'手数料マスタ'!$B$5:$B$104,"&lt;&gt;")&lt;&gt;1,NOT(ISNUMBER(VLOOKUP(C323,'手数料マスタ'!$A$5:$B$104,2,FALSE))),VLOOKUP(C323,'手数料マスタ'!$A$5:$B$104,2,FALSE)&lt;0,VLOOKUP(C323,'手数料マスタ'!$A$5:$B$104,2,FALSE)&gt;1),"要確認",ROUND(E323*VLOOKUP(C323,'手数料マスタ'!$A$5:$B$104,2,FALSE),0)),"要確認"))</ns0:f>
        <ns0:v/>
      </ns0:c>
      <ns0:c r="G323" s="7" t="n"/>
      <ns0:c r="H323" s="7" t="n"/>
      <ns0:c r="I323" s="8" t="str">
        <ns0:f>IF(OR(B323="",J323&lt;&gt;"販売済み",D323="",E323="",G323="",H323=""),"",IF(ISNUMBER(F323),E323-D323-F323-G323-H323,"要確認"))</ns0:f>
        <ns0:v/>
      </ns0:c>
      <ns0:c r="J323" s="6" t="n"/>
      <ns0:c r="K323" s="5" t="n"/>
      <ns0:c r="L323" s="9" t="str">
        <ns0:f>IF(AND(B323&lt;&gt;"",J323="在庫"),COUNTIFS($J$5:J323,"在庫",$B$5:B323,"&lt;&gt;"),"")</ns0:f>
        <ns0:v/>
      </ns0:c>
    </ns0:row>
    <ns0:row r="324">
      <ns0:c r="A324" s="5" t="n"/>
      <ns0:c r="B324" s="6" t="n"/>
      <ns0:c r="C324" s="6" t="n"/>
      <ns0:c r="D324" s="7" t="n"/>
      <ns0:c r="E324" s="7" t="n"/>
      <ns0:c r="F324" s="8" t="str">
        <ns0:f>IF(OR(B324="",J324&lt;&gt;"販売済み",E324="",C324=""),"",IFERROR(IF(OR(COUNTIF('手数料マスタ'!$A$5:$A$104,C324)&lt;&gt;1,COUNTIFS('手数料マスタ'!$A$5:$A$104,C324,'手数料マスタ'!$B$5:$B$104,"&lt;&gt;")&lt;&gt;1,NOT(ISNUMBER(VLOOKUP(C324,'手数料マスタ'!$A$5:$B$104,2,FALSE))),VLOOKUP(C324,'手数料マスタ'!$A$5:$B$104,2,FALSE)&lt;0,VLOOKUP(C324,'手数料マスタ'!$A$5:$B$104,2,FALSE)&gt;1),"要確認",ROUND(E324*VLOOKUP(C324,'手数料マスタ'!$A$5:$B$104,2,FALSE),0)),"要確認"))</ns0:f>
        <ns0:v/>
      </ns0:c>
      <ns0:c r="G324" s="7" t="n"/>
      <ns0:c r="H324" s="7" t="n"/>
      <ns0:c r="I324" s="8" t="str">
        <ns0:f>IF(OR(B324="",J324&lt;&gt;"販売済み",D324="",E324="",G324="",H324=""),"",IF(ISNUMBER(F324),E324-D324-F324-G324-H324,"要確認"))</ns0:f>
        <ns0:v/>
      </ns0:c>
      <ns0:c r="J324" s="6" t="n"/>
      <ns0:c r="K324" s="5" t="n"/>
      <ns0:c r="L324" s="9" t="str">
        <ns0:f>IF(AND(B324&lt;&gt;"",J324="在庫"),COUNTIFS($J$5:J324,"在庫",$B$5:B324,"&lt;&gt;"),"")</ns0:f>
        <ns0:v/>
      </ns0:c>
    </ns0:row>
    <ns0:row r="325">
      <ns0:c r="A325" s="5" t="n"/>
      <ns0:c r="B325" s="6" t="n"/>
      <ns0:c r="C325" s="6" t="n"/>
      <ns0:c r="D325" s="7" t="n"/>
      <ns0:c r="E325" s="7" t="n"/>
      <ns0:c r="F325" s="8" t="str">
        <ns0:f>IF(OR(B325="",J325&lt;&gt;"販売済み",E325="",C325=""),"",IFERROR(IF(OR(COUNTIF('手数料マスタ'!$A$5:$A$104,C325)&lt;&gt;1,COUNTIFS('手数料マスタ'!$A$5:$A$104,C325,'手数料マスタ'!$B$5:$B$104,"&lt;&gt;")&lt;&gt;1,NOT(ISNUMBER(VLOOKUP(C325,'手数料マスタ'!$A$5:$B$104,2,FALSE))),VLOOKUP(C325,'手数料マスタ'!$A$5:$B$104,2,FALSE)&lt;0,VLOOKUP(C325,'手数料マスタ'!$A$5:$B$104,2,FALSE)&gt;1),"要確認",ROUND(E325*VLOOKUP(C325,'手数料マスタ'!$A$5:$B$104,2,FALSE),0)),"要確認"))</ns0:f>
        <ns0:v/>
      </ns0:c>
      <ns0:c r="G325" s="7" t="n"/>
      <ns0:c r="H325" s="7" t="n"/>
      <ns0:c r="I325" s="8" t="str">
        <ns0:f>IF(OR(B325="",J325&lt;&gt;"販売済み",D325="",E325="",G325="",H325=""),"",IF(ISNUMBER(F325),E325-D325-F325-G325-H325,"要確認"))</ns0:f>
        <ns0:v/>
      </ns0:c>
      <ns0:c r="J325" s="6" t="n"/>
      <ns0:c r="K325" s="5" t="n"/>
      <ns0:c r="L325" s="9" t="str">
        <ns0:f>IF(AND(B325&lt;&gt;"",J325="在庫"),COUNTIFS($J$5:J325,"在庫",$B$5:B325,"&lt;&gt;"),"")</ns0:f>
        <ns0:v/>
      </ns0:c>
    </ns0:row>
    <ns0:row r="326">
      <ns0:c r="A326" s="5" t="n"/>
      <ns0:c r="B326" s="6" t="n"/>
      <ns0:c r="C326" s="6" t="n"/>
      <ns0:c r="D326" s="7" t="n"/>
      <ns0:c r="E326" s="7" t="n"/>
      <ns0:c r="F326" s="8" t="str">
        <ns0:f>IF(OR(B326="",J326&lt;&gt;"販売済み",E326="",C326=""),"",IFERROR(IF(OR(COUNTIF('手数料マスタ'!$A$5:$A$104,C326)&lt;&gt;1,COUNTIFS('手数料マスタ'!$A$5:$A$104,C326,'手数料マスタ'!$B$5:$B$104,"&lt;&gt;")&lt;&gt;1,NOT(ISNUMBER(VLOOKUP(C326,'手数料マスタ'!$A$5:$B$104,2,FALSE))),VLOOKUP(C326,'手数料マスタ'!$A$5:$B$104,2,FALSE)&lt;0,VLOOKUP(C326,'手数料マスタ'!$A$5:$B$104,2,FALSE)&gt;1),"要確認",ROUND(E326*VLOOKUP(C326,'手数料マスタ'!$A$5:$B$104,2,FALSE),0)),"要確認"))</ns0:f>
        <ns0:v/>
      </ns0:c>
      <ns0:c r="G326" s="7" t="n"/>
      <ns0:c r="H326" s="7" t="n"/>
      <ns0:c r="I326" s="8" t="str">
        <ns0:f>IF(OR(B326="",J326&lt;&gt;"販売済み",D326="",E326="",G326="",H326=""),"",IF(ISNUMBER(F326),E326-D326-F326-G326-H326,"要確認"))</ns0:f>
        <ns0:v/>
      </ns0:c>
      <ns0:c r="J326" s="6" t="n"/>
      <ns0:c r="K326" s="5" t="n"/>
      <ns0:c r="L326" s="9" t="str">
        <ns0:f>IF(AND(B326&lt;&gt;"",J326="在庫"),COUNTIFS($J$5:J326,"在庫",$B$5:B326,"&lt;&gt;"),"")</ns0:f>
        <ns0:v/>
      </ns0:c>
    </ns0:row>
    <ns0:row r="327">
      <ns0:c r="A327" s="5" t="n"/>
      <ns0:c r="B327" s="6" t="n"/>
      <ns0:c r="C327" s="6" t="n"/>
      <ns0:c r="D327" s="7" t="n"/>
      <ns0:c r="E327" s="7" t="n"/>
      <ns0:c r="F327" s="8" t="str">
        <ns0:f>IF(OR(B327="",J327&lt;&gt;"販売済み",E327="",C327=""),"",IFERROR(IF(OR(COUNTIF('手数料マスタ'!$A$5:$A$104,C327)&lt;&gt;1,COUNTIFS('手数料マスタ'!$A$5:$A$104,C327,'手数料マスタ'!$B$5:$B$104,"&lt;&gt;")&lt;&gt;1,NOT(ISNUMBER(VLOOKUP(C327,'手数料マスタ'!$A$5:$B$104,2,FALSE))),VLOOKUP(C327,'手数料マスタ'!$A$5:$B$104,2,FALSE)&lt;0,VLOOKUP(C327,'手数料マスタ'!$A$5:$B$104,2,FALSE)&gt;1),"要確認",ROUND(E327*VLOOKUP(C327,'手数料マスタ'!$A$5:$B$104,2,FALSE),0)),"要確認"))</ns0:f>
        <ns0:v/>
      </ns0:c>
      <ns0:c r="G327" s="7" t="n"/>
      <ns0:c r="H327" s="7" t="n"/>
      <ns0:c r="I327" s="8" t="str">
        <ns0:f>IF(OR(B327="",J327&lt;&gt;"販売済み",D327="",E327="",G327="",H327=""),"",IF(ISNUMBER(F327),E327-D327-F327-G327-H327,"要確認"))</ns0:f>
        <ns0:v/>
      </ns0:c>
      <ns0:c r="J327" s="6" t="n"/>
      <ns0:c r="K327" s="5" t="n"/>
      <ns0:c r="L327" s="9" t="str">
        <ns0:f>IF(AND(B327&lt;&gt;"",J327="在庫"),COUNTIFS($J$5:J327,"在庫",$B$5:B327,"&lt;&gt;"),"")</ns0:f>
        <ns0:v/>
      </ns0:c>
    </ns0:row>
    <ns0:row r="328">
      <ns0:c r="A328" s="5" t="n"/>
      <ns0:c r="B328" s="6" t="n"/>
      <ns0:c r="C328" s="6" t="n"/>
      <ns0:c r="D328" s="7" t="n"/>
      <ns0:c r="E328" s="7" t="n"/>
      <ns0:c r="F328" s="8" t="str">
        <ns0:f>IF(OR(B328="",J328&lt;&gt;"販売済み",E328="",C328=""),"",IFERROR(IF(OR(COUNTIF('手数料マスタ'!$A$5:$A$104,C328)&lt;&gt;1,COUNTIFS('手数料マスタ'!$A$5:$A$104,C328,'手数料マスタ'!$B$5:$B$104,"&lt;&gt;")&lt;&gt;1,NOT(ISNUMBER(VLOOKUP(C328,'手数料マスタ'!$A$5:$B$104,2,FALSE))),VLOOKUP(C328,'手数料マスタ'!$A$5:$B$104,2,FALSE)&lt;0,VLOOKUP(C328,'手数料マスタ'!$A$5:$B$104,2,FALSE)&gt;1),"要確認",ROUND(E328*VLOOKUP(C328,'手数料マスタ'!$A$5:$B$104,2,FALSE),0)),"要確認"))</ns0:f>
        <ns0:v/>
      </ns0:c>
      <ns0:c r="G328" s="7" t="n"/>
      <ns0:c r="H328" s="7" t="n"/>
      <ns0:c r="I328" s="8" t="str">
        <ns0:f>IF(OR(B328="",J328&lt;&gt;"販売済み",D328="",E328="",G328="",H328=""),"",IF(ISNUMBER(F328),E328-D328-F328-G328-H328,"要確認"))</ns0:f>
        <ns0:v/>
      </ns0:c>
      <ns0:c r="J328" s="6" t="n"/>
      <ns0:c r="K328" s="5" t="n"/>
      <ns0:c r="L328" s="9" t="str">
        <ns0:f>IF(AND(B328&lt;&gt;"",J328="在庫"),COUNTIFS($J$5:J328,"在庫",$B$5:B328,"&lt;&gt;"),"")</ns0:f>
        <ns0:v/>
      </ns0:c>
    </ns0:row>
    <ns0:row r="329">
      <ns0:c r="A329" s="5" t="n"/>
      <ns0:c r="B329" s="6" t="n"/>
      <ns0:c r="C329" s="6" t="n"/>
      <ns0:c r="D329" s="7" t="n"/>
      <ns0:c r="E329" s="7" t="n"/>
      <ns0:c r="F329" s="8" t="str">
        <ns0:f>IF(OR(B329="",J329&lt;&gt;"販売済み",E329="",C329=""),"",IFERROR(IF(OR(COUNTIF('手数料マスタ'!$A$5:$A$104,C329)&lt;&gt;1,COUNTIFS('手数料マスタ'!$A$5:$A$104,C329,'手数料マスタ'!$B$5:$B$104,"&lt;&gt;")&lt;&gt;1,NOT(ISNUMBER(VLOOKUP(C329,'手数料マスタ'!$A$5:$B$104,2,FALSE))),VLOOKUP(C329,'手数料マスタ'!$A$5:$B$104,2,FALSE)&lt;0,VLOOKUP(C329,'手数料マスタ'!$A$5:$B$104,2,FALSE)&gt;1),"要確認",ROUND(E329*VLOOKUP(C329,'手数料マスタ'!$A$5:$B$104,2,FALSE),0)),"要確認"))</ns0:f>
        <ns0:v/>
      </ns0:c>
      <ns0:c r="G329" s="7" t="n"/>
      <ns0:c r="H329" s="7" t="n"/>
      <ns0:c r="I329" s="8" t="str">
        <ns0:f>IF(OR(B329="",J329&lt;&gt;"販売済み",D329="",E329="",G329="",H329=""),"",IF(ISNUMBER(F329),E329-D329-F329-G329-H329,"要確認"))</ns0:f>
        <ns0:v/>
      </ns0:c>
      <ns0:c r="J329" s="6" t="n"/>
      <ns0:c r="K329" s="5" t="n"/>
      <ns0:c r="L329" s="9" t="str">
        <ns0:f>IF(AND(B329&lt;&gt;"",J329="在庫"),COUNTIFS($J$5:J329,"在庫",$B$5:B329,"&lt;&gt;"),"")</ns0:f>
        <ns0:v/>
      </ns0:c>
    </ns0:row>
    <ns0:row r="330">
      <ns0:c r="A330" s="5" t="n"/>
      <ns0:c r="B330" s="6" t="n"/>
      <ns0:c r="C330" s="6" t="n"/>
      <ns0:c r="D330" s="7" t="n"/>
      <ns0:c r="E330" s="7" t="n"/>
      <ns0:c r="F330" s="8" t="str">
        <ns0:f>IF(OR(B330="",J330&lt;&gt;"販売済み",E330="",C330=""),"",IFERROR(IF(OR(COUNTIF('手数料マスタ'!$A$5:$A$104,C330)&lt;&gt;1,COUNTIFS('手数料マスタ'!$A$5:$A$104,C330,'手数料マスタ'!$B$5:$B$104,"&lt;&gt;")&lt;&gt;1,NOT(ISNUMBER(VLOOKUP(C330,'手数料マスタ'!$A$5:$B$104,2,FALSE))),VLOOKUP(C330,'手数料マスタ'!$A$5:$B$104,2,FALSE)&lt;0,VLOOKUP(C330,'手数料マスタ'!$A$5:$B$104,2,FALSE)&gt;1),"要確認",ROUND(E330*VLOOKUP(C330,'手数料マスタ'!$A$5:$B$104,2,FALSE),0)),"要確認"))</ns0:f>
        <ns0:v/>
      </ns0:c>
      <ns0:c r="G330" s="7" t="n"/>
      <ns0:c r="H330" s="7" t="n"/>
      <ns0:c r="I330" s="8" t="str">
        <ns0:f>IF(OR(B330="",J330&lt;&gt;"販売済み",D330="",E330="",G330="",H330=""),"",IF(ISNUMBER(F330),E330-D330-F330-G330-H330,"要確認"))</ns0:f>
        <ns0:v/>
      </ns0:c>
      <ns0:c r="J330" s="6" t="n"/>
      <ns0:c r="K330" s="5" t="n"/>
      <ns0:c r="L330" s="9" t="str">
        <ns0:f>IF(AND(B330&lt;&gt;"",J330="在庫"),COUNTIFS($J$5:J330,"在庫",$B$5:B330,"&lt;&gt;"),"")</ns0:f>
        <ns0:v/>
      </ns0:c>
    </ns0:row>
    <ns0:row r="331">
      <ns0:c r="A331" s="5" t="n"/>
      <ns0:c r="B331" s="6" t="n"/>
      <ns0:c r="C331" s="6" t="n"/>
      <ns0:c r="D331" s="7" t="n"/>
      <ns0:c r="E331" s="7" t="n"/>
      <ns0:c r="F331" s="8" t="str">
        <ns0:f>IF(OR(B331="",J331&lt;&gt;"販売済み",E331="",C331=""),"",IFERROR(IF(OR(COUNTIF('手数料マスタ'!$A$5:$A$104,C331)&lt;&gt;1,COUNTIFS('手数料マスタ'!$A$5:$A$104,C331,'手数料マスタ'!$B$5:$B$104,"&lt;&gt;")&lt;&gt;1,NOT(ISNUMBER(VLOOKUP(C331,'手数料マスタ'!$A$5:$B$104,2,FALSE))),VLOOKUP(C331,'手数料マスタ'!$A$5:$B$104,2,FALSE)&lt;0,VLOOKUP(C331,'手数料マスタ'!$A$5:$B$104,2,FALSE)&gt;1),"要確認",ROUND(E331*VLOOKUP(C331,'手数料マスタ'!$A$5:$B$104,2,FALSE),0)),"要確認"))</ns0:f>
        <ns0:v/>
      </ns0:c>
      <ns0:c r="G331" s="7" t="n"/>
      <ns0:c r="H331" s="7" t="n"/>
      <ns0:c r="I331" s="8" t="str">
        <ns0:f>IF(OR(B331="",J331&lt;&gt;"販売済み",D331="",E331="",G331="",H331=""),"",IF(ISNUMBER(F331),E331-D331-F331-G331-H331,"要確認"))</ns0:f>
        <ns0:v/>
      </ns0:c>
      <ns0:c r="J331" s="6" t="n"/>
      <ns0:c r="K331" s="5" t="n"/>
      <ns0:c r="L331" s="9" t="str">
        <ns0:f>IF(AND(B331&lt;&gt;"",J331="在庫"),COUNTIFS($J$5:J331,"在庫",$B$5:B331,"&lt;&gt;"),"")</ns0:f>
        <ns0:v/>
      </ns0:c>
    </ns0:row>
    <ns0:row r="332">
      <ns0:c r="A332" s="5" t="n"/>
      <ns0:c r="B332" s="6" t="n"/>
      <ns0:c r="C332" s="6" t="n"/>
      <ns0:c r="D332" s="7" t="n"/>
      <ns0:c r="E332" s="7" t="n"/>
      <ns0:c r="F332" s="8" t="str">
        <ns0:f>IF(OR(B332="",J332&lt;&gt;"販売済み",E332="",C332=""),"",IFERROR(IF(OR(COUNTIF('手数料マスタ'!$A$5:$A$104,C332)&lt;&gt;1,COUNTIFS('手数料マスタ'!$A$5:$A$104,C332,'手数料マスタ'!$B$5:$B$104,"&lt;&gt;")&lt;&gt;1,NOT(ISNUMBER(VLOOKUP(C332,'手数料マスタ'!$A$5:$B$104,2,FALSE))),VLOOKUP(C332,'手数料マスタ'!$A$5:$B$104,2,FALSE)&lt;0,VLOOKUP(C332,'手数料マスタ'!$A$5:$B$104,2,FALSE)&gt;1),"要確認",ROUND(E332*VLOOKUP(C332,'手数料マスタ'!$A$5:$B$104,2,FALSE),0)),"要確認"))</ns0:f>
        <ns0:v/>
      </ns0:c>
      <ns0:c r="G332" s="7" t="n"/>
      <ns0:c r="H332" s="7" t="n"/>
      <ns0:c r="I332" s="8" t="str">
        <ns0:f>IF(OR(B332="",J332&lt;&gt;"販売済み",D332="",E332="",G332="",H332=""),"",IF(ISNUMBER(F332),E332-D332-F332-G332-H332,"要確認"))</ns0:f>
        <ns0:v/>
      </ns0:c>
      <ns0:c r="J332" s="6" t="n"/>
      <ns0:c r="K332" s="5" t="n"/>
      <ns0:c r="L332" s="9" t="str">
        <ns0:f>IF(AND(B332&lt;&gt;"",J332="在庫"),COUNTIFS($J$5:J332,"在庫",$B$5:B332,"&lt;&gt;"),"")</ns0:f>
        <ns0:v/>
      </ns0:c>
    </ns0:row>
    <ns0:row r="333">
      <ns0:c r="A333" s="5" t="n"/>
      <ns0:c r="B333" s="6" t="n"/>
      <ns0:c r="C333" s="6" t="n"/>
      <ns0:c r="D333" s="7" t="n"/>
      <ns0:c r="E333" s="7" t="n"/>
      <ns0:c r="F333" s="8" t="str">
        <ns0:f>IF(OR(B333="",J333&lt;&gt;"販売済み",E333="",C333=""),"",IFERROR(IF(OR(COUNTIF('手数料マスタ'!$A$5:$A$104,C333)&lt;&gt;1,COUNTIFS('手数料マスタ'!$A$5:$A$104,C333,'手数料マスタ'!$B$5:$B$104,"&lt;&gt;")&lt;&gt;1,NOT(ISNUMBER(VLOOKUP(C333,'手数料マスタ'!$A$5:$B$104,2,FALSE))),VLOOKUP(C333,'手数料マスタ'!$A$5:$B$104,2,FALSE)&lt;0,VLOOKUP(C333,'手数料マスタ'!$A$5:$B$104,2,FALSE)&gt;1),"要確認",ROUND(E333*VLOOKUP(C333,'手数料マスタ'!$A$5:$B$104,2,FALSE),0)),"要確認"))</ns0:f>
        <ns0:v/>
      </ns0:c>
      <ns0:c r="G333" s="7" t="n"/>
      <ns0:c r="H333" s="7" t="n"/>
      <ns0:c r="I333" s="8" t="str">
        <ns0:f>IF(OR(B333="",J333&lt;&gt;"販売済み",D333="",E333="",G333="",H333=""),"",IF(ISNUMBER(F333),E333-D333-F333-G333-H333,"要確認"))</ns0:f>
        <ns0:v/>
      </ns0:c>
      <ns0:c r="J333" s="6" t="n"/>
      <ns0:c r="K333" s="5" t="n"/>
      <ns0:c r="L333" s="9" t="str">
        <ns0:f>IF(AND(B333&lt;&gt;"",J333="在庫"),COUNTIFS($J$5:J333,"在庫",$B$5:B333,"&lt;&gt;"),"")</ns0:f>
        <ns0:v/>
      </ns0:c>
    </ns0:row>
    <ns0:row r="334">
      <ns0:c r="A334" s="5" t="n"/>
      <ns0:c r="B334" s="6" t="n"/>
      <ns0:c r="C334" s="6" t="n"/>
      <ns0:c r="D334" s="7" t="n"/>
      <ns0:c r="E334" s="7" t="n"/>
      <ns0:c r="F334" s="8" t="str">
        <ns0:f>IF(OR(B334="",J334&lt;&gt;"販売済み",E334="",C334=""),"",IFERROR(IF(OR(COUNTIF('手数料マスタ'!$A$5:$A$104,C334)&lt;&gt;1,COUNTIFS('手数料マスタ'!$A$5:$A$104,C334,'手数料マスタ'!$B$5:$B$104,"&lt;&gt;")&lt;&gt;1,NOT(ISNUMBER(VLOOKUP(C334,'手数料マスタ'!$A$5:$B$104,2,FALSE))),VLOOKUP(C334,'手数料マスタ'!$A$5:$B$104,2,FALSE)&lt;0,VLOOKUP(C334,'手数料マスタ'!$A$5:$B$104,2,FALSE)&gt;1),"要確認",ROUND(E334*VLOOKUP(C334,'手数料マスタ'!$A$5:$B$104,2,FALSE),0)),"要確認"))</ns0:f>
        <ns0:v/>
      </ns0:c>
      <ns0:c r="G334" s="7" t="n"/>
      <ns0:c r="H334" s="7" t="n"/>
      <ns0:c r="I334" s="8" t="str">
        <ns0:f>IF(OR(B334="",J334&lt;&gt;"販売済み",D334="",E334="",G334="",H334=""),"",IF(ISNUMBER(F334),E334-D334-F334-G334-H334,"要確認"))</ns0:f>
        <ns0:v/>
      </ns0:c>
      <ns0:c r="J334" s="6" t="n"/>
      <ns0:c r="K334" s="5" t="n"/>
      <ns0:c r="L334" s="9" t="str">
        <ns0:f>IF(AND(B334&lt;&gt;"",J334="在庫"),COUNTIFS($J$5:J334,"在庫",$B$5:B334,"&lt;&gt;"),"")</ns0:f>
        <ns0:v/>
      </ns0:c>
    </ns0:row>
    <ns0:row r="335">
      <ns0:c r="A335" s="5" t="n"/>
      <ns0:c r="B335" s="6" t="n"/>
      <ns0:c r="C335" s="6" t="n"/>
      <ns0:c r="D335" s="7" t="n"/>
      <ns0:c r="E335" s="7" t="n"/>
      <ns0:c r="F335" s="8" t="str">
        <ns0:f>IF(OR(B335="",J335&lt;&gt;"販売済み",E335="",C335=""),"",IFERROR(IF(OR(COUNTIF('手数料マスタ'!$A$5:$A$104,C335)&lt;&gt;1,COUNTIFS('手数料マスタ'!$A$5:$A$104,C335,'手数料マスタ'!$B$5:$B$104,"&lt;&gt;")&lt;&gt;1,NOT(ISNUMBER(VLOOKUP(C335,'手数料マスタ'!$A$5:$B$104,2,FALSE))),VLOOKUP(C335,'手数料マスタ'!$A$5:$B$104,2,FALSE)&lt;0,VLOOKUP(C335,'手数料マスタ'!$A$5:$B$104,2,FALSE)&gt;1),"要確認",ROUND(E335*VLOOKUP(C335,'手数料マスタ'!$A$5:$B$104,2,FALSE),0)),"要確認"))</ns0:f>
        <ns0:v/>
      </ns0:c>
      <ns0:c r="G335" s="7" t="n"/>
      <ns0:c r="H335" s="7" t="n"/>
      <ns0:c r="I335" s="8" t="str">
        <ns0:f>IF(OR(B335="",J335&lt;&gt;"販売済み",D335="",E335="",G335="",H335=""),"",IF(ISNUMBER(F335),E335-D335-F335-G335-H335,"要確認"))</ns0:f>
        <ns0:v/>
      </ns0:c>
      <ns0:c r="J335" s="6" t="n"/>
      <ns0:c r="K335" s="5" t="n"/>
      <ns0:c r="L335" s="9" t="str">
        <ns0:f>IF(AND(B335&lt;&gt;"",J335="在庫"),COUNTIFS($J$5:J335,"在庫",$B$5:B335,"&lt;&gt;"),"")</ns0:f>
        <ns0:v/>
      </ns0:c>
    </ns0:row>
    <ns0:row r="336">
      <ns0:c r="A336" s="5" t="n"/>
      <ns0:c r="B336" s="6" t="n"/>
      <ns0:c r="C336" s="6" t="n"/>
      <ns0:c r="D336" s="7" t="n"/>
      <ns0:c r="E336" s="7" t="n"/>
      <ns0:c r="F336" s="8" t="str">
        <ns0:f>IF(OR(B336="",J336&lt;&gt;"販売済み",E336="",C336=""),"",IFERROR(IF(OR(COUNTIF('手数料マスタ'!$A$5:$A$104,C336)&lt;&gt;1,COUNTIFS('手数料マスタ'!$A$5:$A$104,C336,'手数料マスタ'!$B$5:$B$104,"&lt;&gt;")&lt;&gt;1,NOT(ISNUMBER(VLOOKUP(C336,'手数料マスタ'!$A$5:$B$104,2,FALSE))),VLOOKUP(C336,'手数料マスタ'!$A$5:$B$104,2,FALSE)&lt;0,VLOOKUP(C336,'手数料マスタ'!$A$5:$B$104,2,FALSE)&gt;1),"要確認",ROUND(E336*VLOOKUP(C336,'手数料マスタ'!$A$5:$B$104,2,FALSE),0)),"要確認"))</ns0:f>
        <ns0:v/>
      </ns0:c>
      <ns0:c r="G336" s="7" t="n"/>
      <ns0:c r="H336" s="7" t="n"/>
      <ns0:c r="I336" s="8" t="str">
        <ns0:f>IF(OR(B336="",J336&lt;&gt;"販売済み",D336="",E336="",G336="",H336=""),"",IF(ISNUMBER(F336),E336-D336-F336-G336-H336,"要確認"))</ns0:f>
        <ns0:v/>
      </ns0:c>
      <ns0:c r="J336" s="6" t="n"/>
      <ns0:c r="K336" s="5" t="n"/>
      <ns0:c r="L336" s="9" t="str">
        <ns0:f>IF(AND(B336&lt;&gt;"",J336="在庫"),COUNTIFS($J$5:J336,"在庫",$B$5:B336,"&lt;&gt;"),"")</ns0:f>
        <ns0:v/>
      </ns0:c>
    </ns0:row>
    <ns0:row r="337">
      <ns0:c r="A337" s="5" t="n"/>
      <ns0:c r="B337" s="6" t="n"/>
      <ns0:c r="C337" s="6" t="n"/>
      <ns0:c r="D337" s="7" t="n"/>
      <ns0:c r="E337" s="7" t="n"/>
      <ns0:c r="F337" s="8" t="str">
        <ns0:f>IF(OR(B337="",J337&lt;&gt;"販売済み",E337="",C337=""),"",IFERROR(IF(OR(COUNTIF('手数料マスタ'!$A$5:$A$104,C337)&lt;&gt;1,COUNTIFS('手数料マスタ'!$A$5:$A$104,C337,'手数料マスタ'!$B$5:$B$104,"&lt;&gt;")&lt;&gt;1,NOT(ISNUMBER(VLOOKUP(C337,'手数料マスタ'!$A$5:$B$104,2,FALSE))),VLOOKUP(C337,'手数料マスタ'!$A$5:$B$104,2,FALSE)&lt;0,VLOOKUP(C337,'手数料マスタ'!$A$5:$B$104,2,FALSE)&gt;1),"要確認",ROUND(E337*VLOOKUP(C337,'手数料マスタ'!$A$5:$B$104,2,FALSE),0)),"要確認"))</ns0:f>
        <ns0:v/>
      </ns0:c>
      <ns0:c r="G337" s="7" t="n"/>
      <ns0:c r="H337" s="7" t="n"/>
      <ns0:c r="I337" s="8" t="str">
        <ns0:f>IF(OR(B337="",J337&lt;&gt;"販売済み",D337="",E337="",G337="",H337=""),"",IF(ISNUMBER(F337),E337-D337-F337-G337-H337,"要確認"))</ns0:f>
        <ns0:v/>
      </ns0:c>
      <ns0:c r="J337" s="6" t="n"/>
      <ns0:c r="K337" s="5" t="n"/>
      <ns0:c r="L337" s="9" t="str">
        <ns0:f>IF(AND(B337&lt;&gt;"",J337="在庫"),COUNTIFS($J$5:J337,"在庫",$B$5:B337,"&lt;&gt;"),"")</ns0:f>
        <ns0:v/>
      </ns0:c>
    </ns0:row>
    <ns0:row r="338">
      <ns0:c r="A338" s="5" t="n"/>
      <ns0:c r="B338" s="6" t="n"/>
      <ns0:c r="C338" s="6" t="n"/>
      <ns0:c r="D338" s="7" t="n"/>
      <ns0:c r="E338" s="7" t="n"/>
      <ns0:c r="F338" s="8" t="str">
        <ns0:f>IF(OR(B338="",J338&lt;&gt;"販売済み",E338="",C338=""),"",IFERROR(IF(OR(COUNTIF('手数料マスタ'!$A$5:$A$104,C338)&lt;&gt;1,COUNTIFS('手数料マスタ'!$A$5:$A$104,C338,'手数料マスタ'!$B$5:$B$104,"&lt;&gt;")&lt;&gt;1,NOT(ISNUMBER(VLOOKUP(C338,'手数料マスタ'!$A$5:$B$104,2,FALSE))),VLOOKUP(C338,'手数料マスタ'!$A$5:$B$104,2,FALSE)&lt;0,VLOOKUP(C338,'手数料マスタ'!$A$5:$B$104,2,FALSE)&gt;1),"要確認",ROUND(E338*VLOOKUP(C338,'手数料マスタ'!$A$5:$B$104,2,FALSE),0)),"要確認"))</ns0:f>
        <ns0:v/>
      </ns0:c>
      <ns0:c r="G338" s="7" t="n"/>
      <ns0:c r="H338" s="7" t="n"/>
      <ns0:c r="I338" s="8" t="str">
        <ns0:f>IF(OR(B338="",J338&lt;&gt;"販売済み",D338="",E338="",G338="",H338=""),"",IF(ISNUMBER(F338),E338-D338-F338-G338-H338,"要確認"))</ns0:f>
        <ns0:v/>
      </ns0:c>
      <ns0:c r="J338" s="6" t="n"/>
      <ns0:c r="K338" s="5" t="n"/>
      <ns0:c r="L338" s="9" t="str">
        <ns0:f>IF(AND(B338&lt;&gt;"",J338="在庫"),COUNTIFS($J$5:J338,"在庫",$B$5:B338,"&lt;&gt;"),"")</ns0:f>
        <ns0:v/>
      </ns0:c>
    </ns0:row>
    <ns0:row r="339">
      <ns0:c r="A339" s="5" t="n"/>
      <ns0:c r="B339" s="6" t="n"/>
      <ns0:c r="C339" s="6" t="n"/>
      <ns0:c r="D339" s="7" t="n"/>
      <ns0:c r="E339" s="7" t="n"/>
      <ns0:c r="F339" s="8" t="str">
        <ns0:f>IF(OR(B339="",J339&lt;&gt;"販売済み",E339="",C339=""),"",IFERROR(IF(OR(COUNTIF('手数料マスタ'!$A$5:$A$104,C339)&lt;&gt;1,COUNTIFS('手数料マスタ'!$A$5:$A$104,C339,'手数料マスタ'!$B$5:$B$104,"&lt;&gt;")&lt;&gt;1,NOT(ISNUMBER(VLOOKUP(C339,'手数料マスタ'!$A$5:$B$104,2,FALSE))),VLOOKUP(C339,'手数料マスタ'!$A$5:$B$104,2,FALSE)&lt;0,VLOOKUP(C339,'手数料マスタ'!$A$5:$B$104,2,FALSE)&gt;1),"要確認",ROUND(E339*VLOOKUP(C339,'手数料マスタ'!$A$5:$B$104,2,FALSE),0)),"要確認"))</ns0:f>
        <ns0:v/>
      </ns0:c>
      <ns0:c r="G339" s="7" t="n"/>
      <ns0:c r="H339" s="7" t="n"/>
      <ns0:c r="I339" s="8" t="str">
        <ns0:f>IF(OR(B339="",J339&lt;&gt;"販売済み",D339="",E339="",G339="",H339=""),"",IF(ISNUMBER(F339),E339-D339-F339-G339-H339,"要確認"))</ns0:f>
        <ns0:v/>
      </ns0:c>
      <ns0:c r="J339" s="6" t="n"/>
      <ns0:c r="K339" s="5" t="n"/>
      <ns0:c r="L339" s="9" t="str">
        <ns0:f>IF(AND(B339&lt;&gt;"",J339="在庫"),COUNTIFS($J$5:J339,"在庫",$B$5:B339,"&lt;&gt;"),"")</ns0:f>
        <ns0:v/>
      </ns0:c>
    </ns0:row>
    <ns0:row r="340">
      <ns0:c r="A340" s="5" t="n"/>
      <ns0:c r="B340" s="6" t="n"/>
      <ns0:c r="C340" s="6" t="n"/>
      <ns0:c r="D340" s="7" t="n"/>
      <ns0:c r="E340" s="7" t="n"/>
      <ns0:c r="F340" s="8" t="str">
        <ns0:f>IF(OR(B340="",J340&lt;&gt;"販売済み",E340="",C340=""),"",IFERROR(IF(OR(COUNTIF('手数料マスタ'!$A$5:$A$104,C340)&lt;&gt;1,COUNTIFS('手数料マスタ'!$A$5:$A$104,C340,'手数料マスタ'!$B$5:$B$104,"&lt;&gt;")&lt;&gt;1,NOT(ISNUMBER(VLOOKUP(C340,'手数料マスタ'!$A$5:$B$104,2,FALSE))),VLOOKUP(C340,'手数料マスタ'!$A$5:$B$104,2,FALSE)&lt;0,VLOOKUP(C340,'手数料マスタ'!$A$5:$B$104,2,FALSE)&gt;1),"要確認",ROUND(E340*VLOOKUP(C340,'手数料マスタ'!$A$5:$B$104,2,FALSE),0)),"要確認"))</ns0:f>
        <ns0:v/>
      </ns0:c>
      <ns0:c r="G340" s="7" t="n"/>
      <ns0:c r="H340" s="7" t="n"/>
      <ns0:c r="I340" s="8" t="str">
        <ns0:f>IF(OR(B340="",J340&lt;&gt;"販売済み",D340="",E340="",G340="",H340=""),"",IF(ISNUMBER(F340),E340-D340-F340-G340-H340,"要確認"))</ns0:f>
        <ns0:v/>
      </ns0:c>
      <ns0:c r="J340" s="6" t="n"/>
      <ns0:c r="K340" s="5" t="n"/>
      <ns0:c r="L340" s="9" t="str">
        <ns0:f>IF(AND(B340&lt;&gt;"",J340="在庫"),COUNTIFS($J$5:J340,"在庫",$B$5:B340,"&lt;&gt;"),"")</ns0:f>
        <ns0:v/>
      </ns0:c>
    </ns0:row>
    <ns0:row r="341">
      <ns0:c r="A341" s="5" t="n"/>
      <ns0:c r="B341" s="6" t="n"/>
      <ns0:c r="C341" s="6" t="n"/>
      <ns0:c r="D341" s="7" t="n"/>
      <ns0:c r="E341" s="7" t="n"/>
      <ns0:c r="F341" s="8" t="str">
        <ns0:f>IF(OR(B341="",J341&lt;&gt;"販売済み",E341="",C341=""),"",IFERROR(IF(OR(COUNTIF('手数料マスタ'!$A$5:$A$104,C341)&lt;&gt;1,COUNTIFS('手数料マスタ'!$A$5:$A$104,C341,'手数料マスタ'!$B$5:$B$104,"&lt;&gt;")&lt;&gt;1,NOT(ISNUMBER(VLOOKUP(C341,'手数料マスタ'!$A$5:$B$104,2,FALSE))),VLOOKUP(C341,'手数料マスタ'!$A$5:$B$104,2,FALSE)&lt;0,VLOOKUP(C341,'手数料マスタ'!$A$5:$B$104,2,FALSE)&gt;1),"要確認",ROUND(E341*VLOOKUP(C341,'手数料マスタ'!$A$5:$B$104,2,FALSE),0)),"要確認"))</ns0:f>
        <ns0:v/>
      </ns0:c>
      <ns0:c r="G341" s="7" t="n"/>
      <ns0:c r="H341" s="7" t="n"/>
      <ns0:c r="I341" s="8" t="str">
        <ns0:f>IF(OR(B341="",J341&lt;&gt;"販売済み",D341="",E341="",G341="",H341=""),"",IF(ISNUMBER(F341),E341-D341-F341-G341-H341,"要確認"))</ns0:f>
        <ns0:v/>
      </ns0:c>
      <ns0:c r="J341" s="6" t="n"/>
      <ns0:c r="K341" s="5" t="n"/>
      <ns0:c r="L341" s="9" t="str">
        <ns0:f>IF(AND(B341&lt;&gt;"",J341="在庫"),COUNTIFS($J$5:J341,"在庫",$B$5:B341,"&lt;&gt;"),"")</ns0:f>
        <ns0:v/>
      </ns0:c>
    </ns0:row>
    <ns0:row r="342">
      <ns0:c r="A342" s="5" t="n"/>
      <ns0:c r="B342" s="6" t="n"/>
      <ns0:c r="C342" s="6" t="n"/>
      <ns0:c r="D342" s="7" t="n"/>
      <ns0:c r="E342" s="7" t="n"/>
      <ns0:c r="F342" s="8" t="str">
        <ns0:f>IF(OR(B342="",J342&lt;&gt;"販売済み",E342="",C342=""),"",IFERROR(IF(OR(COUNTIF('手数料マスタ'!$A$5:$A$104,C342)&lt;&gt;1,COUNTIFS('手数料マスタ'!$A$5:$A$104,C342,'手数料マスタ'!$B$5:$B$104,"&lt;&gt;")&lt;&gt;1,NOT(ISNUMBER(VLOOKUP(C342,'手数料マスタ'!$A$5:$B$104,2,FALSE))),VLOOKUP(C342,'手数料マスタ'!$A$5:$B$104,2,FALSE)&lt;0,VLOOKUP(C342,'手数料マスタ'!$A$5:$B$104,2,FALSE)&gt;1),"要確認",ROUND(E342*VLOOKUP(C342,'手数料マスタ'!$A$5:$B$104,2,FALSE),0)),"要確認"))</ns0:f>
        <ns0:v/>
      </ns0:c>
      <ns0:c r="G342" s="7" t="n"/>
      <ns0:c r="H342" s="7" t="n"/>
      <ns0:c r="I342" s="8" t="str">
        <ns0:f>IF(OR(B342="",J342&lt;&gt;"販売済み",D342="",E342="",G342="",H342=""),"",IF(ISNUMBER(F342),E342-D342-F342-G342-H342,"要確認"))</ns0:f>
        <ns0:v/>
      </ns0:c>
      <ns0:c r="J342" s="6" t="n"/>
      <ns0:c r="K342" s="5" t="n"/>
      <ns0:c r="L342" s="9" t="str">
        <ns0:f>IF(AND(B342&lt;&gt;"",J342="在庫"),COUNTIFS($J$5:J342,"在庫",$B$5:B342,"&lt;&gt;"),"")</ns0:f>
        <ns0:v/>
      </ns0:c>
    </ns0:row>
    <ns0:row r="343">
      <ns0:c r="A343" s="5" t="n"/>
      <ns0:c r="B343" s="6" t="n"/>
      <ns0:c r="C343" s="6" t="n"/>
      <ns0:c r="D343" s="7" t="n"/>
      <ns0:c r="E343" s="7" t="n"/>
      <ns0:c r="F343" s="8" t="str">
        <ns0:f>IF(OR(B343="",J343&lt;&gt;"販売済み",E343="",C343=""),"",IFERROR(IF(OR(COUNTIF('手数料マスタ'!$A$5:$A$104,C343)&lt;&gt;1,COUNTIFS('手数料マスタ'!$A$5:$A$104,C343,'手数料マスタ'!$B$5:$B$104,"&lt;&gt;")&lt;&gt;1,NOT(ISNUMBER(VLOOKUP(C343,'手数料マスタ'!$A$5:$B$104,2,FALSE))),VLOOKUP(C343,'手数料マスタ'!$A$5:$B$104,2,FALSE)&lt;0,VLOOKUP(C343,'手数料マスタ'!$A$5:$B$104,2,FALSE)&gt;1),"要確認",ROUND(E343*VLOOKUP(C343,'手数料マスタ'!$A$5:$B$104,2,FALSE),0)),"要確認"))</ns0:f>
        <ns0:v/>
      </ns0:c>
      <ns0:c r="G343" s="7" t="n"/>
      <ns0:c r="H343" s="7" t="n"/>
      <ns0:c r="I343" s="8" t="str">
        <ns0:f>IF(OR(B343="",J343&lt;&gt;"販売済み",D343="",E343="",G343="",H343=""),"",IF(ISNUMBER(F343),E343-D343-F343-G343-H343,"要確認"))</ns0:f>
        <ns0:v/>
      </ns0:c>
      <ns0:c r="J343" s="6" t="n"/>
      <ns0:c r="K343" s="5" t="n"/>
      <ns0:c r="L343" s="9" t="str">
        <ns0:f>IF(AND(B343&lt;&gt;"",J343="在庫"),COUNTIFS($J$5:J343,"在庫",$B$5:B343,"&lt;&gt;"),"")</ns0:f>
        <ns0:v/>
      </ns0:c>
    </ns0:row>
    <ns0:row r="344">
      <ns0:c r="A344" s="5" t="n"/>
      <ns0:c r="B344" s="6" t="n"/>
      <ns0:c r="C344" s="6" t="n"/>
      <ns0:c r="D344" s="7" t="n"/>
      <ns0:c r="E344" s="7" t="n"/>
      <ns0:c r="F344" s="8" t="str">
        <ns0:f>IF(OR(B344="",J344&lt;&gt;"販売済み",E344="",C344=""),"",IFERROR(IF(OR(COUNTIF('手数料マスタ'!$A$5:$A$104,C344)&lt;&gt;1,COUNTIFS('手数料マスタ'!$A$5:$A$104,C344,'手数料マスタ'!$B$5:$B$104,"&lt;&gt;")&lt;&gt;1,NOT(ISNUMBER(VLOOKUP(C344,'手数料マスタ'!$A$5:$B$104,2,FALSE))),VLOOKUP(C344,'手数料マスタ'!$A$5:$B$104,2,FALSE)&lt;0,VLOOKUP(C344,'手数料マスタ'!$A$5:$B$104,2,FALSE)&gt;1),"要確認",ROUND(E344*VLOOKUP(C344,'手数料マスタ'!$A$5:$B$104,2,FALSE),0)),"要確認"))</ns0:f>
        <ns0:v/>
      </ns0:c>
      <ns0:c r="G344" s="7" t="n"/>
      <ns0:c r="H344" s="7" t="n"/>
      <ns0:c r="I344" s="8" t="str">
        <ns0:f>IF(OR(B344="",J344&lt;&gt;"販売済み",D344="",E344="",G344="",H344=""),"",IF(ISNUMBER(F344),E344-D344-F344-G344-H344,"要確認"))</ns0:f>
        <ns0:v/>
      </ns0:c>
      <ns0:c r="J344" s="6" t="n"/>
      <ns0:c r="K344" s="5" t="n"/>
      <ns0:c r="L344" s="9" t="str">
        <ns0:f>IF(AND(B344&lt;&gt;"",J344="在庫"),COUNTIFS($J$5:J344,"在庫",$B$5:B344,"&lt;&gt;"),"")</ns0:f>
        <ns0:v/>
      </ns0:c>
    </ns0:row>
    <ns0:row r="345">
      <ns0:c r="A345" s="5" t="n"/>
      <ns0:c r="B345" s="6" t="n"/>
      <ns0:c r="C345" s="6" t="n"/>
      <ns0:c r="D345" s="7" t="n"/>
      <ns0:c r="E345" s="7" t="n"/>
      <ns0:c r="F345" s="8" t="str">
        <ns0:f>IF(OR(B345="",J345&lt;&gt;"販売済み",E345="",C345=""),"",IFERROR(IF(OR(COUNTIF('手数料マスタ'!$A$5:$A$104,C345)&lt;&gt;1,COUNTIFS('手数料マスタ'!$A$5:$A$104,C345,'手数料マスタ'!$B$5:$B$104,"&lt;&gt;")&lt;&gt;1,NOT(ISNUMBER(VLOOKUP(C345,'手数料マスタ'!$A$5:$B$104,2,FALSE))),VLOOKUP(C345,'手数料マスタ'!$A$5:$B$104,2,FALSE)&lt;0,VLOOKUP(C345,'手数料マスタ'!$A$5:$B$104,2,FALSE)&gt;1),"要確認",ROUND(E345*VLOOKUP(C345,'手数料マスタ'!$A$5:$B$104,2,FALSE),0)),"要確認"))</ns0:f>
        <ns0:v/>
      </ns0:c>
      <ns0:c r="G345" s="7" t="n"/>
      <ns0:c r="H345" s="7" t="n"/>
      <ns0:c r="I345" s="8" t="str">
        <ns0:f>IF(OR(B345="",J345&lt;&gt;"販売済み",D345="",E345="",G345="",H345=""),"",IF(ISNUMBER(F345),E345-D345-F345-G345-H345,"要確認"))</ns0:f>
        <ns0:v/>
      </ns0:c>
      <ns0:c r="J345" s="6" t="n"/>
      <ns0:c r="K345" s="5" t="n"/>
      <ns0:c r="L345" s="9" t="str">
        <ns0:f>IF(AND(B345&lt;&gt;"",J345="在庫"),COUNTIFS($J$5:J345,"在庫",$B$5:B345,"&lt;&gt;"),"")</ns0:f>
        <ns0:v/>
      </ns0:c>
    </ns0:row>
    <ns0:row r="346">
      <ns0:c r="A346" s="5" t="n"/>
      <ns0:c r="B346" s="6" t="n"/>
      <ns0:c r="C346" s="6" t="n"/>
      <ns0:c r="D346" s="7" t="n"/>
      <ns0:c r="E346" s="7" t="n"/>
      <ns0:c r="F346" s="8" t="str">
        <ns0:f>IF(OR(B346="",J346&lt;&gt;"販売済み",E346="",C346=""),"",IFERROR(IF(OR(COUNTIF('手数料マスタ'!$A$5:$A$104,C346)&lt;&gt;1,COUNTIFS('手数料マスタ'!$A$5:$A$104,C346,'手数料マスタ'!$B$5:$B$104,"&lt;&gt;")&lt;&gt;1,NOT(ISNUMBER(VLOOKUP(C346,'手数料マスタ'!$A$5:$B$104,2,FALSE))),VLOOKUP(C346,'手数料マスタ'!$A$5:$B$104,2,FALSE)&lt;0,VLOOKUP(C346,'手数料マスタ'!$A$5:$B$104,2,FALSE)&gt;1),"要確認",ROUND(E346*VLOOKUP(C346,'手数料マスタ'!$A$5:$B$104,2,FALSE),0)),"要確認"))</ns0:f>
        <ns0:v/>
      </ns0:c>
      <ns0:c r="G346" s="7" t="n"/>
      <ns0:c r="H346" s="7" t="n"/>
      <ns0:c r="I346" s="8" t="str">
        <ns0:f>IF(OR(B346="",J346&lt;&gt;"販売済み",D346="",E346="",G346="",H346=""),"",IF(ISNUMBER(F346),E346-D346-F346-G346-H346,"要確認"))</ns0:f>
        <ns0:v/>
      </ns0:c>
      <ns0:c r="J346" s="6" t="n"/>
      <ns0:c r="K346" s="5" t="n"/>
      <ns0:c r="L346" s="9" t="str">
        <ns0:f>IF(AND(B346&lt;&gt;"",J346="在庫"),COUNTIFS($J$5:J346,"在庫",$B$5:B346,"&lt;&gt;"),"")</ns0:f>
        <ns0:v/>
      </ns0:c>
    </ns0:row>
    <ns0:row r="347">
      <ns0:c r="A347" s="5" t="n"/>
      <ns0:c r="B347" s="6" t="n"/>
      <ns0:c r="C347" s="6" t="n"/>
      <ns0:c r="D347" s="7" t="n"/>
      <ns0:c r="E347" s="7" t="n"/>
      <ns0:c r="F347" s="8" t="str">
        <ns0:f>IF(OR(B347="",J347&lt;&gt;"販売済み",E347="",C347=""),"",IFERROR(IF(OR(COUNTIF('手数料マスタ'!$A$5:$A$104,C347)&lt;&gt;1,COUNTIFS('手数料マスタ'!$A$5:$A$104,C347,'手数料マスタ'!$B$5:$B$104,"&lt;&gt;")&lt;&gt;1,NOT(ISNUMBER(VLOOKUP(C347,'手数料マスタ'!$A$5:$B$104,2,FALSE))),VLOOKUP(C347,'手数料マスタ'!$A$5:$B$104,2,FALSE)&lt;0,VLOOKUP(C347,'手数料マスタ'!$A$5:$B$104,2,FALSE)&gt;1),"要確認",ROUND(E347*VLOOKUP(C347,'手数料マスタ'!$A$5:$B$104,2,FALSE),0)),"要確認"))</ns0:f>
        <ns0:v/>
      </ns0:c>
      <ns0:c r="G347" s="7" t="n"/>
      <ns0:c r="H347" s="7" t="n"/>
      <ns0:c r="I347" s="8" t="str">
        <ns0:f>IF(OR(B347="",J347&lt;&gt;"販売済み",D347="",E347="",G347="",H347=""),"",IF(ISNUMBER(F347),E347-D347-F347-G347-H347,"要確認"))</ns0:f>
        <ns0:v/>
      </ns0:c>
      <ns0:c r="J347" s="6" t="n"/>
      <ns0:c r="K347" s="5" t="n"/>
      <ns0:c r="L347" s="9" t="str">
        <ns0:f>IF(AND(B347&lt;&gt;"",J347="在庫"),COUNTIFS($J$5:J347,"在庫",$B$5:B347,"&lt;&gt;"),"")</ns0:f>
        <ns0:v/>
      </ns0:c>
    </ns0:row>
    <ns0:row r="348">
      <ns0:c r="A348" s="5" t="n"/>
      <ns0:c r="B348" s="6" t="n"/>
      <ns0:c r="C348" s="6" t="n"/>
      <ns0:c r="D348" s="7" t="n"/>
      <ns0:c r="E348" s="7" t="n"/>
      <ns0:c r="F348" s="8" t="str">
        <ns0:f>IF(OR(B348="",J348&lt;&gt;"販売済み",E348="",C348=""),"",IFERROR(IF(OR(COUNTIF('手数料マスタ'!$A$5:$A$104,C348)&lt;&gt;1,COUNTIFS('手数料マスタ'!$A$5:$A$104,C348,'手数料マスタ'!$B$5:$B$104,"&lt;&gt;")&lt;&gt;1,NOT(ISNUMBER(VLOOKUP(C348,'手数料マスタ'!$A$5:$B$104,2,FALSE))),VLOOKUP(C348,'手数料マスタ'!$A$5:$B$104,2,FALSE)&lt;0,VLOOKUP(C348,'手数料マスタ'!$A$5:$B$104,2,FALSE)&gt;1),"要確認",ROUND(E348*VLOOKUP(C348,'手数料マスタ'!$A$5:$B$104,2,FALSE),0)),"要確認"))</ns0:f>
        <ns0:v/>
      </ns0:c>
      <ns0:c r="G348" s="7" t="n"/>
      <ns0:c r="H348" s="7" t="n"/>
      <ns0:c r="I348" s="8" t="str">
        <ns0:f>IF(OR(B348="",J348&lt;&gt;"販売済み",D348="",E348="",G348="",H348=""),"",IF(ISNUMBER(F348),E348-D348-F348-G348-H348,"要確認"))</ns0:f>
        <ns0:v/>
      </ns0:c>
      <ns0:c r="J348" s="6" t="n"/>
      <ns0:c r="K348" s="5" t="n"/>
      <ns0:c r="L348" s="9" t="str">
        <ns0:f>IF(AND(B348&lt;&gt;"",J348="在庫"),COUNTIFS($J$5:J348,"在庫",$B$5:B348,"&lt;&gt;"),"")</ns0:f>
        <ns0:v/>
      </ns0:c>
    </ns0:row>
    <ns0:row r="349">
      <ns0:c r="A349" s="5" t="n"/>
      <ns0:c r="B349" s="6" t="n"/>
      <ns0:c r="C349" s="6" t="n"/>
      <ns0:c r="D349" s="7" t="n"/>
      <ns0:c r="E349" s="7" t="n"/>
      <ns0:c r="F349" s="8" t="str">
        <ns0:f>IF(OR(B349="",J349&lt;&gt;"販売済み",E349="",C349=""),"",IFERROR(IF(OR(COUNTIF('手数料マスタ'!$A$5:$A$104,C349)&lt;&gt;1,COUNTIFS('手数料マスタ'!$A$5:$A$104,C349,'手数料マスタ'!$B$5:$B$104,"&lt;&gt;")&lt;&gt;1,NOT(ISNUMBER(VLOOKUP(C349,'手数料マスタ'!$A$5:$B$104,2,FALSE))),VLOOKUP(C349,'手数料マスタ'!$A$5:$B$104,2,FALSE)&lt;0,VLOOKUP(C349,'手数料マスタ'!$A$5:$B$104,2,FALSE)&gt;1),"要確認",ROUND(E349*VLOOKUP(C349,'手数料マスタ'!$A$5:$B$104,2,FALSE),0)),"要確認"))</ns0:f>
        <ns0:v/>
      </ns0:c>
      <ns0:c r="G349" s="7" t="n"/>
      <ns0:c r="H349" s="7" t="n"/>
      <ns0:c r="I349" s="8" t="str">
        <ns0:f>IF(OR(B349="",J349&lt;&gt;"販売済み",D349="",E349="",G349="",H349=""),"",IF(ISNUMBER(F349),E349-D349-F349-G349-H349,"要確認"))</ns0:f>
        <ns0:v/>
      </ns0:c>
      <ns0:c r="J349" s="6" t="n"/>
      <ns0:c r="K349" s="5" t="n"/>
      <ns0:c r="L349" s="9" t="str">
        <ns0:f>IF(AND(B349&lt;&gt;"",J349="在庫"),COUNTIFS($J$5:J349,"在庫",$B$5:B349,"&lt;&gt;"),"")</ns0:f>
        <ns0:v/>
      </ns0:c>
    </ns0:row>
    <ns0:row r="350">
      <ns0:c r="A350" s="5" t="n"/>
      <ns0:c r="B350" s="6" t="n"/>
      <ns0:c r="C350" s="6" t="n"/>
      <ns0:c r="D350" s="7" t="n"/>
      <ns0:c r="E350" s="7" t="n"/>
      <ns0:c r="F350" s="8" t="str">
        <ns0:f>IF(OR(B350="",J350&lt;&gt;"販売済み",E350="",C350=""),"",IFERROR(IF(OR(COUNTIF('手数料マスタ'!$A$5:$A$104,C350)&lt;&gt;1,COUNTIFS('手数料マスタ'!$A$5:$A$104,C350,'手数料マスタ'!$B$5:$B$104,"&lt;&gt;")&lt;&gt;1,NOT(ISNUMBER(VLOOKUP(C350,'手数料マスタ'!$A$5:$B$104,2,FALSE))),VLOOKUP(C350,'手数料マスタ'!$A$5:$B$104,2,FALSE)&lt;0,VLOOKUP(C350,'手数料マスタ'!$A$5:$B$104,2,FALSE)&gt;1),"要確認",ROUND(E350*VLOOKUP(C350,'手数料マスタ'!$A$5:$B$104,2,FALSE),0)),"要確認"))</ns0:f>
        <ns0:v/>
      </ns0:c>
      <ns0:c r="G350" s="7" t="n"/>
      <ns0:c r="H350" s="7" t="n"/>
      <ns0:c r="I350" s="8" t="str">
        <ns0:f>IF(OR(B350="",J350&lt;&gt;"販売済み",D350="",E350="",G350="",H350=""),"",IF(ISNUMBER(F350),E350-D350-F350-G350-H350,"要確認"))</ns0:f>
        <ns0:v/>
      </ns0:c>
      <ns0:c r="J350" s="6" t="n"/>
      <ns0:c r="K350" s="5" t="n"/>
      <ns0:c r="L350" s="9" t="str">
        <ns0:f>IF(AND(B350&lt;&gt;"",J350="在庫"),COUNTIFS($J$5:J350,"在庫",$B$5:B350,"&lt;&gt;"),"")</ns0:f>
        <ns0:v/>
      </ns0:c>
    </ns0:row>
    <ns0:row r="351">
      <ns0:c r="A351" s="5" t="n"/>
      <ns0:c r="B351" s="6" t="n"/>
      <ns0:c r="C351" s="6" t="n"/>
      <ns0:c r="D351" s="7" t="n"/>
      <ns0:c r="E351" s="7" t="n"/>
      <ns0:c r="F351" s="8" t="str">
        <ns0:f>IF(OR(B351="",J351&lt;&gt;"販売済み",E351="",C351=""),"",IFERROR(IF(OR(COUNTIF('手数料マスタ'!$A$5:$A$104,C351)&lt;&gt;1,COUNTIFS('手数料マスタ'!$A$5:$A$104,C351,'手数料マスタ'!$B$5:$B$104,"&lt;&gt;")&lt;&gt;1,NOT(ISNUMBER(VLOOKUP(C351,'手数料マスタ'!$A$5:$B$104,2,FALSE))),VLOOKUP(C351,'手数料マスタ'!$A$5:$B$104,2,FALSE)&lt;0,VLOOKUP(C351,'手数料マスタ'!$A$5:$B$104,2,FALSE)&gt;1),"要確認",ROUND(E351*VLOOKUP(C351,'手数料マスタ'!$A$5:$B$104,2,FALSE),0)),"要確認"))</ns0:f>
        <ns0:v/>
      </ns0:c>
      <ns0:c r="G351" s="7" t="n"/>
      <ns0:c r="H351" s="7" t="n"/>
      <ns0:c r="I351" s="8" t="str">
        <ns0:f>IF(OR(B351="",J351&lt;&gt;"販売済み",D351="",E351="",G351="",H351=""),"",IF(ISNUMBER(F351),E351-D351-F351-G351-H351,"要確認"))</ns0:f>
        <ns0:v/>
      </ns0:c>
      <ns0:c r="J351" s="6" t="n"/>
      <ns0:c r="K351" s="5" t="n"/>
      <ns0:c r="L351" s="9" t="str">
        <ns0:f>IF(AND(B351&lt;&gt;"",J351="在庫"),COUNTIFS($J$5:J351,"在庫",$B$5:B351,"&lt;&gt;"),"")</ns0:f>
        <ns0:v/>
      </ns0:c>
    </ns0:row>
    <ns0:row r="352">
      <ns0:c r="A352" s="5" t="n"/>
      <ns0:c r="B352" s="6" t="n"/>
      <ns0:c r="C352" s="6" t="n"/>
      <ns0:c r="D352" s="7" t="n"/>
      <ns0:c r="E352" s="7" t="n"/>
      <ns0:c r="F352" s="8" t="str">
        <ns0:f>IF(OR(B352="",J352&lt;&gt;"販売済み",E352="",C352=""),"",IFERROR(IF(OR(COUNTIF('手数料マスタ'!$A$5:$A$104,C352)&lt;&gt;1,COUNTIFS('手数料マスタ'!$A$5:$A$104,C352,'手数料マスタ'!$B$5:$B$104,"&lt;&gt;")&lt;&gt;1,NOT(ISNUMBER(VLOOKUP(C352,'手数料マスタ'!$A$5:$B$104,2,FALSE))),VLOOKUP(C352,'手数料マスタ'!$A$5:$B$104,2,FALSE)&lt;0,VLOOKUP(C352,'手数料マスタ'!$A$5:$B$104,2,FALSE)&gt;1),"要確認",ROUND(E352*VLOOKUP(C352,'手数料マスタ'!$A$5:$B$104,2,FALSE),0)),"要確認"))</ns0:f>
        <ns0:v/>
      </ns0:c>
      <ns0:c r="G352" s="7" t="n"/>
      <ns0:c r="H352" s="7" t="n"/>
      <ns0:c r="I352" s="8" t="str">
        <ns0:f>IF(OR(B352="",J352&lt;&gt;"販売済み",D352="",E352="",G352="",H352=""),"",IF(ISNUMBER(F352),E352-D352-F352-G352-H352,"要確認"))</ns0:f>
        <ns0:v/>
      </ns0:c>
      <ns0:c r="J352" s="6" t="n"/>
      <ns0:c r="K352" s="5" t="n"/>
      <ns0:c r="L352" s="9" t="str">
        <ns0:f>IF(AND(B352&lt;&gt;"",J352="在庫"),COUNTIFS($J$5:J352,"在庫",$B$5:B352,"&lt;&gt;"),"")</ns0:f>
        <ns0:v/>
      </ns0:c>
    </ns0:row>
    <ns0:row r="353">
      <ns0:c r="A353" s="5" t="n"/>
      <ns0:c r="B353" s="6" t="n"/>
      <ns0:c r="C353" s="6" t="n"/>
      <ns0:c r="D353" s="7" t="n"/>
      <ns0:c r="E353" s="7" t="n"/>
      <ns0:c r="F353" s="8" t="str">
        <ns0:f>IF(OR(B353="",J353&lt;&gt;"販売済み",E353="",C353=""),"",IFERROR(IF(OR(COUNTIF('手数料マスタ'!$A$5:$A$104,C353)&lt;&gt;1,COUNTIFS('手数料マスタ'!$A$5:$A$104,C353,'手数料マスタ'!$B$5:$B$104,"&lt;&gt;")&lt;&gt;1,NOT(ISNUMBER(VLOOKUP(C353,'手数料マスタ'!$A$5:$B$104,2,FALSE))),VLOOKUP(C353,'手数料マスタ'!$A$5:$B$104,2,FALSE)&lt;0,VLOOKUP(C353,'手数料マスタ'!$A$5:$B$104,2,FALSE)&gt;1),"要確認",ROUND(E353*VLOOKUP(C353,'手数料マスタ'!$A$5:$B$104,2,FALSE),0)),"要確認"))</ns0:f>
        <ns0:v/>
      </ns0:c>
      <ns0:c r="G353" s="7" t="n"/>
      <ns0:c r="H353" s="7" t="n"/>
      <ns0:c r="I353" s="8" t="str">
        <ns0:f>IF(OR(B353="",J353&lt;&gt;"販売済み",D353="",E353="",G353="",H353=""),"",IF(ISNUMBER(F353),E353-D353-F353-G353-H353,"要確認"))</ns0:f>
        <ns0:v/>
      </ns0:c>
      <ns0:c r="J353" s="6" t="n"/>
      <ns0:c r="K353" s="5" t="n"/>
      <ns0:c r="L353" s="9" t="str">
        <ns0:f>IF(AND(B353&lt;&gt;"",J353="在庫"),COUNTIFS($J$5:J353,"在庫",$B$5:B353,"&lt;&gt;"),"")</ns0:f>
        <ns0:v/>
      </ns0:c>
    </ns0:row>
    <ns0:row r="354">
      <ns0:c r="A354" s="5" t="n"/>
      <ns0:c r="B354" s="6" t="n"/>
      <ns0:c r="C354" s="6" t="n"/>
      <ns0:c r="D354" s="7" t="n"/>
      <ns0:c r="E354" s="7" t="n"/>
      <ns0:c r="F354" s="8" t="str">
        <ns0:f>IF(OR(B354="",J354&lt;&gt;"販売済み",E354="",C354=""),"",IFERROR(IF(OR(COUNTIF('手数料マスタ'!$A$5:$A$104,C354)&lt;&gt;1,COUNTIFS('手数料マスタ'!$A$5:$A$104,C354,'手数料マスタ'!$B$5:$B$104,"&lt;&gt;")&lt;&gt;1,NOT(ISNUMBER(VLOOKUP(C354,'手数料マスタ'!$A$5:$B$104,2,FALSE))),VLOOKUP(C354,'手数料マスタ'!$A$5:$B$104,2,FALSE)&lt;0,VLOOKUP(C354,'手数料マスタ'!$A$5:$B$104,2,FALSE)&gt;1),"要確認",ROUND(E354*VLOOKUP(C354,'手数料マスタ'!$A$5:$B$104,2,FALSE),0)),"要確認"))</ns0:f>
        <ns0:v/>
      </ns0:c>
      <ns0:c r="G354" s="7" t="n"/>
      <ns0:c r="H354" s="7" t="n"/>
      <ns0:c r="I354" s="8" t="str">
        <ns0:f>IF(OR(B354="",J354&lt;&gt;"販売済み",D354="",E354="",G354="",H354=""),"",IF(ISNUMBER(F354),E354-D354-F354-G354-H354,"要確認"))</ns0:f>
        <ns0:v/>
      </ns0:c>
      <ns0:c r="J354" s="6" t="n"/>
      <ns0:c r="K354" s="5" t="n"/>
      <ns0:c r="L354" s="9" t="str">
        <ns0:f>IF(AND(B354&lt;&gt;"",J354="在庫"),COUNTIFS($J$5:J354,"在庫",$B$5:B354,"&lt;&gt;"),"")</ns0:f>
        <ns0:v/>
      </ns0:c>
    </ns0:row>
    <ns0:row r="355">
      <ns0:c r="A355" s="5" t="n"/>
      <ns0:c r="B355" s="6" t="n"/>
      <ns0:c r="C355" s="6" t="n"/>
      <ns0:c r="D355" s="7" t="n"/>
      <ns0:c r="E355" s="7" t="n"/>
      <ns0:c r="F355" s="8" t="str">
        <ns0:f>IF(OR(B355="",J355&lt;&gt;"販売済み",E355="",C355=""),"",IFERROR(IF(OR(COUNTIF('手数料マスタ'!$A$5:$A$104,C355)&lt;&gt;1,COUNTIFS('手数料マスタ'!$A$5:$A$104,C355,'手数料マスタ'!$B$5:$B$104,"&lt;&gt;")&lt;&gt;1,NOT(ISNUMBER(VLOOKUP(C355,'手数料マスタ'!$A$5:$B$104,2,FALSE))),VLOOKUP(C355,'手数料マスタ'!$A$5:$B$104,2,FALSE)&lt;0,VLOOKUP(C355,'手数料マスタ'!$A$5:$B$104,2,FALSE)&gt;1),"要確認",ROUND(E355*VLOOKUP(C355,'手数料マスタ'!$A$5:$B$104,2,FALSE),0)),"要確認"))</ns0:f>
        <ns0:v/>
      </ns0:c>
      <ns0:c r="G355" s="7" t="n"/>
      <ns0:c r="H355" s="7" t="n"/>
      <ns0:c r="I355" s="8" t="str">
        <ns0:f>IF(OR(B355="",J355&lt;&gt;"販売済み",D355="",E355="",G355="",H355=""),"",IF(ISNUMBER(F355),E355-D355-F355-G355-H355,"要確認"))</ns0:f>
        <ns0:v/>
      </ns0:c>
      <ns0:c r="J355" s="6" t="n"/>
      <ns0:c r="K355" s="5" t="n"/>
      <ns0:c r="L355" s="9" t="str">
        <ns0:f>IF(AND(B355&lt;&gt;"",J355="在庫"),COUNTIFS($J$5:J355,"在庫",$B$5:B355,"&lt;&gt;"),"")</ns0:f>
        <ns0:v/>
      </ns0:c>
    </ns0:row>
    <ns0:row r="356">
      <ns0:c r="A356" s="5" t="n"/>
      <ns0:c r="B356" s="6" t="n"/>
      <ns0:c r="C356" s="6" t="n"/>
      <ns0:c r="D356" s="7" t="n"/>
      <ns0:c r="E356" s="7" t="n"/>
      <ns0:c r="F356" s="8" t="str">
        <ns0:f>IF(OR(B356="",J356&lt;&gt;"販売済み",E356="",C356=""),"",IFERROR(IF(OR(COUNTIF('手数料マスタ'!$A$5:$A$104,C356)&lt;&gt;1,COUNTIFS('手数料マスタ'!$A$5:$A$104,C356,'手数料マスタ'!$B$5:$B$104,"&lt;&gt;")&lt;&gt;1,NOT(ISNUMBER(VLOOKUP(C356,'手数料マスタ'!$A$5:$B$104,2,FALSE))),VLOOKUP(C356,'手数料マスタ'!$A$5:$B$104,2,FALSE)&lt;0,VLOOKUP(C356,'手数料マスタ'!$A$5:$B$104,2,FALSE)&gt;1),"要確認",ROUND(E356*VLOOKUP(C356,'手数料マスタ'!$A$5:$B$104,2,FALSE),0)),"要確認"))</ns0:f>
        <ns0:v/>
      </ns0:c>
      <ns0:c r="G356" s="7" t="n"/>
      <ns0:c r="H356" s="7" t="n"/>
      <ns0:c r="I356" s="8" t="str">
        <ns0:f>IF(OR(B356="",J356&lt;&gt;"販売済み",D356="",E356="",G356="",H356=""),"",IF(ISNUMBER(F356),E356-D356-F356-G356-H356,"要確認"))</ns0:f>
        <ns0:v/>
      </ns0:c>
      <ns0:c r="J356" s="6" t="n"/>
      <ns0:c r="K356" s="5" t="n"/>
      <ns0:c r="L356" s="9" t="str">
        <ns0:f>IF(AND(B356&lt;&gt;"",J356="在庫"),COUNTIFS($J$5:J356,"在庫",$B$5:B356,"&lt;&gt;"),"")</ns0:f>
        <ns0:v/>
      </ns0:c>
    </ns0:row>
    <ns0:row r="357">
      <ns0:c r="A357" s="5" t="n"/>
      <ns0:c r="B357" s="6" t="n"/>
      <ns0:c r="C357" s="6" t="n"/>
      <ns0:c r="D357" s="7" t="n"/>
      <ns0:c r="E357" s="7" t="n"/>
      <ns0:c r="F357" s="8" t="str">
        <ns0:f>IF(OR(B357="",J357&lt;&gt;"販売済み",E357="",C357=""),"",IFERROR(IF(OR(COUNTIF('手数料マスタ'!$A$5:$A$104,C357)&lt;&gt;1,COUNTIFS('手数料マスタ'!$A$5:$A$104,C357,'手数料マスタ'!$B$5:$B$104,"&lt;&gt;")&lt;&gt;1,NOT(ISNUMBER(VLOOKUP(C357,'手数料マスタ'!$A$5:$B$104,2,FALSE))),VLOOKUP(C357,'手数料マスタ'!$A$5:$B$104,2,FALSE)&lt;0,VLOOKUP(C357,'手数料マスタ'!$A$5:$B$104,2,FALSE)&gt;1),"要確認",ROUND(E357*VLOOKUP(C357,'手数料マスタ'!$A$5:$B$104,2,FALSE),0)),"要確認"))</ns0:f>
        <ns0:v/>
      </ns0:c>
      <ns0:c r="G357" s="7" t="n"/>
      <ns0:c r="H357" s="7" t="n"/>
      <ns0:c r="I357" s="8" t="str">
        <ns0:f>IF(OR(B357="",J357&lt;&gt;"販売済み",D357="",E357="",G357="",H357=""),"",IF(ISNUMBER(F357),E357-D357-F357-G357-H357,"要確認"))</ns0:f>
        <ns0:v/>
      </ns0:c>
      <ns0:c r="J357" s="6" t="n"/>
      <ns0:c r="K357" s="5" t="n"/>
      <ns0:c r="L357" s="9" t="str">
        <ns0:f>IF(AND(B357&lt;&gt;"",J357="在庫"),COUNTIFS($J$5:J357,"在庫",$B$5:B357,"&lt;&gt;"),"")</ns0:f>
        <ns0:v/>
      </ns0:c>
    </ns0:row>
    <ns0:row r="358">
      <ns0:c r="A358" s="5" t="n"/>
      <ns0:c r="B358" s="6" t="n"/>
      <ns0:c r="C358" s="6" t="n"/>
      <ns0:c r="D358" s="7" t="n"/>
      <ns0:c r="E358" s="7" t="n"/>
      <ns0:c r="F358" s="8" t="str">
        <ns0:f>IF(OR(B358="",J358&lt;&gt;"販売済み",E358="",C358=""),"",IFERROR(IF(OR(COUNTIF('手数料マスタ'!$A$5:$A$104,C358)&lt;&gt;1,COUNTIFS('手数料マスタ'!$A$5:$A$104,C358,'手数料マスタ'!$B$5:$B$104,"&lt;&gt;")&lt;&gt;1,NOT(ISNUMBER(VLOOKUP(C358,'手数料マスタ'!$A$5:$B$104,2,FALSE))),VLOOKUP(C358,'手数料マスタ'!$A$5:$B$104,2,FALSE)&lt;0,VLOOKUP(C358,'手数料マスタ'!$A$5:$B$104,2,FALSE)&gt;1),"要確認",ROUND(E358*VLOOKUP(C358,'手数料マスタ'!$A$5:$B$104,2,FALSE),0)),"要確認"))</ns0:f>
        <ns0:v/>
      </ns0:c>
      <ns0:c r="G358" s="7" t="n"/>
      <ns0:c r="H358" s="7" t="n"/>
      <ns0:c r="I358" s="8" t="str">
        <ns0:f>IF(OR(B358="",J358&lt;&gt;"販売済み",D358="",E358="",G358="",H358=""),"",IF(ISNUMBER(F358),E358-D358-F358-G358-H358,"要確認"))</ns0:f>
        <ns0:v/>
      </ns0:c>
      <ns0:c r="J358" s="6" t="n"/>
      <ns0:c r="K358" s="5" t="n"/>
      <ns0:c r="L358" s="9" t="str">
        <ns0:f>IF(AND(B358&lt;&gt;"",J358="在庫"),COUNTIFS($J$5:J358,"在庫",$B$5:B358,"&lt;&gt;"),"")</ns0:f>
        <ns0:v/>
      </ns0:c>
    </ns0:row>
    <ns0:row r="359">
      <ns0:c r="A359" s="5" t="n"/>
      <ns0:c r="B359" s="6" t="n"/>
      <ns0:c r="C359" s="6" t="n"/>
      <ns0:c r="D359" s="7" t="n"/>
      <ns0:c r="E359" s="7" t="n"/>
      <ns0:c r="F359" s="8" t="str">
        <ns0:f>IF(OR(B359="",J359&lt;&gt;"販売済み",E359="",C359=""),"",IFERROR(IF(OR(COUNTIF('手数料マスタ'!$A$5:$A$104,C359)&lt;&gt;1,COUNTIFS('手数料マスタ'!$A$5:$A$104,C359,'手数料マスタ'!$B$5:$B$104,"&lt;&gt;")&lt;&gt;1,NOT(ISNUMBER(VLOOKUP(C359,'手数料マスタ'!$A$5:$B$104,2,FALSE))),VLOOKUP(C359,'手数料マスタ'!$A$5:$B$104,2,FALSE)&lt;0,VLOOKUP(C359,'手数料マスタ'!$A$5:$B$104,2,FALSE)&gt;1),"要確認",ROUND(E359*VLOOKUP(C359,'手数料マスタ'!$A$5:$B$104,2,FALSE),0)),"要確認"))</ns0:f>
        <ns0:v/>
      </ns0:c>
      <ns0:c r="G359" s="7" t="n"/>
      <ns0:c r="H359" s="7" t="n"/>
      <ns0:c r="I359" s="8" t="str">
        <ns0:f>IF(OR(B359="",J359&lt;&gt;"販売済み",D359="",E359="",G359="",H359=""),"",IF(ISNUMBER(F359),E359-D359-F359-G359-H359,"要確認"))</ns0:f>
        <ns0:v/>
      </ns0:c>
      <ns0:c r="J359" s="6" t="n"/>
      <ns0:c r="K359" s="5" t="n"/>
      <ns0:c r="L359" s="9" t="str">
        <ns0:f>IF(AND(B359&lt;&gt;"",J359="在庫"),COUNTIFS($J$5:J359,"在庫",$B$5:B359,"&lt;&gt;"),"")</ns0:f>
        <ns0:v/>
      </ns0:c>
    </ns0:row>
    <ns0:row r="360">
      <ns0:c r="A360" s="5" t="n"/>
      <ns0:c r="B360" s="6" t="n"/>
      <ns0:c r="C360" s="6" t="n"/>
      <ns0:c r="D360" s="7" t="n"/>
      <ns0:c r="E360" s="7" t="n"/>
      <ns0:c r="F360" s="8" t="str">
        <ns0:f>IF(OR(B360="",J360&lt;&gt;"販売済み",E360="",C360=""),"",IFERROR(IF(OR(COUNTIF('手数料マスタ'!$A$5:$A$104,C360)&lt;&gt;1,COUNTIFS('手数料マスタ'!$A$5:$A$104,C360,'手数料マスタ'!$B$5:$B$104,"&lt;&gt;")&lt;&gt;1,NOT(ISNUMBER(VLOOKUP(C360,'手数料マスタ'!$A$5:$B$104,2,FALSE))),VLOOKUP(C360,'手数料マスタ'!$A$5:$B$104,2,FALSE)&lt;0,VLOOKUP(C360,'手数料マスタ'!$A$5:$B$104,2,FALSE)&gt;1),"要確認",ROUND(E360*VLOOKUP(C360,'手数料マスタ'!$A$5:$B$104,2,FALSE),0)),"要確認"))</ns0:f>
        <ns0:v/>
      </ns0:c>
      <ns0:c r="G360" s="7" t="n"/>
      <ns0:c r="H360" s="7" t="n"/>
      <ns0:c r="I360" s="8" t="str">
        <ns0:f>IF(OR(B360="",J360&lt;&gt;"販売済み",D360="",E360="",G360="",H360=""),"",IF(ISNUMBER(F360),E360-D360-F360-G360-H360,"要確認"))</ns0:f>
        <ns0:v/>
      </ns0:c>
      <ns0:c r="J360" s="6" t="n"/>
      <ns0:c r="K360" s="5" t="n"/>
      <ns0:c r="L360" s="9" t="str">
        <ns0:f>IF(AND(B360&lt;&gt;"",J360="在庫"),COUNTIFS($J$5:J360,"在庫",$B$5:B360,"&lt;&gt;"),"")</ns0:f>
        <ns0:v/>
      </ns0:c>
    </ns0:row>
    <ns0:row r="361">
      <ns0:c r="A361" s="5" t="n"/>
      <ns0:c r="B361" s="6" t="n"/>
      <ns0:c r="C361" s="6" t="n"/>
      <ns0:c r="D361" s="7" t="n"/>
      <ns0:c r="E361" s="7" t="n"/>
      <ns0:c r="F361" s="8" t="str">
        <ns0:f>IF(OR(B361="",J361&lt;&gt;"販売済み",E361="",C361=""),"",IFERROR(IF(OR(COUNTIF('手数料マスタ'!$A$5:$A$104,C361)&lt;&gt;1,COUNTIFS('手数料マスタ'!$A$5:$A$104,C361,'手数料マスタ'!$B$5:$B$104,"&lt;&gt;")&lt;&gt;1,NOT(ISNUMBER(VLOOKUP(C361,'手数料マスタ'!$A$5:$B$104,2,FALSE))),VLOOKUP(C361,'手数料マスタ'!$A$5:$B$104,2,FALSE)&lt;0,VLOOKUP(C361,'手数料マスタ'!$A$5:$B$104,2,FALSE)&gt;1),"要確認",ROUND(E361*VLOOKUP(C361,'手数料マスタ'!$A$5:$B$104,2,FALSE),0)),"要確認"))</ns0:f>
        <ns0:v/>
      </ns0:c>
      <ns0:c r="G361" s="7" t="n"/>
      <ns0:c r="H361" s="7" t="n"/>
      <ns0:c r="I361" s="8" t="str">
        <ns0:f>IF(OR(B361="",J361&lt;&gt;"販売済み",D361="",E361="",G361="",H361=""),"",IF(ISNUMBER(F361),E361-D361-F361-G361-H361,"要確認"))</ns0:f>
        <ns0:v/>
      </ns0:c>
      <ns0:c r="J361" s="6" t="n"/>
      <ns0:c r="K361" s="5" t="n"/>
      <ns0:c r="L361" s="9" t="str">
        <ns0:f>IF(AND(B361&lt;&gt;"",J361="在庫"),COUNTIFS($J$5:J361,"在庫",$B$5:B361,"&lt;&gt;"),"")</ns0:f>
        <ns0:v/>
      </ns0:c>
    </ns0:row>
    <ns0:row r="362">
      <ns0:c r="A362" s="5" t="n"/>
      <ns0:c r="B362" s="6" t="n"/>
      <ns0:c r="C362" s="6" t="n"/>
      <ns0:c r="D362" s="7" t="n"/>
      <ns0:c r="E362" s="7" t="n"/>
      <ns0:c r="F362" s="8" t="str">
        <ns0:f>IF(OR(B362="",J362&lt;&gt;"販売済み",E362="",C362=""),"",IFERROR(IF(OR(COUNTIF('手数料マスタ'!$A$5:$A$104,C362)&lt;&gt;1,COUNTIFS('手数料マスタ'!$A$5:$A$104,C362,'手数料マスタ'!$B$5:$B$104,"&lt;&gt;")&lt;&gt;1,NOT(ISNUMBER(VLOOKUP(C362,'手数料マスタ'!$A$5:$B$104,2,FALSE))),VLOOKUP(C362,'手数料マスタ'!$A$5:$B$104,2,FALSE)&lt;0,VLOOKUP(C362,'手数料マスタ'!$A$5:$B$104,2,FALSE)&gt;1),"要確認",ROUND(E362*VLOOKUP(C362,'手数料マスタ'!$A$5:$B$104,2,FALSE),0)),"要確認"))</ns0:f>
        <ns0:v/>
      </ns0:c>
      <ns0:c r="G362" s="7" t="n"/>
      <ns0:c r="H362" s="7" t="n"/>
      <ns0:c r="I362" s="8" t="str">
        <ns0:f>IF(OR(B362="",J362&lt;&gt;"販売済み",D362="",E362="",G362="",H362=""),"",IF(ISNUMBER(F362),E362-D362-F362-G362-H362,"要確認"))</ns0:f>
        <ns0:v/>
      </ns0:c>
      <ns0:c r="J362" s="6" t="n"/>
      <ns0:c r="K362" s="5" t="n"/>
      <ns0:c r="L362" s="9" t="str">
        <ns0:f>IF(AND(B362&lt;&gt;"",J362="在庫"),COUNTIFS($J$5:J362,"在庫",$B$5:B362,"&lt;&gt;"),"")</ns0:f>
        <ns0:v/>
      </ns0:c>
    </ns0:row>
    <ns0:row r="363">
      <ns0:c r="A363" s="5" t="n"/>
      <ns0:c r="B363" s="6" t="n"/>
      <ns0:c r="C363" s="6" t="n"/>
      <ns0:c r="D363" s="7" t="n"/>
      <ns0:c r="E363" s="7" t="n"/>
      <ns0:c r="F363" s="8" t="str">
        <ns0:f>IF(OR(B363="",J363&lt;&gt;"販売済み",E363="",C363=""),"",IFERROR(IF(OR(COUNTIF('手数料マスタ'!$A$5:$A$104,C363)&lt;&gt;1,COUNTIFS('手数料マスタ'!$A$5:$A$104,C363,'手数料マスタ'!$B$5:$B$104,"&lt;&gt;")&lt;&gt;1,NOT(ISNUMBER(VLOOKUP(C363,'手数料マスタ'!$A$5:$B$104,2,FALSE))),VLOOKUP(C363,'手数料マスタ'!$A$5:$B$104,2,FALSE)&lt;0,VLOOKUP(C363,'手数料マスタ'!$A$5:$B$104,2,FALSE)&gt;1),"要確認",ROUND(E363*VLOOKUP(C363,'手数料マスタ'!$A$5:$B$104,2,FALSE),0)),"要確認"))</ns0:f>
        <ns0:v/>
      </ns0:c>
      <ns0:c r="G363" s="7" t="n"/>
      <ns0:c r="H363" s="7" t="n"/>
      <ns0:c r="I363" s="8" t="str">
        <ns0:f>IF(OR(B363="",J363&lt;&gt;"販売済み",D363="",E363="",G363="",H363=""),"",IF(ISNUMBER(F363),E363-D363-F363-G363-H363,"要確認"))</ns0:f>
        <ns0:v/>
      </ns0:c>
      <ns0:c r="J363" s="6" t="n"/>
      <ns0:c r="K363" s="5" t="n"/>
      <ns0:c r="L363" s="9" t="str">
        <ns0:f>IF(AND(B363&lt;&gt;"",J363="在庫"),COUNTIFS($J$5:J363,"在庫",$B$5:B363,"&lt;&gt;"),"")</ns0:f>
        <ns0:v/>
      </ns0:c>
    </ns0:row>
    <ns0:row r="364">
      <ns0:c r="A364" s="5" t="n"/>
      <ns0:c r="B364" s="6" t="n"/>
      <ns0:c r="C364" s="6" t="n"/>
      <ns0:c r="D364" s="7" t="n"/>
      <ns0:c r="E364" s="7" t="n"/>
      <ns0:c r="F364" s="8" t="str">
        <ns0:f>IF(OR(B364="",J364&lt;&gt;"販売済み",E364="",C364=""),"",IFERROR(IF(OR(COUNTIF('手数料マスタ'!$A$5:$A$104,C364)&lt;&gt;1,COUNTIFS('手数料マスタ'!$A$5:$A$104,C364,'手数料マスタ'!$B$5:$B$104,"&lt;&gt;")&lt;&gt;1,NOT(ISNUMBER(VLOOKUP(C364,'手数料マスタ'!$A$5:$B$104,2,FALSE))),VLOOKUP(C364,'手数料マスタ'!$A$5:$B$104,2,FALSE)&lt;0,VLOOKUP(C364,'手数料マスタ'!$A$5:$B$104,2,FALSE)&gt;1),"要確認",ROUND(E364*VLOOKUP(C364,'手数料マスタ'!$A$5:$B$104,2,FALSE),0)),"要確認"))</ns0:f>
        <ns0:v/>
      </ns0:c>
      <ns0:c r="G364" s="7" t="n"/>
      <ns0:c r="H364" s="7" t="n"/>
      <ns0:c r="I364" s="8" t="str">
        <ns0:f>IF(OR(B364="",J364&lt;&gt;"販売済み",D364="",E364="",G364="",H364=""),"",IF(ISNUMBER(F364),E364-D364-F364-G364-H364,"要確認"))</ns0:f>
        <ns0:v/>
      </ns0:c>
      <ns0:c r="J364" s="6" t="n"/>
      <ns0:c r="K364" s="5" t="n"/>
      <ns0:c r="L364" s="9" t="str">
        <ns0:f>IF(AND(B364&lt;&gt;"",J364="在庫"),COUNTIFS($J$5:J364,"在庫",$B$5:B364,"&lt;&gt;"),"")</ns0:f>
        <ns0:v/>
      </ns0:c>
    </ns0:row>
    <ns0:row r="365">
      <ns0:c r="A365" s="5" t="n"/>
      <ns0:c r="B365" s="6" t="n"/>
      <ns0:c r="C365" s="6" t="n"/>
      <ns0:c r="D365" s="7" t="n"/>
      <ns0:c r="E365" s="7" t="n"/>
      <ns0:c r="F365" s="8" t="str">
        <ns0:f>IF(OR(B365="",J365&lt;&gt;"販売済み",E365="",C365=""),"",IFERROR(IF(OR(COUNTIF('手数料マスタ'!$A$5:$A$104,C365)&lt;&gt;1,COUNTIFS('手数料マスタ'!$A$5:$A$104,C365,'手数料マスタ'!$B$5:$B$104,"&lt;&gt;")&lt;&gt;1,NOT(ISNUMBER(VLOOKUP(C365,'手数料マスタ'!$A$5:$B$104,2,FALSE))),VLOOKUP(C365,'手数料マスタ'!$A$5:$B$104,2,FALSE)&lt;0,VLOOKUP(C365,'手数料マスタ'!$A$5:$B$104,2,FALSE)&gt;1),"要確認",ROUND(E365*VLOOKUP(C365,'手数料マスタ'!$A$5:$B$104,2,FALSE),0)),"要確認"))</ns0:f>
        <ns0:v/>
      </ns0:c>
      <ns0:c r="G365" s="7" t="n"/>
      <ns0:c r="H365" s="7" t="n"/>
      <ns0:c r="I365" s="8" t="str">
        <ns0:f>IF(OR(B365="",J365&lt;&gt;"販売済み",D365="",E365="",G365="",H365=""),"",IF(ISNUMBER(F365),E365-D365-F365-G365-H365,"要確認"))</ns0:f>
        <ns0:v/>
      </ns0:c>
      <ns0:c r="J365" s="6" t="n"/>
      <ns0:c r="K365" s="5" t="n"/>
      <ns0:c r="L365" s="9" t="str">
        <ns0:f>IF(AND(B365&lt;&gt;"",J365="在庫"),COUNTIFS($J$5:J365,"在庫",$B$5:B365,"&lt;&gt;"),"")</ns0:f>
        <ns0:v/>
      </ns0:c>
    </ns0:row>
    <ns0:row r="366">
      <ns0:c r="A366" s="5" t="n"/>
      <ns0:c r="B366" s="6" t="n"/>
      <ns0:c r="C366" s="6" t="n"/>
      <ns0:c r="D366" s="7" t="n"/>
      <ns0:c r="E366" s="7" t="n"/>
      <ns0:c r="F366" s="8" t="str">
        <ns0:f>IF(OR(B366="",J366&lt;&gt;"販売済み",E366="",C366=""),"",IFERROR(IF(OR(COUNTIF('手数料マスタ'!$A$5:$A$104,C366)&lt;&gt;1,COUNTIFS('手数料マスタ'!$A$5:$A$104,C366,'手数料マスタ'!$B$5:$B$104,"&lt;&gt;")&lt;&gt;1,NOT(ISNUMBER(VLOOKUP(C366,'手数料マスタ'!$A$5:$B$104,2,FALSE))),VLOOKUP(C366,'手数料マスタ'!$A$5:$B$104,2,FALSE)&lt;0,VLOOKUP(C366,'手数料マスタ'!$A$5:$B$104,2,FALSE)&gt;1),"要確認",ROUND(E366*VLOOKUP(C366,'手数料マスタ'!$A$5:$B$104,2,FALSE),0)),"要確認"))</ns0:f>
        <ns0:v/>
      </ns0:c>
      <ns0:c r="G366" s="7" t="n"/>
      <ns0:c r="H366" s="7" t="n"/>
      <ns0:c r="I366" s="8" t="str">
        <ns0:f>IF(OR(B366="",J366&lt;&gt;"販売済み",D366="",E366="",G366="",H366=""),"",IF(ISNUMBER(F366),E366-D366-F366-G366-H366,"要確認"))</ns0:f>
        <ns0:v/>
      </ns0:c>
      <ns0:c r="J366" s="6" t="n"/>
      <ns0:c r="K366" s="5" t="n"/>
      <ns0:c r="L366" s="9" t="str">
        <ns0:f>IF(AND(B366&lt;&gt;"",J366="在庫"),COUNTIFS($J$5:J366,"在庫",$B$5:B366,"&lt;&gt;"),"")</ns0:f>
        <ns0:v/>
      </ns0:c>
    </ns0:row>
    <ns0:row r="367">
      <ns0:c r="A367" s="5" t="n"/>
      <ns0:c r="B367" s="6" t="n"/>
      <ns0:c r="C367" s="6" t="n"/>
      <ns0:c r="D367" s="7" t="n"/>
      <ns0:c r="E367" s="7" t="n"/>
      <ns0:c r="F367" s="8" t="str">
        <ns0:f>IF(OR(B367="",J367&lt;&gt;"販売済み",E367="",C367=""),"",IFERROR(IF(OR(COUNTIF('手数料マスタ'!$A$5:$A$104,C367)&lt;&gt;1,COUNTIFS('手数料マスタ'!$A$5:$A$104,C367,'手数料マスタ'!$B$5:$B$104,"&lt;&gt;")&lt;&gt;1,NOT(ISNUMBER(VLOOKUP(C367,'手数料マスタ'!$A$5:$B$104,2,FALSE))),VLOOKUP(C367,'手数料マスタ'!$A$5:$B$104,2,FALSE)&lt;0,VLOOKUP(C367,'手数料マスタ'!$A$5:$B$104,2,FALSE)&gt;1),"要確認",ROUND(E367*VLOOKUP(C367,'手数料マスタ'!$A$5:$B$104,2,FALSE),0)),"要確認"))</ns0:f>
        <ns0:v/>
      </ns0:c>
      <ns0:c r="G367" s="7" t="n"/>
      <ns0:c r="H367" s="7" t="n"/>
      <ns0:c r="I367" s="8" t="str">
        <ns0:f>IF(OR(B367="",J367&lt;&gt;"販売済み",D367="",E367="",G367="",H367=""),"",IF(ISNUMBER(F367),E367-D367-F367-G367-H367,"要確認"))</ns0:f>
        <ns0:v/>
      </ns0:c>
      <ns0:c r="J367" s="6" t="n"/>
      <ns0:c r="K367" s="5" t="n"/>
      <ns0:c r="L367" s="9" t="str">
        <ns0:f>IF(AND(B367&lt;&gt;"",J367="在庫"),COUNTIFS($J$5:J367,"在庫",$B$5:B367,"&lt;&gt;"),"")</ns0:f>
        <ns0:v/>
      </ns0:c>
    </ns0:row>
    <ns0:row r="368">
      <ns0:c r="A368" s="5" t="n"/>
      <ns0:c r="B368" s="6" t="n"/>
      <ns0:c r="C368" s="6" t="n"/>
      <ns0:c r="D368" s="7" t="n"/>
      <ns0:c r="E368" s="7" t="n"/>
      <ns0:c r="F368" s="8" t="str">
        <ns0:f>IF(OR(B368="",J368&lt;&gt;"販売済み",E368="",C368=""),"",IFERROR(IF(OR(COUNTIF('手数料マスタ'!$A$5:$A$104,C368)&lt;&gt;1,COUNTIFS('手数料マスタ'!$A$5:$A$104,C368,'手数料マスタ'!$B$5:$B$104,"&lt;&gt;")&lt;&gt;1,NOT(ISNUMBER(VLOOKUP(C368,'手数料マスタ'!$A$5:$B$104,2,FALSE))),VLOOKUP(C368,'手数料マスタ'!$A$5:$B$104,2,FALSE)&lt;0,VLOOKUP(C368,'手数料マスタ'!$A$5:$B$104,2,FALSE)&gt;1),"要確認",ROUND(E368*VLOOKUP(C368,'手数料マスタ'!$A$5:$B$104,2,FALSE),0)),"要確認"))</ns0:f>
        <ns0:v/>
      </ns0:c>
      <ns0:c r="G368" s="7" t="n"/>
      <ns0:c r="H368" s="7" t="n"/>
      <ns0:c r="I368" s="8" t="str">
        <ns0:f>IF(OR(B368="",J368&lt;&gt;"販売済み",D368="",E368="",G368="",H368=""),"",IF(ISNUMBER(F368),E368-D368-F368-G368-H368,"要確認"))</ns0:f>
        <ns0:v/>
      </ns0:c>
      <ns0:c r="J368" s="6" t="n"/>
      <ns0:c r="K368" s="5" t="n"/>
      <ns0:c r="L368" s="9" t="str">
        <ns0:f>IF(AND(B368&lt;&gt;"",J368="在庫"),COUNTIFS($J$5:J368,"在庫",$B$5:B368,"&lt;&gt;"),"")</ns0:f>
        <ns0:v/>
      </ns0:c>
    </ns0:row>
    <ns0:row r="369">
      <ns0:c r="A369" s="5" t="n"/>
      <ns0:c r="B369" s="6" t="n"/>
      <ns0:c r="C369" s="6" t="n"/>
      <ns0:c r="D369" s="7" t="n"/>
      <ns0:c r="E369" s="7" t="n"/>
      <ns0:c r="F369" s="8" t="str">
        <ns0:f>IF(OR(B369="",J369&lt;&gt;"販売済み",E369="",C369=""),"",IFERROR(IF(OR(COUNTIF('手数料マスタ'!$A$5:$A$104,C369)&lt;&gt;1,COUNTIFS('手数料マスタ'!$A$5:$A$104,C369,'手数料マスタ'!$B$5:$B$104,"&lt;&gt;")&lt;&gt;1,NOT(ISNUMBER(VLOOKUP(C369,'手数料マスタ'!$A$5:$B$104,2,FALSE))),VLOOKUP(C369,'手数料マスタ'!$A$5:$B$104,2,FALSE)&lt;0,VLOOKUP(C369,'手数料マスタ'!$A$5:$B$104,2,FALSE)&gt;1),"要確認",ROUND(E369*VLOOKUP(C369,'手数料マスタ'!$A$5:$B$104,2,FALSE),0)),"要確認"))</ns0:f>
        <ns0:v/>
      </ns0:c>
      <ns0:c r="G369" s="7" t="n"/>
      <ns0:c r="H369" s="7" t="n"/>
      <ns0:c r="I369" s="8" t="str">
        <ns0:f>IF(OR(B369="",J369&lt;&gt;"販売済み",D369="",E369="",G369="",H369=""),"",IF(ISNUMBER(F369),E369-D369-F369-G369-H369,"要確認"))</ns0:f>
        <ns0:v/>
      </ns0:c>
      <ns0:c r="J369" s="6" t="n"/>
      <ns0:c r="K369" s="5" t="n"/>
      <ns0:c r="L369" s="9" t="str">
        <ns0:f>IF(AND(B369&lt;&gt;"",J369="在庫"),COUNTIFS($J$5:J369,"在庫",$B$5:B369,"&lt;&gt;"),"")</ns0:f>
        <ns0:v/>
      </ns0:c>
    </ns0:row>
    <ns0:row r="370">
      <ns0:c r="A370" s="5" t="n"/>
      <ns0:c r="B370" s="6" t="n"/>
      <ns0:c r="C370" s="6" t="n"/>
      <ns0:c r="D370" s="7" t="n"/>
      <ns0:c r="E370" s="7" t="n"/>
      <ns0:c r="F370" s="8" t="str">
        <ns0:f>IF(OR(B370="",J370&lt;&gt;"販売済み",E370="",C370=""),"",IFERROR(IF(OR(COUNTIF('手数料マスタ'!$A$5:$A$104,C370)&lt;&gt;1,COUNTIFS('手数料マスタ'!$A$5:$A$104,C370,'手数料マスタ'!$B$5:$B$104,"&lt;&gt;")&lt;&gt;1,NOT(ISNUMBER(VLOOKUP(C370,'手数料マスタ'!$A$5:$B$104,2,FALSE))),VLOOKUP(C370,'手数料マスタ'!$A$5:$B$104,2,FALSE)&lt;0,VLOOKUP(C370,'手数料マスタ'!$A$5:$B$104,2,FALSE)&gt;1),"要確認",ROUND(E370*VLOOKUP(C370,'手数料マスタ'!$A$5:$B$104,2,FALSE),0)),"要確認"))</ns0:f>
        <ns0:v/>
      </ns0:c>
      <ns0:c r="G370" s="7" t="n"/>
      <ns0:c r="H370" s="7" t="n"/>
      <ns0:c r="I370" s="8" t="str">
        <ns0:f>IF(OR(B370="",J370&lt;&gt;"販売済み",D370="",E370="",G370="",H370=""),"",IF(ISNUMBER(F370),E370-D370-F370-G370-H370,"要確認"))</ns0:f>
        <ns0:v/>
      </ns0:c>
      <ns0:c r="J370" s="6" t="n"/>
      <ns0:c r="K370" s="5" t="n"/>
      <ns0:c r="L370" s="9" t="str">
        <ns0:f>IF(AND(B370&lt;&gt;"",J370="在庫"),COUNTIFS($J$5:J370,"在庫",$B$5:B370,"&lt;&gt;"),"")</ns0:f>
        <ns0:v/>
      </ns0:c>
    </ns0:row>
    <ns0:row r="371">
      <ns0:c r="A371" s="5" t="n"/>
      <ns0:c r="B371" s="6" t="n"/>
      <ns0:c r="C371" s="6" t="n"/>
      <ns0:c r="D371" s="7" t="n"/>
      <ns0:c r="E371" s="7" t="n"/>
      <ns0:c r="F371" s="8" t="str">
        <ns0:f>IF(OR(B371="",J371&lt;&gt;"販売済み",E371="",C371=""),"",IFERROR(IF(OR(COUNTIF('手数料マスタ'!$A$5:$A$104,C371)&lt;&gt;1,COUNTIFS('手数料マスタ'!$A$5:$A$104,C371,'手数料マスタ'!$B$5:$B$104,"&lt;&gt;")&lt;&gt;1,NOT(ISNUMBER(VLOOKUP(C371,'手数料マスタ'!$A$5:$B$104,2,FALSE))),VLOOKUP(C371,'手数料マスタ'!$A$5:$B$104,2,FALSE)&lt;0,VLOOKUP(C371,'手数料マスタ'!$A$5:$B$104,2,FALSE)&gt;1),"要確認",ROUND(E371*VLOOKUP(C371,'手数料マスタ'!$A$5:$B$104,2,FALSE),0)),"要確認"))</ns0:f>
        <ns0:v/>
      </ns0:c>
      <ns0:c r="G371" s="7" t="n"/>
      <ns0:c r="H371" s="7" t="n"/>
      <ns0:c r="I371" s="8" t="str">
        <ns0:f>IF(OR(B371="",J371&lt;&gt;"販売済み",D371="",E371="",G371="",H371=""),"",IF(ISNUMBER(F371),E371-D371-F371-G371-H371,"要確認"))</ns0:f>
        <ns0:v/>
      </ns0:c>
      <ns0:c r="J371" s="6" t="n"/>
      <ns0:c r="K371" s="5" t="n"/>
      <ns0:c r="L371" s="9" t="str">
        <ns0:f>IF(AND(B371&lt;&gt;"",J371="在庫"),COUNTIFS($J$5:J371,"在庫",$B$5:B371,"&lt;&gt;"),"")</ns0:f>
        <ns0:v/>
      </ns0:c>
    </ns0:row>
    <ns0:row r="372">
      <ns0:c r="A372" s="5" t="n"/>
      <ns0:c r="B372" s="6" t="n"/>
      <ns0:c r="C372" s="6" t="n"/>
      <ns0:c r="D372" s="7" t="n"/>
      <ns0:c r="E372" s="7" t="n"/>
      <ns0:c r="F372" s="8" t="str">
        <ns0:f>IF(OR(B372="",J372&lt;&gt;"販売済み",E372="",C372=""),"",IFERROR(IF(OR(COUNTIF('手数料マスタ'!$A$5:$A$104,C372)&lt;&gt;1,COUNTIFS('手数料マスタ'!$A$5:$A$104,C372,'手数料マスタ'!$B$5:$B$104,"&lt;&gt;")&lt;&gt;1,NOT(ISNUMBER(VLOOKUP(C372,'手数料マスタ'!$A$5:$B$104,2,FALSE))),VLOOKUP(C372,'手数料マスタ'!$A$5:$B$104,2,FALSE)&lt;0,VLOOKUP(C372,'手数料マスタ'!$A$5:$B$104,2,FALSE)&gt;1),"要確認",ROUND(E372*VLOOKUP(C372,'手数料マスタ'!$A$5:$B$104,2,FALSE),0)),"要確認"))</ns0:f>
        <ns0:v/>
      </ns0:c>
      <ns0:c r="G372" s="7" t="n"/>
      <ns0:c r="H372" s="7" t="n"/>
      <ns0:c r="I372" s="8" t="str">
        <ns0:f>IF(OR(B372="",J372&lt;&gt;"販売済み",D372="",E372="",G372="",H372=""),"",IF(ISNUMBER(F372),E372-D372-F372-G372-H372,"要確認"))</ns0:f>
        <ns0:v/>
      </ns0:c>
      <ns0:c r="J372" s="6" t="n"/>
      <ns0:c r="K372" s="5" t="n"/>
      <ns0:c r="L372" s="9" t="str">
        <ns0:f>IF(AND(B372&lt;&gt;"",J372="在庫"),COUNTIFS($J$5:J372,"在庫",$B$5:B372,"&lt;&gt;"),"")</ns0:f>
        <ns0:v/>
      </ns0:c>
    </ns0:row>
    <ns0:row r="373">
      <ns0:c r="A373" s="5" t="n"/>
      <ns0:c r="B373" s="6" t="n"/>
      <ns0:c r="C373" s="6" t="n"/>
      <ns0:c r="D373" s="7" t="n"/>
      <ns0:c r="E373" s="7" t="n"/>
      <ns0:c r="F373" s="8" t="str">
        <ns0:f>IF(OR(B373="",J373&lt;&gt;"販売済み",E373="",C373=""),"",IFERROR(IF(OR(COUNTIF('手数料マスタ'!$A$5:$A$104,C373)&lt;&gt;1,COUNTIFS('手数料マスタ'!$A$5:$A$104,C373,'手数料マスタ'!$B$5:$B$104,"&lt;&gt;")&lt;&gt;1,NOT(ISNUMBER(VLOOKUP(C373,'手数料マスタ'!$A$5:$B$104,2,FALSE))),VLOOKUP(C373,'手数料マスタ'!$A$5:$B$104,2,FALSE)&lt;0,VLOOKUP(C373,'手数料マスタ'!$A$5:$B$104,2,FALSE)&gt;1),"要確認",ROUND(E373*VLOOKUP(C373,'手数料マスタ'!$A$5:$B$104,2,FALSE),0)),"要確認"))</ns0:f>
        <ns0:v/>
      </ns0:c>
      <ns0:c r="G373" s="7" t="n"/>
      <ns0:c r="H373" s="7" t="n"/>
      <ns0:c r="I373" s="8" t="str">
        <ns0:f>IF(OR(B373="",J373&lt;&gt;"販売済み",D373="",E373="",G373="",H373=""),"",IF(ISNUMBER(F373),E373-D373-F373-G373-H373,"要確認"))</ns0:f>
        <ns0:v/>
      </ns0:c>
      <ns0:c r="J373" s="6" t="n"/>
      <ns0:c r="K373" s="5" t="n"/>
      <ns0:c r="L373" s="9" t="str">
        <ns0:f>IF(AND(B373&lt;&gt;"",J373="在庫"),COUNTIFS($J$5:J373,"在庫",$B$5:B373,"&lt;&gt;"),"")</ns0:f>
        <ns0:v/>
      </ns0:c>
    </ns0:row>
    <ns0:row r="374">
      <ns0:c r="A374" s="5" t="n"/>
      <ns0:c r="B374" s="6" t="n"/>
      <ns0:c r="C374" s="6" t="n"/>
      <ns0:c r="D374" s="7" t="n"/>
      <ns0:c r="E374" s="7" t="n"/>
      <ns0:c r="F374" s="8" t="str">
        <ns0:f>IF(OR(B374="",J374&lt;&gt;"販売済み",E374="",C374=""),"",IFERROR(IF(OR(COUNTIF('手数料マスタ'!$A$5:$A$104,C374)&lt;&gt;1,COUNTIFS('手数料マスタ'!$A$5:$A$104,C374,'手数料マスタ'!$B$5:$B$104,"&lt;&gt;")&lt;&gt;1,NOT(ISNUMBER(VLOOKUP(C374,'手数料マスタ'!$A$5:$B$104,2,FALSE))),VLOOKUP(C374,'手数料マスタ'!$A$5:$B$104,2,FALSE)&lt;0,VLOOKUP(C374,'手数料マスタ'!$A$5:$B$104,2,FALSE)&gt;1),"要確認",ROUND(E374*VLOOKUP(C374,'手数料マスタ'!$A$5:$B$104,2,FALSE),0)),"要確認"))</ns0:f>
        <ns0:v/>
      </ns0:c>
      <ns0:c r="G374" s="7" t="n"/>
      <ns0:c r="H374" s="7" t="n"/>
      <ns0:c r="I374" s="8" t="str">
        <ns0:f>IF(OR(B374="",J374&lt;&gt;"販売済み",D374="",E374="",G374="",H374=""),"",IF(ISNUMBER(F374),E374-D374-F374-G374-H374,"要確認"))</ns0:f>
        <ns0:v/>
      </ns0:c>
      <ns0:c r="J374" s="6" t="n"/>
      <ns0:c r="K374" s="5" t="n"/>
      <ns0:c r="L374" s="9" t="str">
        <ns0:f>IF(AND(B374&lt;&gt;"",J374="在庫"),COUNTIFS($J$5:J374,"在庫",$B$5:B374,"&lt;&gt;"),"")</ns0:f>
        <ns0:v/>
      </ns0:c>
    </ns0:row>
    <ns0:row r="375">
      <ns0:c r="A375" s="5" t="n"/>
      <ns0:c r="B375" s="6" t="n"/>
      <ns0:c r="C375" s="6" t="n"/>
      <ns0:c r="D375" s="7" t="n"/>
      <ns0:c r="E375" s="7" t="n"/>
      <ns0:c r="F375" s="8" t="str">
        <ns0:f>IF(OR(B375="",J375&lt;&gt;"販売済み",E375="",C375=""),"",IFERROR(IF(OR(COUNTIF('手数料マスタ'!$A$5:$A$104,C375)&lt;&gt;1,COUNTIFS('手数料マスタ'!$A$5:$A$104,C375,'手数料マスタ'!$B$5:$B$104,"&lt;&gt;")&lt;&gt;1,NOT(ISNUMBER(VLOOKUP(C375,'手数料マスタ'!$A$5:$B$104,2,FALSE))),VLOOKUP(C375,'手数料マスタ'!$A$5:$B$104,2,FALSE)&lt;0,VLOOKUP(C375,'手数料マスタ'!$A$5:$B$104,2,FALSE)&gt;1),"要確認",ROUND(E375*VLOOKUP(C375,'手数料マスタ'!$A$5:$B$104,2,FALSE),0)),"要確認"))</ns0:f>
        <ns0:v/>
      </ns0:c>
      <ns0:c r="G375" s="7" t="n"/>
      <ns0:c r="H375" s="7" t="n"/>
      <ns0:c r="I375" s="8" t="str">
        <ns0:f>IF(OR(B375="",J375&lt;&gt;"販売済み",D375="",E375="",G375="",H375=""),"",IF(ISNUMBER(F375),E375-D375-F375-G375-H375,"要確認"))</ns0:f>
        <ns0:v/>
      </ns0:c>
      <ns0:c r="J375" s="6" t="n"/>
      <ns0:c r="K375" s="5" t="n"/>
      <ns0:c r="L375" s="9" t="str">
        <ns0:f>IF(AND(B375&lt;&gt;"",J375="在庫"),COUNTIFS($J$5:J375,"在庫",$B$5:B375,"&lt;&gt;"),"")</ns0:f>
        <ns0:v/>
      </ns0:c>
    </ns0:row>
    <ns0:row r="376">
      <ns0:c r="A376" s="5" t="n"/>
      <ns0:c r="B376" s="6" t="n"/>
      <ns0:c r="C376" s="6" t="n"/>
      <ns0:c r="D376" s="7" t="n"/>
      <ns0:c r="E376" s="7" t="n"/>
      <ns0:c r="F376" s="8" t="str">
        <ns0:f>IF(OR(B376="",J376&lt;&gt;"販売済み",E376="",C376=""),"",IFERROR(IF(OR(COUNTIF('手数料マスタ'!$A$5:$A$104,C376)&lt;&gt;1,COUNTIFS('手数料マスタ'!$A$5:$A$104,C376,'手数料マスタ'!$B$5:$B$104,"&lt;&gt;")&lt;&gt;1,NOT(ISNUMBER(VLOOKUP(C376,'手数料マスタ'!$A$5:$B$104,2,FALSE))),VLOOKUP(C376,'手数料マスタ'!$A$5:$B$104,2,FALSE)&lt;0,VLOOKUP(C376,'手数料マスタ'!$A$5:$B$104,2,FALSE)&gt;1),"要確認",ROUND(E376*VLOOKUP(C376,'手数料マスタ'!$A$5:$B$104,2,FALSE),0)),"要確認"))</ns0:f>
        <ns0:v/>
      </ns0:c>
      <ns0:c r="G376" s="7" t="n"/>
      <ns0:c r="H376" s="7" t="n"/>
      <ns0:c r="I376" s="8" t="str">
        <ns0:f>IF(OR(B376="",J376&lt;&gt;"販売済み",D376="",E376="",G376="",H376=""),"",IF(ISNUMBER(F376),E376-D376-F376-G376-H376,"要確認"))</ns0:f>
        <ns0:v/>
      </ns0:c>
      <ns0:c r="J376" s="6" t="n"/>
      <ns0:c r="K376" s="5" t="n"/>
      <ns0:c r="L376" s="9" t="str">
        <ns0:f>IF(AND(B376&lt;&gt;"",J376="在庫"),COUNTIFS($J$5:J376,"在庫",$B$5:B376,"&lt;&gt;"),"")</ns0:f>
        <ns0:v/>
      </ns0:c>
    </ns0:row>
    <ns0:row r="377">
      <ns0:c r="A377" s="5" t="n"/>
      <ns0:c r="B377" s="6" t="n"/>
      <ns0:c r="C377" s="6" t="n"/>
      <ns0:c r="D377" s="7" t="n"/>
      <ns0:c r="E377" s="7" t="n"/>
      <ns0:c r="F377" s="8" t="str">
        <ns0:f>IF(OR(B377="",J377&lt;&gt;"販売済み",E377="",C377=""),"",IFERROR(IF(OR(COUNTIF('手数料マスタ'!$A$5:$A$104,C377)&lt;&gt;1,COUNTIFS('手数料マスタ'!$A$5:$A$104,C377,'手数料マスタ'!$B$5:$B$104,"&lt;&gt;")&lt;&gt;1,NOT(ISNUMBER(VLOOKUP(C377,'手数料マスタ'!$A$5:$B$104,2,FALSE))),VLOOKUP(C377,'手数料マスタ'!$A$5:$B$104,2,FALSE)&lt;0,VLOOKUP(C377,'手数料マスタ'!$A$5:$B$104,2,FALSE)&gt;1),"要確認",ROUND(E377*VLOOKUP(C377,'手数料マスタ'!$A$5:$B$104,2,FALSE),0)),"要確認"))</ns0:f>
        <ns0:v/>
      </ns0:c>
      <ns0:c r="G377" s="7" t="n"/>
      <ns0:c r="H377" s="7" t="n"/>
      <ns0:c r="I377" s="8" t="str">
        <ns0:f>IF(OR(B377="",J377&lt;&gt;"販売済み",D377="",E377="",G377="",H377=""),"",IF(ISNUMBER(F377),E377-D377-F377-G377-H377,"要確認"))</ns0:f>
        <ns0:v/>
      </ns0:c>
      <ns0:c r="J377" s="6" t="n"/>
      <ns0:c r="K377" s="5" t="n"/>
      <ns0:c r="L377" s="9" t="str">
        <ns0:f>IF(AND(B377&lt;&gt;"",J377="在庫"),COUNTIFS($J$5:J377,"在庫",$B$5:B377,"&lt;&gt;"),"")</ns0:f>
        <ns0:v/>
      </ns0:c>
    </ns0:row>
    <ns0:row r="378">
      <ns0:c r="A378" s="5" t="n"/>
      <ns0:c r="B378" s="6" t="n"/>
      <ns0:c r="C378" s="6" t="n"/>
      <ns0:c r="D378" s="7" t="n"/>
      <ns0:c r="E378" s="7" t="n"/>
      <ns0:c r="F378" s="8" t="str">
        <ns0:f>IF(OR(B378="",J378&lt;&gt;"販売済み",E378="",C378=""),"",IFERROR(IF(OR(COUNTIF('手数料マスタ'!$A$5:$A$104,C378)&lt;&gt;1,COUNTIFS('手数料マスタ'!$A$5:$A$104,C378,'手数料マスタ'!$B$5:$B$104,"&lt;&gt;")&lt;&gt;1,NOT(ISNUMBER(VLOOKUP(C378,'手数料マスタ'!$A$5:$B$104,2,FALSE))),VLOOKUP(C378,'手数料マスタ'!$A$5:$B$104,2,FALSE)&lt;0,VLOOKUP(C378,'手数料マスタ'!$A$5:$B$104,2,FALSE)&gt;1),"要確認",ROUND(E378*VLOOKUP(C378,'手数料マスタ'!$A$5:$B$104,2,FALSE),0)),"要確認"))</ns0:f>
        <ns0:v/>
      </ns0:c>
      <ns0:c r="G378" s="7" t="n"/>
      <ns0:c r="H378" s="7" t="n"/>
      <ns0:c r="I378" s="8" t="str">
        <ns0:f>IF(OR(B378="",J378&lt;&gt;"販売済み",D378="",E378="",G378="",H378=""),"",IF(ISNUMBER(F378),E378-D378-F378-G378-H378,"要確認"))</ns0:f>
        <ns0:v/>
      </ns0:c>
      <ns0:c r="J378" s="6" t="n"/>
      <ns0:c r="K378" s="5" t="n"/>
      <ns0:c r="L378" s="9" t="str">
        <ns0:f>IF(AND(B378&lt;&gt;"",J378="在庫"),COUNTIFS($J$5:J378,"在庫",$B$5:B378,"&lt;&gt;"),"")</ns0:f>
        <ns0:v/>
      </ns0:c>
    </ns0:row>
    <ns0:row r="379">
      <ns0:c r="A379" s="5" t="n"/>
      <ns0:c r="B379" s="6" t="n"/>
      <ns0:c r="C379" s="6" t="n"/>
      <ns0:c r="D379" s="7" t="n"/>
      <ns0:c r="E379" s="7" t="n"/>
      <ns0:c r="F379" s="8" t="str">
        <ns0:f>IF(OR(B379="",J379&lt;&gt;"販売済み",E379="",C379=""),"",IFERROR(IF(OR(COUNTIF('手数料マスタ'!$A$5:$A$104,C379)&lt;&gt;1,COUNTIFS('手数料マスタ'!$A$5:$A$104,C379,'手数料マスタ'!$B$5:$B$104,"&lt;&gt;")&lt;&gt;1,NOT(ISNUMBER(VLOOKUP(C379,'手数料マスタ'!$A$5:$B$104,2,FALSE))),VLOOKUP(C379,'手数料マスタ'!$A$5:$B$104,2,FALSE)&lt;0,VLOOKUP(C379,'手数料マスタ'!$A$5:$B$104,2,FALSE)&gt;1),"要確認",ROUND(E379*VLOOKUP(C379,'手数料マスタ'!$A$5:$B$104,2,FALSE),0)),"要確認"))</ns0:f>
        <ns0:v/>
      </ns0:c>
      <ns0:c r="G379" s="7" t="n"/>
      <ns0:c r="H379" s="7" t="n"/>
      <ns0:c r="I379" s="8" t="str">
        <ns0:f>IF(OR(B379="",J379&lt;&gt;"販売済み",D379="",E379="",G379="",H379=""),"",IF(ISNUMBER(F379),E379-D379-F379-G379-H379,"要確認"))</ns0:f>
        <ns0:v/>
      </ns0:c>
      <ns0:c r="J379" s="6" t="n"/>
      <ns0:c r="K379" s="5" t="n"/>
      <ns0:c r="L379" s="9" t="str">
        <ns0:f>IF(AND(B379&lt;&gt;"",J379="在庫"),COUNTIFS($J$5:J379,"在庫",$B$5:B379,"&lt;&gt;"),"")</ns0:f>
        <ns0:v/>
      </ns0:c>
    </ns0:row>
    <ns0:row r="380">
      <ns0:c r="A380" s="5" t="n"/>
      <ns0:c r="B380" s="6" t="n"/>
      <ns0:c r="C380" s="6" t="n"/>
      <ns0:c r="D380" s="7" t="n"/>
      <ns0:c r="E380" s="7" t="n"/>
      <ns0:c r="F380" s="8" t="str">
        <ns0:f>IF(OR(B380="",J380&lt;&gt;"販売済み",E380="",C380=""),"",IFERROR(IF(OR(COUNTIF('手数料マスタ'!$A$5:$A$104,C380)&lt;&gt;1,COUNTIFS('手数料マスタ'!$A$5:$A$104,C380,'手数料マスタ'!$B$5:$B$104,"&lt;&gt;")&lt;&gt;1,NOT(ISNUMBER(VLOOKUP(C380,'手数料マスタ'!$A$5:$B$104,2,FALSE))),VLOOKUP(C380,'手数料マスタ'!$A$5:$B$104,2,FALSE)&lt;0,VLOOKUP(C380,'手数料マスタ'!$A$5:$B$104,2,FALSE)&gt;1),"要確認",ROUND(E380*VLOOKUP(C380,'手数料マスタ'!$A$5:$B$104,2,FALSE),0)),"要確認"))</ns0:f>
        <ns0:v/>
      </ns0:c>
      <ns0:c r="G380" s="7" t="n"/>
      <ns0:c r="H380" s="7" t="n"/>
      <ns0:c r="I380" s="8" t="str">
        <ns0:f>IF(OR(B380="",J380&lt;&gt;"販売済み",D380="",E380="",G380="",H380=""),"",IF(ISNUMBER(F380),E380-D380-F380-G380-H380,"要確認"))</ns0:f>
        <ns0:v/>
      </ns0:c>
      <ns0:c r="J380" s="6" t="n"/>
      <ns0:c r="K380" s="5" t="n"/>
      <ns0:c r="L380" s="9" t="str">
        <ns0:f>IF(AND(B380&lt;&gt;"",J380="在庫"),COUNTIFS($J$5:J380,"在庫",$B$5:B380,"&lt;&gt;"),"")</ns0:f>
        <ns0:v/>
      </ns0:c>
    </ns0:row>
    <ns0:row r="381">
      <ns0:c r="A381" s="5" t="n"/>
      <ns0:c r="B381" s="6" t="n"/>
      <ns0:c r="C381" s="6" t="n"/>
      <ns0:c r="D381" s="7" t="n"/>
      <ns0:c r="E381" s="7" t="n"/>
      <ns0:c r="F381" s="8" t="str">
        <ns0:f>IF(OR(B381="",J381&lt;&gt;"販売済み",E381="",C381=""),"",IFERROR(IF(OR(COUNTIF('手数料マスタ'!$A$5:$A$104,C381)&lt;&gt;1,COUNTIFS('手数料マスタ'!$A$5:$A$104,C381,'手数料マスタ'!$B$5:$B$104,"&lt;&gt;")&lt;&gt;1,NOT(ISNUMBER(VLOOKUP(C381,'手数料マスタ'!$A$5:$B$104,2,FALSE))),VLOOKUP(C381,'手数料マスタ'!$A$5:$B$104,2,FALSE)&lt;0,VLOOKUP(C381,'手数料マスタ'!$A$5:$B$104,2,FALSE)&gt;1),"要確認",ROUND(E381*VLOOKUP(C381,'手数料マスタ'!$A$5:$B$104,2,FALSE),0)),"要確認"))</ns0:f>
        <ns0:v/>
      </ns0:c>
      <ns0:c r="G381" s="7" t="n"/>
      <ns0:c r="H381" s="7" t="n"/>
      <ns0:c r="I381" s="8" t="str">
        <ns0:f>IF(OR(B381="",J381&lt;&gt;"販売済み",D381="",E381="",G381="",H381=""),"",IF(ISNUMBER(F381),E381-D381-F381-G381-H381,"要確認"))</ns0:f>
        <ns0:v/>
      </ns0:c>
      <ns0:c r="J381" s="6" t="n"/>
      <ns0:c r="K381" s="5" t="n"/>
      <ns0:c r="L381" s="9" t="str">
        <ns0:f>IF(AND(B381&lt;&gt;"",J381="在庫"),COUNTIFS($J$5:J381,"在庫",$B$5:B381,"&lt;&gt;"),"")</ns0:f>
        <ns0:v/>
      </ns0:c>
    </ns0:row>
    <ns0:row r="382">
      <ns0:c r="A382" s="5" t="n"/>
      <ns0:c r="B382" s="6" t="n"/>
      <ns0:c r="C382" s="6" t="n"/>
      <ns0:c r="D382" s="7" t="n"/>
      <ns0:c r="E382" s="7" t="n"/>
      <ns0:c r="F382" s="8" t="str">
        <ns0:f>IF(OR(B382="",J382&lt;&gt;"販売済み",E382="",C382=""),"",IFERROR(IF(OR(COUNTIF('手数料マスタ'!$A$5:$A$104,C382)&lt;&gt;1,COUNTIFS('手数料マスタ'!$A$5:$A$104,C382,'手数料マスタ'!$B$5:$B$104,"&lt;&gt;")&lt;&gt;1,NOT(ISNUMBER(VLOOKUP(C382,'手数料マスタ'!$A$5:$B$104,2,FALSE))),VLOOKUP(C382,'手数料マスタ'!$A$5:$B$104,2,FALSE)&lt;0,VLOOKUP(C382,'手数料マスタ'!$A$5:$B$104,2,FALSE)&gt;1),"要確認",ROUND(E382*VLOOKUP(C382,'手数料マスタ'!$A$5:$B$104,2,FALSE),0)),"要確認"))</ns0:f>
        <ns0:v/>
      </ns0:c>
      <ns0:c r="G382" s="7" t="n"/>
      <ns0:c r="H382" s="7" t="n"/>
      <ns0:c r="I382" s="8" t="str">
        <ns0:f>IF(OR(B382="",J382&lt;&gt;"販売済み",D382="",E382="",G382="",H382=""),"",IF(ISNUMBER(F382),E382-D382-F382-G382-H382,"要確認"))</ns0:f>
        <ns0:v/>
      </ns0:c>
      <ns0:c r="J382" s="6" t="n"/>
      <ns0:c r="K382" s="5" t="n"/>
      <ns0:c r="L382" s="9" t="str">
        <ns0:f>IF(AND(B382&lt;&gt;"",J382="在庫"),COUNTIFS($J$5:J382,"在庫",$B$5:B382,"&lt;&gt;"),"")</ns0:f>
        <ns0:v/>
      </ns0:c>
    </ns0:row>
    <ns0:row r="383">
      <ns0:c r="A383" s="5" t="n"/>
      <ns0:c r="B383" s="6" t="n"/>
      <ns0:c r="C383" s="6" t="n"/>
      <ns0:c r="D383" s="7" t="n"/>
      <ns0:c r="E383" s="7" t="n"/>
      <ns0:c r="F383" s="8" t="str">
        <ns0:f>IF(OR(B383="",J383&lt;&gt;"販売済み",E383="",C383=""),"",IFERROR(IF(OR(COUNTIF('手数料マスタ'!$A$5:$A$104,C383)&lt;&gt;1,COUNTIFS('手数料マスタ'!$A$5:$A$104,C383,'手数料マスタ'!$B$5:$B$104,"&lt;&gt;")&lt;&gt;1,NOT(ISNUMBER(VLOOKUP(C383,'手数料マスタ'!$A$5:$B$104,2,FALSE))),VLOOKUP(C383,'手数料マスタ'!$A$5:$B$104,2,FALSE)&lt;0,VLOOKUP(C383,'手数料マスタ'!$A$5:$B$104,2,FALSE)&gt;1),"要確認",ROUND(E383*VLOOKUP(C383,'手数料マスタ'!$A$5:$B$104,2,FALSE),0)),"要確認"))</ns0:f>
        <ns0:v/>
      </ns0:c>
      <ns0:c r="G383" s="7" t="n"/>
      <ns0:c r="H383" s="7" t="n"/>
      <ns0:c r="I383" s="8" t="str">
        <ns0:f>IF(OR(B383="",J383&lt;&gt;"販売済み",D383="",E383="",G383="",H383=""),"",IF(ISNUMBER(F383),E383-D383-F383-G383-H383,"要確認"))</ns0:f>
        <ns0:v/>
      </ns0:c>
      <ns0:c r="J383" s="6" t="n"/>
      <ns0:c r="K383" s="5" t="n"/>
      <ns0:c r="L383" s="9" t="str">
        <ns0:f>IF(AND(B383&lt;&gt;"",J383="在庫"),COUNTIFS($J$5:J383,"在庫",$B$5:B383,"&lt;&gt;"),"")</ns0:f>
        <ns0:v/>
      </ns0:c>
    </ns0:row>
    <ns0:row r="384">
      <ns0:c r="A384" s="5" t="n"/>
      <ns0:c r="B384" s="6" t="n"/>
      <ns0:c r="C384" s="6" t="n"/>
      <ns0:c r="D384" s="7" t="n"/>
      <ns0:c r="E384" s="7" t="n"/>
      <ns0:c r="F384" s="8" t="str">
        <ns0:f>IF(OR(B384="",J384&lt;&gt;"販売済み",E384="",C384=""),"",IFERROR(IF(OR(COUNTIF('手数料マスタ'!$A$5:$A$104,C384)&lt;&gt;1,COUNTIFS('手数料マスタ'!$A$5:$A$104,C384,'手数料マスタ'!$B$5:$B$104,"&lt;&gt;")&lt;&gt;1,NOT(ISNUMBER(VLOOKUP(C384,'手数料マスタ'!$A$5:$B$104,2,FALSE))),VLOOKUP(C384,'手数料マスタ'!$A$5:$B$104,2,FALSE)&lt;0,VLOOKUP(C384,'手数料マスタ'!$A$5:$B$104,2,FALSE)&gt;1),"要確認",ROUND(E384*VLOOKUP(C384,'手数料マスタ'!$A$5:$B$104,2,FALSE),0)),"要確認"))</ns0:f>
        <ns0:v/>
      </ns0:c>
      <ns0:c r="G384" s="7" t="n"/>
      <ns0:c r="H384" s="7" t="n"/>
      <ns0:c r="I384" s="8" t="str">
        <ns0:f>IF(OR(B384="",J384&lt;&gt;"販売済み",D384="",E384="",G384="",H384=""),"",IF(ISNUMBER(F384),E384-D384-F384-G384-H384,"要確認"))</ns0:f>
        <ns0:v/>
      </ns0:c>
      <ns0:c r="J384" s="6" t="n"/>
      <ns0:c r="K384" s="5" t="n"/>
      <ns0:c r="L384" s="9" t="str">
        <ns0:f>IF(AND(B384&lt;&gt;"",J384="在庫"),COUNTIFS($J$5:J384,"在庫",$B$5:B384,"&lt;&gt;"),"")</ns0:f>
        <ns0:v/>
      </ns0:c>
    </ns0:row>
    <ns0:row r="385">
      <ns0:c r="A385" s="5" t="n"/>
      <ns0:c r="B385" s="6" t="n"/>
      <ns0:c r="C385" s="6" t="n"/>
      <ns0:c r="D385" s="7" t="n"/>
      <ns0:c r="E385" s="7" t="n"/>
      <ns0:c r="F385" s="8" t="str">
        <ns0:f>IF(OR(B385="",J385&lt;&gt;"販売済み",E385="",C385=""),"",IFERROR(IF(OR(COUNTIF('手数料マスタ'!$A$5:$A$104,C385)&lt;&gt;1,COUNTIFS('手数料マスタ'!$A$5:$A$104,C385,'手数料マスタ'!$B$5:$B$104,"&lt;&gt;")&lt;&gt;1,NOT(ISNUMBER(VLOOKUP(C385,'手数料マスタ'!$A$5:$B$104,2,FALSE))),VLOOKUP(C385,'手数料マスタ'!$A$5:$B$104,2,FALSE)&lt;0,VLOOKUP(C385,'手数料マスタ'!$A$5:$B$104,2,FALSE)&gt;1),"要確認",ROUND(E385*VLOOKUP(C385,'手数料マスタ'!$A$5:$B$104,2,FALSE),0)),"要確認"))</ns0:f>
        <ns0:v/>
      </ns0:c>
      <ns0:c r="G385" s="7" t="n"/>
      <ns0:c r="H385" s="7" t="n"/>
      <ns0:c r="I385" s="8" t="str">
        <ns0:f>IF(OR(B385="",J385&lt;&gt;"販売済み",D385="",E385="",G385="",H385=""),"",IF(ISNUMBER(F385),E385-D385-F385-G385-H385,"要確認"))</ns0:f>
        <ns0:v/>
      </ns0:c>
      <ns0:c r="J385" s="6" t="n"/>
      <ns0:c r="K385" s="5" t="n"/>
      <ns0:c r="L385" s="9" t="str">
        <ns0:f>IF(AND(B385&lt;&gt;"",J385="在庫"),COUNTIFS($J$5:J385,"在庫",$B$5:B385,"&lt;&gt;"),"")</ns0:f>
        <ns0:v/>
      </ns0:c>
    </ns0:row>
    <ns0:row r="386">
      <ns0:c r="A386" s="5" t="n"/>
      <ns0:c r="B386" s="6" t="n"/>
      <ns0:c r="C386" s="6" t="n"/>
      <ns0:c r="D386" s="7" t="n"/>
      <ns0:c r="E386" s="7" t="n"/>
      <ns0:c r="F386" s="8" t="str">
        <ns0:f>IF(OR(B386="",J386&lt;&gt;"販売済み",E386="",C386=""),"",IFERROR(IF(OR(COUNTIF('手数料マスタ'!$A$5:$A$104,C386)&lt;&gt;1,COUNTIFS('手数料マスタ'!$A$5:$A$104,C386,'手数料マスタ'!$B$5:$B$104,"&lt;&gt;")&lt;&gt;1,NOT(ISNUMBER(VLOOKUP(C386,'手数料マスタ'!$A$5:$B$104,2,FALSE))),VLOOKUP(C386,'手数料マスタ'!$A$5:$B$104,2,FALSE)&lt;0,VLOOKUP(C386,'手数料マスタ'!$A$5:$B$104,2,FALSE)&gt;1),"要確認",ROUND(E386*VLOOKUP(C386,'手数料マスタ'!$A$5:$B$104,2,FALSE),0)),"要確認"))</ns0:f>
        <ns0:v/>
      </ns0:c>
      <ns0:c r="G386" s="7" t="n"/>
      <ns0:c r="H386" s="7" t="n"/>
      <ns0:c r="I386" s="8" t="str">
        <ns0:f>IF(OR(B386="",J386&lt;&gt;"販売済み",D386="",E386="",G386="",H386=""),"",IF(ISNUMBER(F386),E386-D386-F386-G386-H386,"要確認"))</ns0:f>
        <ns0:v/>
      </ns0:c>
      <ns0:c r="J386" s="6" t="n"/>
      <ns0:c r="K386" s="5" t="n"/>
      <ns0:c r="L386" s="9" t="str">
        <ns0:f>IF(AND(B386&lt;&gt;"",J386="在庫"),COUNTIFS($J$5:J386,"在庫",$B$5:B386,"&lt;&gt;"),"")</ns0:f>
        <ns0:v/>
      </ns0:c>
    </ns0:row>
    <ns0:row r="387">
      <ns0:c r="A387" s="5" t="n"/>
      <ns0:c r="B387" s="6" t="n"/>
      <ns0:c r="C387" s="6" t="n"/>
      <ns0:c r="D387" s="7" t="n"/>
      <ns0:c r="E387" s="7" t="n"/>
      <ns0:c r="F387" s="8" t="str">
        <ns0:f>IF(OR(B387="",J387&lt;&gt;"販売済み",E387="",C387=""),"",IFERROR(IF(OR(COUNTIF('手数料マスタ'!$A$5:$A$104,C387)&lt;&gt;1,COUNTIFS('手数料マスタ'!$A$5:$A$104,C387,'手数料マスタ'!$B$5:$B$104,"&lt;&gt;")&lt;&gt;1,NOT(ISNUMBER(VLOOKUP(C387,'手数料マスタ'!$A$5:$B$104,2,FALSE))),VLOOKUP(C387,'手数料マスタ'!$A$5:$B$104,2,FALSE)&lt;0,VLOOKUP(C387,'手数料マスタ'!$A$5:$B$104,2,FALSE)&gt;1),"要確認",ROUND(E387*VLOOKUP(C387,'手数料マスタ'!$A$5:$B$104,2,FALSE),0)),"要確認"))</ns0:f>
        <ns0:v/>
      </ns0:c>
      <ns0:c r="G387" s="7" t="n"/>
      <ns0:c r="H387" s="7" t="n"/>
      <ns0:c r="I387" s="8" t="str">
        <ns0:f>IF(OR(B387="",J387&lt;&gt;"販売済み",D387="",E387="",G387="",H387=""),"",IF(ISNUMBER(F387),E387-D387-F387-G387-H387,"要確認"))</ns0:f>
        <ns0:v/>
      </ns0:c>
      <ns0:c r="J387" s="6" t="n"/>
      <ns0:c r="K387" s="5" t="n"/>
      <ns0:c r="L387" s="9" t="str">
        <ns0:f>IF(AND(B387&lt;&gt;"",J387="在庫"),COUNTIFS($J$5:J387,"在庫",$B$5:B387,"&lt;&gt;"),"")</ns0:f>
        <ns0:v/>
      </ns0:c>
    </ns0:row>
    <ns0:row r="388">
      <ns0:c r="A388" s="5" t="n"/>
      <ns0:c r="B388" s="6" t="n"/>
      <ns0:c r="C388" s="6" t="n"/>
      <ns0:c r="D388" s="7" t="n"/>
      <ns0:c r="E388" s="7" t="n"/>
      <ns0:c r="F388" s="8" t="str">
        <ns0:f>IF(OR(B388="",J388&lt;&gt;"販売済み",E388="",C388=""),"",IFERROR(IF(OR(COUNTIF('手数料マスタ'!$A$5:$A$104,C388)&lt;&gt;1,COUNTIFS('手数料マスタ'!$A$5:$A$104,C388,'手数料マスタ'!$B$5:$B$104,"&lt;&gt;")&lt;&gt;1,NOT(ISNUMBER(VLOOKUP(C388,'手数料マスタ'!$A$5:$B$104,2,FALSE))),VLOOKUP(C388,'手数料マスタ'!$A$5:$B$104,2,FALSE)&lt;0,VLOOKUP(C388,'手数料マスタ'!$A$5:$B$104,2,FALSE)&gt;1),"要確認",ROUND(E388*VLOOKUP(C388,'手数料マスタ'!$A$5:$B$104,2,FALSE),0)),"要確認"))</ns0:f>
        <ns0:v/>
      </ns0:c>
      <ns0:c r="G388" s="7" t="n"/>
      <ns0:c r="H388" s="7" t="n"/>
      <ns0:c r="I388" s="8" t="str">
        <ns0:f>IF(OR(B388="",J388&lt;&gt;"販売済み",D388="",E388="",G388="",H388=""),"",IF(ISNUMBER(F388),E388-D388-F388-G388-H388,"要確認"))</ns0:f>
        <ns0:v/>
      </ns0:c>
      <ns0:c r="J388" s="6" t="n"/>
      <ns0:c r="K388" s="5" t="n"/>
      <ns0:c r="L388" s="9" t="str">
        <ns0:f>IF(AND(B388&lt;&gt;"",J388="在庫"),COUNTIFS($J$5:J388,"在庫",$B$5:B388,"&lt;&gt;"),"")</ns0:f>
        <ns0:v/>
      </ns0:c>
    </ns0:row>
    <ns0:row r="389">
      <ns0:c r="A389" s="5" t="n"/>
      <ns0:c r="B389" s="6" t="n"/>
      <ns0:c r="C389" s="6" t="n"/>
      <ns0:c r="D389" s="7" t="n"/>
      <ns0:c r="E389" s="7" t="n"/>
      <ns0:c r="F389" s="8" t="str">
        <ns0:f>IF(OR(B389="",J389&lt;&gt;"販売済み",E389="",C389=""),"",IFERROR(IF(OR(COUNTIF('手数料マスタ'!$A$5:$A$104,C389)&lt;&gt;1,COUNTIFS('手数料マスタ'!$A$5:$A$104,C389,'手数料マスタ'!$B$5:$B$104,"&lt;&gt;")&lt;&gt;1,NOT(ISNUMBER(VLOOKUP(C389,'手数料マスタ'!$A$5:$B$104,2,FALSE))),VLOOKUP(C389,'手数料マスタ'!$A$5:$B$104,2,FALSE)&lt;0,VLOOKUP(C389,'手数料マスタ'!$A$5:$B$104,2,FALSE)&gt;1),"要確認",ROUND(E389*VLOOKUP(C389,'手数料マスタ'!$A$5:$B$104,2,FALSE),0)),"要確認"))</ns0:f>
        <ns0:v/>
      </ns0:c>
      <ns0:c r="G389" s="7" t="n"/>
      <ns0:c r="H389" s="7" t="n"/>
      <ns0:c r="I389" s="8" t="str">
        <ns0:f>IF(OR(B389="",J389&lt;&gt;"販売済み",D389="",E389="",G389="",H389=""),"",IF(ISNUMBER(F389),E389-D389-F389-G389-H389,"要確認"))</ns0:f>
        <ns0:v/>
      </ns0:c>
      <ns0:c r="J389" s="6" t="n"/>
      <ns0:c r="K389" s="5" t="n"/>
      <ns0:c r="L389" s="9" t="str">
        <ns0:f>IF(AND(B389&lt;&gt;"",J389="在庫"),COUNTIFS($J$5:J389,"在庫",$B$5:B389,"&lt;&gt;"),"")</ns0:f>
        <ns0:v/>
      </ns0:c>
    </ns0:row>
    <ns0:row r="390">
      <ns0:c r="A390" s="5" t="n"/>
      <ns0:c r="B390" s="6" t="n"/>
      <ns0:c r="C390" s="6" t="n"/>
      <ns0:c r="D390" s="7" t="n"/>
      <ns0:c r="E390" s="7" t="n"/>
      <ns0:c r="F390" s="8" t="str">
        <ns0:f>IF(OR(B390="",J390&lt;&gt;"販売済み",E390="",C390=""),"",IFERROR(IF(OR(COUNTIF('手数料マスタ'!$A$5:$A$104,C390)&lt;&gt;1,COUNTIFS('手数料マスタ'!$A$5:$A$104,C390,'手数料マスタ'!$B$5:$B$104,"&lt;&gt;")&lt;&gt;1,NOT(ISNUMBER(VLOOKUP(C390,'手数料マスタ'!$A$5:$B$104,2,FALSE))),VLOOKUP(C390,'手数料マスタ'!$A$5:$B$104,2,FALSE)&lt;0,VLOOKUP(C390,'手数料マスタ'!$A$5:$B$104,2,FALSE)&gt;1),"要確認",ROUND(E390*VLOOKUP(C390,'手数料マスタ'!$A$5:$B$104,2,FALSE),0)),"要確認"))</ns0:f>
        <ns0:v/>
      </ns0:c>
      <ns0:c r="G390" s="7" t="n"/>
      <ns0:c r="H390" s="7" t="n"/>
      <ns0:c r="I390" s="8" t="str">
        <ns0:f>IF(OR(B390="",J390&lt;&gt;"販売済み",D390="",E390="",G390="",H390=""),"",IF(ISNUMBER(F390),E390-D390-F390-G390-H390,"要確認"))</ns0:f>
        <ns0:v/>
      </ns0:c>
      <ns0:c r="J390" s="6" t="n"/>
      <ns0:c r="K390" s="5" t="n"/>
      <ns0:c r="L390" s="9" t="str">
        <ns0:f>IF(AND(B390&lt;&gt;"",J390="在庫"),COUNTIFS($J$5:J390,"在庫",$B$5:B390,"&lt;&gt;"),"")</ns0:f>
        <ns0:v/>
      </ns0:c>
    </ns0:row>
    <ns0:row r="391">
      <ns0:c r="A391" s="5" t="n"/>
      <ns0:c r="B391" s="6" t="n"/>
      <ns0:c r="C391" s="6" t="n"/>
      <ns0:c r="D391" s="7" t="n"/>
      <ns0:c r="E391" s="7" t="n"/>
      <ns0:c r="F391" s="8" t="str">
        <ns0:f>IF(OR(B391="",J391&lt;&gt;"販売済み",E391="",C391=""),"",IFERROR(IF(OR(COUNTIF('手数料マスタ'!$A$5:$A$104,C391)&lt;&gt;1,COUNTIFS('手数料マスタ'!$A$5:$A$104,C391,'手数料マスタ'!$B$5:$B$104,"&lt;&gt;")&lt;&gt;1,NOT(ISNUMBER(VLOOKUP(C391,'手数料マスタ'!$A$5:$B$104,2,FALSE))),VLOOKUP(C391,'手数料マスタ'!$A$5:$B$104,2,FALSE)&lt;0,VLOOKUP(C391,'手数料マスタ'!$A$5:$B$104,2,FALSE)&gt;1),"要確認",ROUND(E391*VLOOKUP(C391,'手数料マスタ'!$A$5:$B$104,2,FALSE),0)),"要確認"))</ns0:f>
        <ns0:v/>
      </ns0:c>
      <ns0:c r="G391" s="7" t="n"/>
      <ns0:c r="H391" s="7" t="n"/>
      <ns0:c r="I391" s="8" t="str">
        <ns0:f>IF(OR(B391="",J391&lt;&gt;"販売済み",D391="",E391="",G391="",H391=""),"",IF(ISNUMBER(F391),E391-D391-F391-G391-H391,"要確認"))</ns0:f>
        <ns0:v/>
      </ns0:c>
      <ns0:c r="J391" s="6" t="n"/>
      <ns0:c r="K391" s="5" t="n"/>
      <ns0:c r="L391" s="9" t="str">
        <ns0:f>IF(AND(B391&lt;&gt;"",J391="在庫"),COUNTIFS($J$5:J391,"在庫",$B$5:B391,"&lt;&gt;"),"")</ns0:f>
        <ns0:v/>
      </ns0:c>
    </ns0:row>
    <ns0:row r="392">
      <ns0:c r="A392" s="5" t="n"/>
      <ns0:c r="B392" s="6" t="n"/>
      <ns0:c r="C392" s="6" t="n"/>
      <ns0:c r="D392" s="7" t="n"/>
      <ns0:c r="E392" s="7" t="n"/>
      <ns0:c r="F392" s="8" t="str">
        <ns0:f>IF(OR(B392="",J392&lt;&gt;"販売済み",E392="",C392=""),"",IFERROR(IF(OR(COUNTIF('手数料マスタ'!$A$5:$A$104,C392)&lt;&gt;1,COUNTIFS('手数料マスタ'!$A$5:$A$104,C392,'手数料マスタ'!$B$5:$B$104,"&lt;&gt;")&lt;&gt;1,NOT(ISNUMBER(VLOOKUP(C392,'手数料マスタ'!$A$5:$B$104,2,FALSE))),VLOOKUP(C392,'手数料マスタ'!$A$5:$B$104,2,FALSE)&lt;0,VLOOKUP(C392,'手数料マスタ'!$A$5:$B$104,2,FALSE)&gt;1),"要確認",ROUND(E392*VLOOKUP(C392,'手数料マスタ'!$A$5:$B$104,2,FALSE),0)),"要確認"))</ns0:f>
        <ns0:v/>
      </ns0:c>
      <ns0:c r="G392" s="7" t="n"/>
      <ns0:c r="H392" s="7" t="n"/>
      <ns0:c r="I392" s="8" t="str">
        <ns0:f>IF(OR(B392="",J392&lt;&gt;"販売済み",D392="",E392="",G392="",H392=""),"",IF(ISNUMBER(F392),E392-D392-F392-G392-H392,"要確認"))</ns0:f>
        <ns0:v/>
      </ns0:c>
      <ns0:c r="J392" s="6" t="n"/>
      <ns0:c r="K392" s="5" t="n"/>
      <ns0:c r="L392" s="9" t="str">
        <ns0:f>IF(AND(B392&lt;&gt;"",J392="在庫"),COUNTIFS($J$5:J392,"在庫",$B$5:B392,"&lt;&gt;"),"")</ns0:f>
        <ns0:v/>
      </ns0:c>
    </ns0:row>
    <ns0:row r="393">
      <ns0:c r="A393" s="5" t="n"/>
      <ns0:c r="B393" s="6" t="n"/>
      <ns0:c r="C393" s="6" t="n"/>
      <ns0:c r="D393" s="7" t="n"/>
      <ns0:c r="E393" s="7" t="n"/>
      <ns0:c r="F393" s="8" t="str">
        <ns0:f>IF(OR(B393="",J393&lt;&gt;"販売済み",E393="",C393=""),"",IFERROR(IF(OR(COUNTIF('手数料マスタ'!$A$5:$A$104,C393)&lt;&gt;1,COUNTIFS('手数料マスタ'!$A$5:$A$104,C393,'手数料マスタ'!$B$5:$B$104,"&lt;&gt;")&lt;&gt;1,NOT(ISNUMBER(VLOOKUP(C393,'手数料マスタ'!$A$5:$B$104,2,FALSE))),VLOOKUP(C393,'手数料マスタ'!$A$5:$B$104,2,FALSE)&lt;0,VLOOKUP(C393,'手数料マスタ'!$A$5:$B$104,2,FALSE)&gt;1),"要確認",ROUND(E393*VLOOKUP(C393,'手数料マスタ'!$A$5:$B$104,2,FALSE),0)),"要確認"))</ns0:f>
        <ns0:v/>
      </ns0:c>
      <ns0:c r="G393" s="7" t="n"/>
      <ns0:c r="H393" s="7" t="n"/>
      <ns0:c r="I393" s="8" t="str">
        <ns0:f>IF(OR(B393="",J393&lt;&gt;"販売済み",D393="",E393="",G393="",H393=""),"",IF(ISNUMBER(F393),E393-D393-F393-G393-H393,"要確認"))</ns0:f>
        <ns0:v/>
      </ns0:c>
      <ns0:c r="J393" s="6" t="n"/>
      <ns0:c r="K393" s="5" t="n"/>
      <ns0:c r="L393" s="9" t="str">
        <ns0:f>IF(AND(B393&lt;&gt;"",J393="在庫"),COUNTIFS($J$5:J393,"在庫",$B$5:B393,"&lt;&gt;"),"")</ns0:f>
        <ns0:v/>
      </ns0:c>
    </ns0:row>
    <ns0:row r="394">
      <ns0:c r="A394" s="5" t="n"/>
      <ns0:c r="B394" s="6" t="n"/>
      <ns0:c r="C394" s="6" t="n"/>
      <ns0:c r="D394" s="7" t="n"/>
      <ns0:c r="E394" s="7" t="n"/>
      <ns0:c r="F394" s="8" t="str">
        <ns0:f>IF(OR(B394="",J394&lt;&gt;"販売済み",E394="",C394=""),"",IFERROR(IF(OR(COUNTIF('手数料マスタ'!$A$5:$A$104,C394)&lt;&gt;1,COUNTIFS('手数料マスタ'!$A$5:$A$104,C394,'手数料マスタ'!$B$5:$B$104,"&lt;&gt;")&lt;&gt;1,NOT(ISNUMBER(VLOOKUP(C394,'手数料マスタ'!$A$5:$B$104,2,FALSE))),VLOOKUP(C394,'手数料マスタ'!$A$5:$B$104,2,FALSE)&lt;0,VLOOKUP(C394,'手数料マスタ'!$A$5:$B$104,2,FALSE)&gt;1),"要確認",ROUND(E394*VLOOKUP(C394,'手数料マスタ'!$A$5:$B$104,2,FALSE),0)),"要確認"))</ns0:f>
        <ns0:v/>
      </ns0:c>
      <ns0:c r="G394" s="7" t="n"/>
      <ns0:c r="H394" s="7" t="n"/>
      <ns0:c r="I394" s="8" t="str">
        <ns0:f>IF(OR(B394="",J394&lt;&gt;"販売済み",D394="",E394="",G394="",H394=""),"",IF(ISNUMBER(F394),E394-D394-F394-G394-H394,"要確認"))</ns0:f>
        <ns0:v/>
      </ns0:c>
      <ns0:c r="J394" s="6" t="n"/>
      <ns0:c r="K394" s="5" t="n"/>
      <ns0:c r="L394" s="9" t="str">
        <ns0:f>IF(AND(B394&lt;&gt;"",J394="在庫"),COUNTIFS($J$5:J394,"在庫",$B$5:B394,"&lt;&gt;"),"")</ns0:f>
        <ns0:v/>
      </ns0:c>
    </ns0:row>
    <ns0:row r="395">
      <ns0:c r="A395" s="5" t="n"/>
      <ns0:c r="B395" s="6" t="n"/>
      <ns0:c r="C395" s="6" t="n"/>
      <ns0:c r="D395" s="7" t="n"/>
      <ns0:c r="E395" s="7" t="n"/>
      <ns0:c r="F395" s="8" t="str">
        <ns0:f>IF(OR(B395="",J395&lt;&gt;"販売済み",E395="",C395=""),"",IFERROR(IF(OR(COUNTIF('手数料マスタ'!$A$5:$A$104,C395)&lt;&gt;1,COUNTIFS('手数料マスタ'!$A$5:$A$104,C395,'手数料マスタ'!$B$5:$B$104,"&lt;&gt;")&lt;&gt;1,NOT(ISNUMBER(VLOOKUP(C395,'手数料マスタ'!$A$5:$B$104,2,FALSE))),VLOOKUP(C395,'手数料マスタ'!$A$5:$B$104,2,FALSE)&lt;0,VLOOKUP(C395,'手数料マスタ'!$A$5:$B$104,2,FALSE)&gt;1),"要確認",ROUND(E395*VLOOKUP(C395,'手数料マスタ'!$A$5:$B$104,2,FALSE),0)),"要確認"))</ns0:f>
        <ns0:v/>
      </ns0:c>
      <ns0:c r="G395" s="7" t="n"/>
      <ns0:c r="H395" s="7" t="n"/>
      <ns0:c r="I395" s="8" t="str">
        <ns0:f>IF(OR(B395="",J395&lt;&gt;"販売済み",D395="",E395="",G395="",H395=""),"",IF(ISNUMBER(F395),E395-D395-F395-G395-H395,"要確認"))</ns0:f>
        <ns0:v/>
      </ns0:c>
      <ns0:c r="J395" s="6" t="n"/>
      <ns0:c r="K395" s="5" t="n"/>
      <ns0:c r="L395" s="9" t="str">
        <ns0:f>IF(AND(B395&lt;&gt;"",J395="在庫"),COUNTIFS($J$5:J395,"在庫",$B$5:B395,"&lt;&gt;"),"")</ns0:f>
        <ns0:v/>
      </ns0:c>
    </ns0:row>
    <ns0:row r="396">
      <ns0:c r="A396" s="5" t="n"/>
      <ns0:c r="B396" s="6" t="n"/>
      <ns0:c r="C396" s="6" t="n"/>
      <ns0:c r="D396" s="7" t="n"/>
      <ns0:c r="E396" s="7" t="n"/>
      <ns0:c r="F396" s="8" t="str">
        <ns0:f>IF(OR(B396="",J396&lt;&gt;"販売済み",E396="",C396=""),"",IFERROR(IF(OR(COUNTIF('手数料マスタ'!$A$5:$A$104,C396)&lt;&gt;1,COUNTIFS('手数料マスタ'!$A$5:$A$104,C396,'手数料マスタ'!$B$5:$B$104,"&lt;&gt;")&lt;&gt;1,NOT(ISNUMBER(VLOOKUP(C396,'手数料マスタ'!$A$5:$B$104,2,FALSE))),VLOOKUP(C396,'手数料マスタ'!$A$5:$B$104,2,FALSE)&lt;0,VLOOKUP(C396,'手数料マスタ'!$A$5:$B$104,2,FALSE)&gt;1),"要確認",ROUND(E396*VLOOKUP(C396,'手数料マスタ'!$A$5:$B$104,2,FALSE),0)),"要確認"))</ns0:f>
        <ns0:v/>
      </ns0:c>
      <ns0:c r="G396" s="7" t="n"/>
      <ns0:c r="H396" s="7" t="n"/>
      <ns0:c r="I396" s="8" t="str">
        <ns0:f>IF(OR(B396="",J396&lt;&gt;"販売済み",D396="",E396="",G396="",H396=""),"",IF(ISNUMBER(F396),E396-D396-F396-G396-H396,"要確認"))</ns0:f>
        <ns0:v/>
      </ns0:c>
      <ns0:c r="J396" s="6" t="n"/>
      <ns0:c r="K396" s="5" t="n"/>
      <ns0:c r="L396" s="9" t="str">
        <ns0:f>IF(AND(B396&lt;&gt;"",J396="在庫"),COUNTIFS($J$5:J396,"在庫",$B$5:B396,"&lt;&gt;"),"")</ns0:f>
        <ns0:v/>
      </ns0:c>
    </ns0:row>
    <ns0:row r="397">
      <ns0:c r="A397" s="5" t="n"/>
      <ns0:c r="B397" s="6" t="n"/>
      <ns0:c r="C397" s="6" t="n"/>
      <ns0:c r="D397" s="7" t="n"/>
      <ns0:c r="E397" s="7" t="n"/>
      <ns0:c r="F397" s="8" t="str">
        <ns0:f>IF(OR(B397="",J397&lt;&gt;"販売済み",E397="",C397=""),"",IFERROR(IF(OR(COUNTIF('手数料マスタ'!$A$5:$A$104,C397)&lt;&gt;1,COUNTIFS('手数料マスタ'!$A$5:$A$104,C397,'手数料マスタ'!$B$5:$B$104,"&lt;&gt;")&lt;&gt;1,NOT(ISNUMBER(VLOOKUP(C397,'手数料マスタ'!$A$5:$B$104,2,FALSE))),VLOOKUP(C397,'手数料マスタ'!$A$5:$B$104,2,FALSE)&lt;0,VLOOKUP(C397,'手数料マスタ'!$A$5:$B$104,2,FALSE)&gt;1),"要確認",ROUND(E397*VLOOKUP(C397,'手数料マスタ'!$A$5:$B$104,2,FALSE),0)),"要確認"))</ns0:f>
        <ns0:v/>
      </ns0:c>
      <ns0:c r="G397" s="7" t="n"/>
      <ns0:c r="H397" s="7" t="n"/>
      <ns0:c r="I397" s="8" t="str">
        <ns0:f>IF(OR(B397="",J397&lt;&gt;"販売済み",D397="",E397="",G397="",H397=""),"",IF(ISNUMBER(F397),E397-D397-F397-G397-H397,"要確認"))</ns0:f>
        <ns0:v/>
      </ns0:c>
      <ns0:c r="J397" s="6" t="n"/>
      <ns0:c r="K397" s="5" t="n"/>
      <ns0:c r="L397" s="9" t="str">
        <ns0:f>IF(AND(B397&lt;&gt;"",J397="在庫"),COUNTIFS($J$5:J397,"在庫",$B$5:B397,"&lt;&gt;"),"")</ns0:f>
        <ns0:v/>
      </ns0:c>
    </ns0:row>
    <ns0:row r="398">
      <ns0:c r="A398" s="5" t="n"/>
      <ns0:c r="B398" s="6" t="n"/>
      <ns0:c r="C398" s="6" t="n"/>
      <ns0:c r="D398" s="7" t="n"/>
      <ns0:c r="E398" s="7" t="n"/>
      <ns0:c r="F398" s="8" t="str">
        <ns0:f>IF(OR(B398="",J398&lt;&gt;"販売済み",E398="",C398=""),"",IFERROR(IF(OR(COUNTIF('手数料マスタ'!$A$5:$A$104,C398)&lt;&gt;1,COUNTIFS('手数料マスタ'!$A$5:$A$104,C398,'手数料マスタ'!$B$5:$B$104,"&lt;&gt;")&lt;&gt;1,NOT(ISNUMBER(VLOOKUP(C398,'手数料マスタ'!$A$5:$B$104,2,FALSE))),VLOOKUP(C398,'手数料マスタ'!$A$5:$B$104,2,FALSE)&lt;0,VLOOKUP(C398,'手数料マスタ'!$A$5:$B$104,2,FALSE)&gt;1),"要確認",ROUND(E398*VLOOKUP(C398,'手数料マスタ'!$A$5:$B$104,2,FALSE),0)),"要確認"))</ns0:f>
        <ns0:v/>
      </ns0:c>
      <ns0:c r="G398" s="7" t="n"/>
      <ns0:c r="H398" s="7" t="n"/>
      <ns0:c r="I398" s="8" t="str">
        <ns0:f>IF(OR(B398="",J398&lt;&gt;"販売済み",D398="",E398="",G398="",H398=""),"",IF(ISNUMBER(F398),E398-D398-F398-G398-H398,"要確認"))</ns0:f>
        <ns0:v/>
      </ns0:c>
      <ns0:c r="J398" s="6" t="n"/>
      <ns0:c r="K398" s="5" t="n"/>
      <ns0:c r="L398" s="9" t="str">
        <ns0:f>IF(AND(B398&lt;&gt;"",J398="在庫"),COUNTIFS($J$5:J398,"在庫",$B$5:B398,"&lt;&gt;"),"")</ns0:f>
        <ns0:v/>
      </ns0:c>
    </ns0:row>
    <ns0:row r="399">
      <ns0:c r="A399" s="5" t="n"/>
      <ns0:c r="B399" s="6" t="n"/>
      <ns0:c r="C399" s="6" t="n"/>
      <ns0:c r="D399" s="7" t="n"/>
      <ns0:c r="E399" s="7" t="n"/>
      <ns0:c r="F399" s="8" t="str">
        <ns0:f>IF(OR(B399="",J399&lt;&gt;"販売済み",E399="",C399=""),"",IFERROR(IF(OR(COUNTIF('手数料マスタ'!$A$5:$A$104,C399)&lt;&gt;1,COUNTIFS('手数料マスタ'!$A$5:$A$104,C399,'手数料マスタ'!$B$5:$B$104,"&lt;&gt;")&lt;&gt;1,NOT(ISNUMBER(VLOOKUP(C399,'手数料マスタ'!$A$5:$B$104,2,FALSE))),VLOOKUP(C399,'手数料マスタ'!$A$5:$B$104,2,FALSE)&lt;0,VLOOKUP(C399,'手数料マスタ'!$A$5:$B$104,2,FALSE)&gt;1),"要確認",ROUND(E399*VLOOKUP(C399,'手数料マスタ'!$A$5:$B$104,2,FALSE),0)),"要確認"))</ns0:f>
        <ns0:v/>
      </ns0:c>
      <ns0:c r="G399" s="7" t="n"/>
      <ns0:c r="H399" s="7" t="n"/>
      <ns0:c r="I399" s="8" t="str">
        <ns0:f>IF(OR(B399="",J399&lt;&gt;"販売済み",D399="",E399="",G399="",H399=""),"",IF(ISNUMBER(F399),E399-D399-F399-G399-H399,"要確認"))</ns0:f>
        <ns0:v/>
      </ns0:c>
      <ns0:c r="J399" s="6" t="n"/>
      <ns0:c r="K399" s="5" t="n"/>
      <ns0:c r="L399" s="9" t="str">
        <ns0:f>IF(AND(B399&lt;&gt;"",J399="在庫"),COUNTIFS($J$5:J399,"在庫",$B$5:B399,"&lt;&gt;"),"")</ns0:f>
        <ns0:v/>
      </ns0:c>
    </ns0:row>
    <ns0:row r="400">
      <ns0:c r="A400" s="5" t="n"/>
      <ns0:c r="B400" s="6" t="n"/>
      <ns0:c r="C400" s="6" t="n"/>
      <ns0:c r="D400" s="7" t="n"/>
      <ns0:c r="E400" s="7" t="n"/>
      <ns0:c r="F400" s="8" t="str">
        <ns0:f>IF(OR(B400="",J400&lt;&gt;"販売済み",E400="",C400=""),"",IFERROR(IF(OR(COUNTIF('手数料マスタ'!$A$5:$A$104,C400)&lt;&gt;1,COUNTIFS('手数料マスタ'!$A$5:$A$104,C400,'手数料マスタ'!$B$5:$B$104,"&lt;&gt;")&lt;&gt;1,NOT(ISNUMBER(VLOOKUP(C400,'手数料マスタ'!$A$5:$B$104,2,FALSE))),VLOOKUP(C400,'手数料マスタ'!$A$5:$B$104,2,FALSE)&lt;0,VLOOKUP(C400,'手数料マスタ'!$A$5:$B$104,2,FALSE)&gt;1),"要確認",ROUND(E400*VLOOKUP(C400,'手数料マスタ'!$A$5:$B$104,2,FALSE),0)),"要確認"))</ns0:f>
        <ns0:v/>
      </ns0:c>
      <ns0:c r="G400" s="7" t="n"/>
      <ns0:c r="H400" s="7" t="n"/>
      <ns0:c r="I400" s="8" t="str">
        <ns0:f>IF(OR(B400="",J400&lt;&gt;"販売済み",D400="",E400="",G400="",H400=""),"",IF(ISNUMBER(F400),E400-D400-F400-G400-H400,"要確認"))</ns0:f>
        <ns0:v/>
      </ns0:c>
      <ns0:c r="J400" s="6" t="n"/>
      <ns0:c r="K400" s="5" t="n"/>
      <ns0:c r="L400" s="9" t="str">
        <ns0:f>IF(AND(B400&lt;&gt;"",J400="在庫"),COUNTIFS($J$5:J400,"在庫",$B$5:B400,"&lt;&gt;"),"")</ns0:f>
        <ns0:v/>
      </ns0:c>
    </ns0:row>
    <ns0:row r="401">
      <ns0:c r="A401" s="5" t="n"/>
      <ns0:c r="B401" s="6" t="n"/>
      <ns0:c r="C401" s="6" t="n"/>
      <ns0:c r="D401" s="7" t="n"/>
      <ns0:c r="E401" s="7" t="n"/>
      <ns0:c r="F401" s="8" t="str">
        <ns0:f>IF(OR(B401="",J401&lt;&gt;"販売済み",E401="",C401=""),"",IFERROR(IF(OR(COUNTIF('手数料マスタ'!$A$5:$A$104,C401)&lt;&gt;1,COUNTIFS('手数料マスタ'!$A$5:$A$104,C401,'手数料マスタ'!$B$5:$B$104,"&lt;&gt;")&lt;&gt;1,NOT(ISNUMBER(VLOOKUP(C401,'手数料マスタ'!$A$5:$B$104,2,FALSE))),VLOOKUP(C401,'手数料マスタ'!$A$5:$B$104,2,FALSE)&lt;0,VLOOKUP(C401,'手数料マスタ'!$A$5:$B$104,2,FALSE)&gt;1),"要確認",ROUND(E401*VLOOKUP(C401,'手数料マスタ'!$A$5:$B$104,2,FALSE),0)),"要確認"))</ns0:f>
        <ns0:v/>
      </ns0:c>
      <ns0:c r="G401" s="7" t="n"/>
      <ns0:c r="H401" s="7" t="n"/>
      <ns0:c r="I401" s="8" t="str">
        <ns0:f>IF(OR(B401="",J401&lt;&gt;"販売済み",D401="",E401="",G401="",H401=""),"",IF(ISNUMBER(F401),E401-D401-F401-G401-H401,"要確認"))</ns0:f>
        <ns0:v/>
      </ns0:c>
      <ns0:c r="J401" s="6" t="n"/>
      <ns0:c r="K401" s="5" t="n"/>
      <ns0:c r="L401" s="9" t="str">
        <ns0:f>IF(AND(B401&lt;&gt;"",J401="在庫"),COUNTIFS($J$5:J401,"在庫",$B$5:B401,"&lt;&gt;"),"")</ns0:f>
        <ns0:v/>
      </ns0:c>
    </ns0:row>
    <ns0:row r="402">
      <ns0:c r="A402" s="5" t="n"/>
      <ns0:c r="B402" s="6" t="n"/>
      <ns0:c r="C402" s="6" t="n"/>
      <ns0:c r="D402" s="7" t="n"/>
      <ns0:c r="E402" s="7" t="n"/>
      <ns0:c r="F402" s="8" t="str">
        <ns0:f>IF(OR(B402="",J402&lt;&gt;"販売済み",E402="",C402=""),"",IFERROR(IF(OR(COUNTIF('手数料マスタ'!$A$5:$A$104,C402)&lt;&gt;1,COUNTIFS('手数料マスタ'!$A$5:$A$104,C402,'手数料マスタ'!$B$5:$B$104,"&lt;&gt;")&lt;&gt;1,NOT(ISNUMBER(VLOOKUP(C402,'手数料マスタ'!$A$5:$B$104,2,FALSE))),VLOOKUP(C402,'手数料マスタ'!$A$5:$B$104,2,FALSE)&lt;0,VLOOKUP(C402,'手数料マスタ'!$A$5:$B$104,2,FALSE)&gt;1),"要確認",ROUND(E402*VLOOKUP(C402,'手数料マスタ'!$A$5:$B$104,2,FALSE),0)),"要確認"))</ns0:f>
        <ns0:v/>
      </ns0:c>
      <ns0:c r="G402" s="7" t="n"/>
      <ns0:c r="H402" s="7" t="n"/>
      <ns0:c r="I402" s="8" t="str">
        <ns0:f>IF(OR(B402="",J402&lt;&gt;"販売済み",D402="",E402="",G402="",H402=""),"",IF(ISNUMBER(F402),E402-D402-F402-G402-H402,"要確認"))</ns0:f>
        <ns0:v/>
      </ns0:c>
      <ns0:c r="J402" s="6" t="n"/>
      <ns0:c r="K402" s="5" t="n"/>
      <ns0:c r="L402" s="9" t="str">
        <ns0:f>IF(AND(B402&lt;&gt;"",J402="在庫"),COUNTIFS($J$5:J402,"在庫",$B$5:B402,"&lt;&gt;"),"")</ns0:f>
        <ns0:v/>
      </ns0:c>
    </ns0:row>
    <ns0:row r="403">
      <ns0:c r="A403" s="5" t="n"/>
      <ns0:c r="B403" s="6" t="n"/>
      <ns0:c r="C403" s="6" t="n"/>
      <ns0:c r="D403" s="7" t="n"/>
      <ns0:c r="E403" s="7" t="n"/>
      <ns0:c r="F403" s="8" t="str">
        <ns0:f>IF(OR(B403="",J403&lt;&gt;"販売済み",E403="",C403=""),"",IFERROR(IF(OR(COUNTIF('手数料マスタ'!$A$5:$A$104,C403)&lt;&gt;1,COUNTIFS('手数料マスタ'!$A$5:$A$104,C403,'手数料マスタ'!$B$5:$B$104,"&lt;&gt;")&lt;&gt;1,NOT(ISNUMBER(VLOOKUP(C403,'手数料マスタ'!$A$5:$B$104,2,FALSE))),VLOOKUP(C403,'手数料マスタ'!$A$5:$B$104,2,FALSE)&lt;0,VLOOKUP(C403,'手数料マスタ'!$A$5:$B$104,2,FALSE)&gt;1),"要確認",ROUND(E403*VLOOKUP(C403,'手数料マスタ'!$A$5:$B$104,2,FALSE),0)),"要確認"))</ns0:f>
        <ns0:v/>
      </ns0:c>
      <ns0:c r="G403" s="7" t="n"/>
      <ns0:c r="H403" s="7" t="n"/>
      <ns0:c r="I403" s="8" t="str">
        <ns0:f>IF(OR(B403="",J403&lt;&gt;"販売済み",D403="",E403="",G403="",H403=""),"",IF(ISNUMBER(F403),E403-D403-F403-G403-H403,"要確認"))</ns0:f>
        <ns0:v/>
      </ns0:c>
      <ns0:c r="J403" s="6" t="n"/>
      <ns0:c r="K403" s="5" t="n"/>
      <ns0:c r="L403" s="9" t="str">
        <ns0:f>IF(AND(B403&lt;&gt;"",J403="在庫"),COUNTIFS($J$5:J403,"在庫",$B$5:B403,"&lt;&gt;"),"")</ns0:f>
        <ns0:v/>
      </ns0:c>
    </ns0:row>
    <ns0:row r="404">
      <ns0:c r="A404" s="5" t="n"/>
      <ns0:c r="B404" s="6" t="n"/>
      <ns0:c r="C404" s="6" t="n"/>
      <ns0:c r="D404" s="7" t="n"/>
      <ns0:c r="E404" s="7" t="n"/>
      <ns0:c r="F404" s="8" t="str">
        <ns0:f>IF(OR(B404="",J404&lt;&gt;"販売済み",E404="",C404=""),"",IFERROR(IF(OR(COUNTIF('手数料マスタ'!$A$5:$A$104,C404)&lt;&gt;1,COUNTIFS('手数料マスタ'!$A$5:$A$104,C404,'手数料マスタ'!$B$5:$B$104,"&lt;&gt;")&lt;&gt;1,NOT(ISNUMBER(VLOOKUP(C404,'手数料マスタ'!$A$5:$B$104,2,FALSE))),VLOOKUP(C404,'手数料マスタ'!$A$5:$B$104,2,FALSE)&lt;0,VLOOKUP(C404,'手数料マスタ'!$A$5:$B$104,2,FALSE)&gt;1),"要確認",ROUND(E404*VLOOKUP(C404,'手数料マスタ'!$A$5:$B$104,2,FALSE),0)),"要確認"))</ns0:f>
        <ns0:v/>
      </ns0:c>
      <ns0:c r="G404" s="7" t="n"/>
      <ns0:c r="H404" s="7" t="n"/>
      <ns0:c r="I404" s="8" t="str">
        <ns0:f>IF(OR(B404="",J404&lt;&gt;"販売済み",D404="",E404="",G404="",H404=""),"",IF(ISNUMBER(F404),E404-D404-F404-G404-H404,"要確認"))</ns0:f>
        <ns0:v/>
      </ns0:c>
      <ns0:c r="J404" s="6" t="n"/>
      <ns0:c r="K404" s="5" t="n"/>
      <ns0:c r="L404" s="9" t="str">
        <ns0:f>IF(AND(B404&lt;&gt;"",J404="在庫"),COUNTIFS($J$5:J404,"在庫",$B$5:B404,"&lt;&gt;"),"")</ns0:f>
        <ns0:v/>
      </ns0:c>
    </ns0:row>
    <ns0:row r="405">
      <ns0:c r="A405" s="5" t="n"/>
      <ns0:c r="B405" s="6" t="n"/>
      <ns0:c r="C405" s="6" t="n"/>
      <ns0:c r="D405" s="7" t="n"/>
      <ns0:c r="E405" s="7" t="n"/>
      <ns0:c r="F405" s="8" t="str">
        <ns0:f>IF(OR(B405="",J405&lt;&gt;"販売済み",E405="",C405=""),"",IFERROR(IF(OR(COUNTIF('手数料マスタ'!$A$5:$A$104,C405)&lt;&gt;1,COUNTIFS('手数料マスタ'!$A$5:$A$104,C405,'手数料マスタ'!$B$5:$B$104,"&lt;&gt;")&lt;&gt;1,NOT(ISNUMBER(VLOOKUP(C405,'手数料マスタ'!$A$5:$B$104,2,FALSE))),VLOOKUP(C405,'手数料マスタ'!$A$5:$B$104,2,FALSE)&lt;0,VLOOKUP(C405,'手数料マスタ'!$A$5:$B$104,2,FALSE)&gt;1),"要確認",ROUND(E405*VLOOKUP(C405,'手数料マスタ'!$A$5:$B$104,2,FALSE),0)),"要確認"))</ns0:f>
        <ns0:v/>
      </ns0:c>
      <ns0:c r="G405" s="7" t="n"/>
      <ns0:c r="H405" s="7" t="n"/>
      <ns0:c r="I405" s="8" t="str">
        <ns0:f>IF(OR(B405="",J405&lt;&gt;"販売済み",D405="",E405="",G405="",H405=""),"",IF(ISNUMBER(F405),E405-D405-F405-G405-H405,"要確認"))</ns0:f>
        <ns0:v/>
      </ns0:c>
      <ns0:c r="J405" s="6" t="n"/>
      <ns0:c r="K405" s="5" t="n"/>
      <ns0:c r="L405" s="9" t="str">
        <ns0:f>IF(AND(B405&lt;&gt;"",J405="在庫"),COUNTIFS($J$5:J405,"在庫",$B$5:B405,"&lt;&gt;"),"")</ns0:f>
        <ns0:v/>
      </ns0:c>
    </ns0:row>
    <ns0:row r="406">
      <ns0:c r="A406" s="5" t="n"/>
      <ns0:c r="B406" s="6" t="n"/>
      <ns0:c r="C406" s="6" t="n"/>
      <ns0:c r="D406" s="7" t="n"/>
      <ns0:c r="E406" s="7" t="n"/>
      <ns0:c r="F406" s="8" t="str">
        <ns0:f>IF(OR(B406="",J406&lt;&gt;"販売済み",E406="",C406=""),"",IFERROR(IF(OR(COUNTIF('手数料マスタ'!$A$5:$A$104,C406)&lt;&gt;1,COUNTIFS('手数料マスタ'!$A$5:$A$104,C406,'手数料マスタ'!$B$5:$B$104,"&lt;&gt;")&lt;&gt;1,NOT(ISNUMBER(VLOOKUP(C406,'手数料マスタ'!$A$5:$B$104,2,FALSE))),VLOOKUP(C406,'手数料マスタ'!$A$5:$B$104,2,FALSE)&lt;0,VLOOKUP(C406,'手数料マスタ'!$A$5:$B$104,2,FALSE)&gt;1),"要確認",ROUND(E406*VLOOKUP(C406,'手数料マスタ'!$A$5:$B$104,2,FALSE),0)),"要確認"))</ns0:f>
        <ns0:v/>
      </ns0:c>
      <ns0:c r="G406" s="7" t="n"/>
      <ns0:c r="H406" s="7" t="n"/>
      <ns0:c r="I406" s="8" t="str">
        <ns0:f>IF(OR(B406="",J406&lt;&gt;"販売済み",D406="",E406="",G406="",H406=""),"",IF(ISNUMBER(F406),E406-D406-F406-G406-H406,"要確認"))</ns0:f>
        <ns0:v/>
      </ns0:c>
      <ns0:c r="J406" s="6" t="n"/>
      <ns0:c r="K406" s="5" t="n"/>
      <ns0:c r="L406" s="9" t="str">
        <ns0:f>IF(AND(B406&lt;&gt;"",J406="在庫"),COUNTIFS($J$5:J406,"在庫",$B$5:B406,"&lt;&gt;"),"")</ns0:f>
        <ns0:v/>
      </ns0:c>
    </ns0:row>
    <ns0:row r="407">
      <ns0:c r="A407" s="5" t="n"/>
      <ns0:c r="B407" s="6" t="n"/>
      <ns0:c r="C407" s="6" t="n"/>
      <ns0:c r="D407" s="7" t="n"/>
      <ns0:c r="E407" s="7" t="n"/>
      <ns0:c r="F407" s="8" t="str">
        <ns0:f>IF(OR(B407="",J407&lt;&gt;"販売済み",E407="",C407=""),"",IFERROR(IF(OR(COUNTIF('手数料マスタ'!$A$5:$A$104,C407)&lt;&gt;1,COUNTIFS('手数料マスタ'!$A$5:$A$104,C407,'手数料マスタ'!$B$5:$B$104,"&lt;&gt;")&lt;&gt;1,NOT(ISNUMBER(VLOOKUP(C407,'手数料マスタ'!$A$5:$B$104,2,FALSE))),VLOOKUP(C407,'手数料マスタ'!$A$5:$B$104,2,FALSE)&lt;0,VLOOKUP(C407,'手数料マスタ'!$A$5:$B$104,2,FALSE)&gt;1),"要確認",ROUND(E407*VLOOKUP(C407,'手数料マスタ'!$A$5:$B$104,2,FALSE),0)),"要確認"))</ns0:f>
        <ns0:v/>
      </ns0:c>
      <ns0:c r="G407" s="7" t="n"/>
      <ns0:c r="H407" s="7" t="n"/>
      <ns0:c r="I407" s="8" t="str">
        <ns0:f>IF(OR(B407="",J407&lt;&gt;"販売済み",D407="",E407="",G407="",H407=""),"",IF(ISNUMBER(F407),E407-D407-F407-G407-H407,"要確認"))</ns0:f>
        <ns0:v/>
      </ns0:c>
      <ns0:c r="J407" s="6" t="n"/>
      <ns0:c r="K407" s="5" t="n"/>
      <ns0:c r="L407" s="9" t="str">
        <ns0:f>IF(AND(B407&lt;&gt;"",J407="在庫"),COUNTIFS($J$5:J407,"在庫",$B$5:B407,"&lt;&gt;"),"")</ns0:f>
        <ns0:v/>
      </ns0:c>
    </ns0:row>
    <ns0:row r="408">
      <ns0:c r="A408" s="5" t="n"/>
      <ns0:c r="B408" s="6" t="n"/>
      <ns0:c r="C408" s="6" t="n"/>
      <ns0:c r="D408" s="7" t="n"/>
      <ns0:c r="E408" s="7" t="n"/>
      <ns0:c r="F408" s="8" t="str">
        <ns0:f>IF(OR(B408="",J408&lt;&gt;"販売済み",E408="",C408=""),"",IFERROR(IF(OR(COUNTIF('手数料マスタ'!$A$5:$A$104,C408)&lt;&gt;1,COUNTIFS('手数料マスタ'!$A$5:$A$104,C408,'手数料マスタ'!$B$5:$B$104,"&lt;&gt;")&lt;&gt;1,NOT(ISNUMBER(VLOOKUP(C408,'手数料マスタ'!$A$5:$B$104,2,FALSE))),VLOOKUP(C408,'手数料マスタ'!$A$5:$B$104,2,FALSE)&lt;0,VLOOKUP(C408,'手数料マスタ'!$A$5:$B$104,2,FALSE)&gt;1),"要確認",ROUND(E408*VLOOKUP(C408,'手数料マスタ'!$A$5:$B$104,2,FALSE),0)),"要確認"))</ns0:f>
        <ns0:v/>
      </ns0:c>
      <ns0:c r="G408" s="7" t="n"/>
      <ns0:c r="H408" s="7" t="n"/>
      <ns0:c r="I408" s="8" t="str">
        <ns0:f>IF(OR(B408="",J408&lt;&gt;"販売済み",D408="",E408="",G408="",H408=""),"",IF(ISNUMBER(F408),E408-D408-F408-G408-H408,"要確認"))</ns0:f>
        <ns0:v/>
      </ns0:c>
      <ns0:c r="J408" s="6" t="n"/>
      <ns0:c r="K408" s="5" t="n"/>
      <ns0:c r="L408" s="9" t="str">
        <ns0:f>IF(AND(B408&lt;&gt;"",J408="在庫"),COUNTIFS($J$5:J408,"在庫",$B$5:B408,"&lt;&gt;"),"")</ns0:f>
        <ns0:v/>
      </ns0:c>
    </ns0:row>
    <ns0:row r="409">
      <ns0:c r="A409" s="5" t="n"/>
      <ns0:c r="B409" s="6" t="n"/>
      <ns0:c r="C409" s="6" t="n"/>
      <ns0:c r="D409" s="7" t="n"/>
      <ns0:c r="E409" s="7" t="n"/>
      <ns0:c r="F409" s="8" t="str">
        <ns0:f>IF(OR(B409="",J409&lt;&gt;"販売済み",E409="",C409=""),"",IFERROR(IF(OR(COUNTIF('手数料マスタ'!$A$5:$A$104,C409)&lt;&gt;1,COUNTIFS('手数料マスタ'!$A$5:$A$104,C409,'手数料マスタ'!$B$5:$B$104,"&lt;&gt;")&lt;&gt;1,NOT(ISNUMBER(VLOOKUP(C409,'手数料マスタ'!$A$5:$B$104,2,FALSE))),VLOOKUP(C409,'手数料マスタ'!$A$5:$B$104,2,FALSE)&lt;0,VLOOKUP(C409,'手数料マスタ'!$A$5:$B$104,2,FALSE)&gt;1),"要確認",ROUND(E409*VLOOKUP(C409,'手数料マスタ'!$A$5:$B$104,2,FALSE),0)),"要確認"))</ns0:f>
        <ns0:v/>
      </ns0:c>
      <ns0:c r="G409" s="7" t="n"/>
      <ns0:c r="H409" s="7" t="n"/>
      <ns0:c r="I409" s="8" t="str">
        <ns0:f>IF(OR(B409="",J409&lt;&gt;"販売済み",D409="",E409="",G409="",H409=""),"",IF(ISNUMBER(F409),E409-D409-F409-G409-H409,"要確認"))</ns0:f>
        <ns0:v/>
      </ns0:c>
      <ns0:c r="J409" s="6" t="n"/>
      <ns0:c r="K409" s="5" t="n"/>
      <ns0:c r="L409" s="9" t="str">
        <ns0:f>IF(AND(B409&lt;&gt;"",J409="在庫"),COUNTIFS($J$5:J409,"在庫",$B$5:B409,"&lt;&gt;"),"")</ns0:f>
        <ns0:v/>
      </ns0:c>
    </ns0:row>
    <ns0:row r="410">
      <ns0:c r="A410" s="5" t="n"/>
      <ns0:c r="B410" s="6" t="n"/>
      <ns0:c r="C410" s="6" t="n"/>
      <ns0:c r="D410" s="7" t="n"/>
      <ns0:c r="E410" s="7" t="n"/>
      <ns0:c r="F410" s="8" t="str">
        <ns0:f>IF(OR(B410="",J410&lt;&gt;"販売済み",E410="",C410=""),"",IFERROR(IF(OR(COUNTIF('手数料マスタ'!$A$5:$A$104,C410)&lt;&gt;1,COUNTIFS('手数料マスタ'!$A$5:$A$104,C410,'手数料マスタ'!$B$5:$B$104,"&lt;&gt;")&lt;&gt;1,NOT(ISNUMBER(VLOOKUP(C410,'手数料マスタ'!$A$5:$B$104,2,FALSE))),VLOOKUP(C410,'手数料マスタ'!$A$5:$B$104,2,FALSE)&lt;0,VLOOKUP(C410,'手数料マスタ'!$A$5:$B$104,2,FALSE)&gt;1),"要確認",ROUND(E410*VLOOKUP(C410,'手数料マスタ'!$A$5:$B$104,2,FALSE),0)),"要確認"))</ns0:f>
        <ns0:v/>
      </ns0:c>
      <ns0:c r="G410" s="7" t="n"/>
      <ns0:c r="H410" s="7" t="n"/>
      <ns0:c r="I410" s="8" t="str">
        <ns0:f>IF(OR(B410="",J410&lt;&gt;"販売済み",D410="",E410="",G410="",H410=""),"",IF(ISNUMBER(F410),E410-D410-F410-G410-H410,"要確認"))</ns0:f>
        <ns0:v/>
      </ns0:c>
      <ns0:c r="J410" s="6" t="n"/>
      <ns0:c r="K410" s="5" t="n"/>
      <ns0:c r="L410" s="9" t="str">
        <ns0:f>IF(AND(B410&lt;&gt;"",J410="在庫"),COUNTIFS($J$5:J410,"在庫",$B$5:B410,"&lt;&gt;"),"")</ns0:f>
        <ns0:v/>
      </ns0:c>
    </ns0:row>
    <ns0:row r="411">
      <ns0:c r="A411" s="5" t="n"/>
      <ns0:c r="B411" s="6" t="n"/>
      <ns0:c r="C411" s="6" t="n"/>
      <ns0:c r="D411" s="7" t="n"/>
      <ns0:c r="E411" s="7" t="n"/>
      <ns0:c r="F411" s="8" t="str">
        <ns0:f>IF(OR(B411="",J411&lt;&gt;"販売済み",E411="",C411=""),"",IFERROR(IF(OR(COUNTIF('手数料マスタ'!$A$5:$A$104,C411)&lt;&gt;1,COUNTIFS('手数料マスタ'!$A$5:$A$104,C411,'手数料マスタ'!$B$5:$B$104,"&lt;&gt;")&lt;&gt;1,NOT(ISNUMBER(VLOOKUP(C411,'手数料マスタ'!$A$5:$B$104,2,FALSE))),VLOOKUP(C411,'手数料マスタ'!$A$5:$B$104,2,FALSE)&lt;0,VLOOKUP(C411,'手数料マスタ'!$A$5:$B$104,2,FALSE)&gt;1),"要確認",ROUND(E411*VLOOKUP(C411,'手数料マスタ'!$A$5:$B$104,2,FALSE),0)),"要確認"))</ns0:f>
        <ns0:v/>
      </ns0:c>
      <ns0:c r="G411" s="7" t="n"/>
      <ns0:c r="H411" s="7" t="n"/>
      <ns0:c r="I411" s="8" t="str">
        <ns0:f>IF(OR(B411="",J411&lt;&gt;"販売済み",D411="",E411="",G411="",H411=""),"",IF(ISNUMBER(F411),E411-D411-F411-G411-H411,"要確認"))</ns0:f>
        <ns0:v/>
      </ns0:c>
      <ns0:c r="J411" s="6" t="n"/>
      <ns0:c r="K411" s="5" t="n"/>
      <ns0:c r="L411" s="9" t="str">
        <ns0:f>IF(AND(B411&lt;&gt;"",J411="在庫"),COUNTIFS($J$5:J411,"在庫",$B$5:B411,"&lt;&gt;"),"")</ns0:f>
        <ns0:v/>
      </ns0:c>
    </ns0:row>
    <ns0:row r="412">
      <ns0:c r="A412" s="5" t="n"/>
      <ns0:c r="B412" s="6" t="n"/>
      <ns0:c r="C412" s="6" t="n"/>
      <ns0:c r="D412" s="7" t="n"/>
      <ns0:c r="E412" s="7" t="n"/>
      <ns0:c r="F412" s="8" t="str">
        <ns0:f>IF(OR(B412="",J412&lt;&gt;"販売済み",E412="",C412=""),"",IFERROR(IF(OR(COUNTIF('手数料マスタ'!$A$5:$A$104,C412)&lt;&gt;1,COUNTIFS('手数料マスタ'!$A$5:$A$104,C412,'手数料マスタ'!$B$5:$B$104,"&lt;&gt;")&lt;&gt;1,NOT(ISNUMBER(VLOOKUP(C412,'手数料マスタ'!$A$5:$B$104,2,FALSE))),VLOOKUP(C412,'手数料マスタ'!$A$5:$B$104,2,FALSE)&lt;0,VLOOKUP(C412,'手数料マスタ'!$A$5:$B$104,2,FALSE)&gt;1),"要確認",ROUND(E412*VLOOKUP(C412,'手数料マスタ'!$A$5:$B$104,2,FALSE),0)),"要確認"))</ns0:f>
        <ns0:v/>
      </ns0:c>
      <ns0:c r="G412" s="7" t="n"/>
      <ns0:c r="H412" s="7" t="n"/>
      <ns0:c r="I412" s="8" t="str">
        <ns0:f>IF(OR(B412="",J412&lt;&gt;"販売済み",D412="",E412="",G412="",H412=""),"",IF(ISNUMBER(F412),E412-D412-F412-G412-H412,"要確認"))</ns0:f>
        <ns0:v/>
      </ns0:c>
      <ns0:c r="J412" s="6" t="n"/>
      <ns0:c r="K412" s="5" t="n"/>
      <ns0:c r="L412" s="9" t="str">
        <ns0:f>IF(AND(B412&lt;&gt;"",J412="在庫"),COUNTIFS($J$5:J412,"在庫",$B$5:B412,"&lt;&gt;"),"")</ns0:f>
        <ns0:v/>
      </ns0:c>
    </ns0:row>
    <ns0:row r="413">
      <ns0:c r="A413" s="5" t="n"/>
      <ns0:c r="B413" s="6" t="n"/>
      <ns0:c r="C413" s="6" t="n"/>
      <ns0:c r="D413" s="7" t="n"/>
      <ns0:c r="E413" s="7" t="n"/>
      <ns0:c r="F413" s="8" t="str">
        <ns0:f>IF(OR(B413="",J413&lt;&gt;"販売済み",E413="",C413=""),"",IFERROR(IF(OR(COUNTIF('手数料マスタ'!$A$5:$A$104,C413)&lt;&gt;1,COUNTIFS('手数料マスタ'!$A$5:$A$104,C413,'手数料マスタ'!$B$5:$B$104,"&lt;&gt;")&lt;&gt;1,NOT(ISNUMBER(VLOOKUP(C413,'手数料マスタ'!$A$5:$B$104,2,FALSE))),VLOOKUP(C413,'手数料マスタ'!$A$5:$B$104,2,FALSE)&lt;0,VLOOKUP(C413,'手数料マスタ'!$A$5:$B$104,2,FALSE)&gt;1),"要確認",ROUND(E413*VLOOKUP(C413,'手数料マスタ'!$A$5:$B$104,2,FALSE),0)),"要確認"))</ns0:f>
        <ns0:v/>
      </ns0:c>
      <ns0:c r="G413" s="7" t="n"/>
      <ns0:c r="H413" s="7" t="n"/>
      <ns0:c r="I413" s="8" t="str">
        <ns0:f>IF(OR(B413="",J413&lt;&gt;"販売済み",D413="",E413="",G413="",H413=""),"",IF(ISNUMBER(F413),E413-D413-F413-G413-H413,"要確認"))</ns0:f>
        <ns0:v/>
      </ns0:c>
      <ns0:c r="J413" s="6" t="n"/>
      <ns0:c r="K413" s="5" t="n"/>
      <ns0:c r="L413" s="9" t="str">
        <ns0:f>IF(AND(B413&lt;&gt;"",J413="在庫"),COUNTIFS($J$5:J413,"在庫",$B$5:B413,"&lt;&gt;"),"")</ns0:f>
        <ns0:v/>
      </ns0:c>
    </ns0:row>
    <ns0:row r="414">
      <ns0:c r="A414" s="5" t="n"/>
      <ns0:c r="B414" s="6" t="n"/>
      <ns0:c r="C414" s="6" t="n"/>
      <ns0:c r="D414" s="7" t="n"/>
      <ns0:c r="E414" s="7" t="n"/>
      <ns0:c r="F414" s="8" t="str">
        <ns0:f>IF(OR(B414="",J414&lt;&gt;"販売済み",E414="",C414=""),"",IFERROR(IF(OR(COUNTIF('手数料マスタ'!$A$5:$A$104,C414)&lt;&gt;1,COUNTIFS('手数料マスタ'!$A$5:$A$104,C414,'手数料マスタ'!$B$5:$B$104,"&lt;&gt;")&lt;&gt;1,NOT(ISNUMBER(VLOOKUP(C414,'手数料マスタ'!$A$5:$B$104,2,FALSE))),VLOOKUP(C414,'手数料マスタ'!$A$5:$B$104,2,FALSE)&lt;0,VLOOKUP(C414,'手数料マスタ'!$A$5:$B$104,2,FALSE)&gt;1),"要確認",ROUND(E414*VLOOKUP(C414,'手数料マスタ'!$A$5:$B$104,2,FALSE),0)),"要確認"))</ns0:f>
        <ns0:v/>
      </ns0:c>
      <ns0:c r="G414" s="7" t="n"/>
      <ns0:c r="H414" s="7" t="n"/>
      <ns0:c r="I414" s="8" t="str">
        <ns0:f>IF(OR(B414="",J414&lt;&gt;"販売済み",D414="",E414="",G414="",H414=""),"",IF(ISNUMBER(F414),E414-D414-F414-G414-H414,"要確認"))</ns0:f>
        <ns0:v/>
      </ns0:c>
      <ns0:c r="J414" s="6" t="n"/>
      <ns0:c r="K414" s="5" t="n"/>
      <ns0:c r="L414" s="9" t="str">
        <ns0:f>IF(AND(B414&lt;&gt;"",J414="在庫"),COUNTIFS($J$5:J414,"在庫",$B$5:B414,"&lt;&gt;"),"")</ns0:f>
        <ns0:v/>
      </ns0:c>
    </ns0:row>
    <ns0:row r="415">
      <ns0:c r="A415" s="5" t="n"/>
      <ns0:c r="B415" s="6" t="n"/>
      <ns0:c r="C415" s="6" t="n"/>
      <ns0:c r="D415" s="7" t="n"/>
      <ns0:c r="E415" s="7" t="n"/>
      <ns0:c r="F415" s="8" t="str">
        <ns0:f>IF(OR(B415="",J415&lt;&gt;"販売済み",E415="",C415=""),"",IFERROR(IF(OR(COUNTIF('手数料マスタ'!$A$5:$A$104,C415)&lt;&gt;1,COUNTIFS('手数料マスタ'!$A$5:$A$104,C415,'手数料マスタ'!$B$5:$B$104,"&lt;&gt;")&lt;&gt;1,NOT(ISNUMBER(VLOOKUP(C415,'手数料マスタ'!$A$5:$B$104,2,FALSE))),VLOOKUP(C415,'手数料マスタ'!$A$5:$B$104,2,FALSE)&lt;0,VLOOKUP(C415,'手数料マスタ'!$A$5:$B$104,2,FALSE)&gt;1),"要確認",ROUND(E415*VLOOKUP(C415,'手数料マスタ'!$A$5:$B$104,2,FALSE),0)),"要確認"))</ns0:f>
        <ns0:v/>
      </ns0:c>
      <ns0:c r="G415" s="7" t="n"/>
      <ns0:c r="H415" s="7" t="n"/>
      <ns0:c r="I415" s="8" t="str">
        <ns0:f>IF(OR(B415="",J415&lt;&gt;"販売済み",D415="",E415="",G415="",H415=""),"",IF(ISNUMBER(F415),E415-D415-F415-G415-H415,"要確認"))</ns0:f>
        <ns0:v/>
      </ns0:c>
      <ns0:c r="J415" s="6" t="n"/>
      <ns0:c r="K415" s="5" t="n"/>
      <ns0:c r="L415" s="9" t="str">
        <ns0:f>IF(AND(B415&lt;&gt;"",J415="在庫"),COUNTIFS($J$5:J415,"在庫",$B$5:B415,"&lt;&gt;"),"")</ns0:f>
        <ns0:v/>
      </ns0:c>
    </ns0:row>
    <ns0:row r="416">
      <ns0:c r="A416" s="5" t="n"/>
      <ns0:c r="B416" s="6" t="n"/>
      <ns0:c r="C416" s="6" t="n"/>
      <ns0:c r="D416" s="7" t="n"/>
      <ns0:c r="E416" s="7" t="n"/>
      <ns0:c r="F416" s="8" t="str">
        <ns0:f>IF(OR(B416="",J416&lt;&gt;"販売済み",E416="",C416=""),"",IFERROR(IF(OR(COUNTIF('手数料マスタ'!$A$5:$A$104,C416)&lt;&gt;1,COUNTIFS('手数料マスタ'!$A$5:$A$104,C416,'手数料マスタ'!$B$5:$B$104,"&lt;&gt;")&lt;&gt;1,NOT(ISNUMBER(VLOOKUP(C416,'手数料マスタ'!$A$5:$B$104,2,FALSE))),VLOOKUP(C416,'手数料マスタ'!$A$5:$B$104,2,FALSE)&lt;0,VLOOKUP(C416,'手数料マスタ'!$A$5:$B$104,2,FALSE)&gt;1),"要確認",ROUND(E416*VLOOKUP(C416,'手数料マスタ'!$A$5:$B$104,2,FALSE),0)),"要確認"))</ns0:f>
        <ns0:v/>
      </ns0:c>
      <ns0:c r="G416" s="7" t="n"/>
      <ns0:c r="H416" s="7" t="n"/>
      <ns0:c r="I416" s="8" t="str">
        <ns0:f>IF(OR(B416="",J416&lt;&gt;"販売済み",D416="",E416="",G416="",H416=""),"",IF(ISNUMBER(F416),E416-D416-F416-G416-H416,"要確認"))</ns0:f>
        <ns0:v/>
      </ns0:c>
      <ns0:c r="J416" s="6" t="n"/>
      <ns0:c r="K416" s="5" t="n"/>
      <ns0:c r="L416" s="9" t="str">
        <ns0:f>IF(AND(B416&lt;&gt;"",J416="在庫"),COUNTIFS($J$5:J416,"在庫",$B$5:B416,"&lt;&gt;"),"")</ns0:f>
        <ns0:v/>
      </ns0:c>
    </ns0:row>
    <ns0:row r="417">
      <ns0:c r="A417" s="5" t="n"/>
      <ns0:c r="B417" s="6" t="n"/>
      <ns0:c r="C417" s="6" t="n"/>
      <ns0:c r="D417" s="7" t="n"/>
      <ns0:c r="E417" s="7" t="n"/>
      <ns0:c r="F417" s="8" t="str">
        <ns0:f>IF(OR(B417="",J417&lt;&gt;"販売済み",E417="",C417=""),"",IFERROR(IF(OR(COUNTIF('手数料マスタ'!$A$5:$A$104,C417)&lt;&gt;1,COUNTIFS('手数料マスタ'!$A$5:$A$104,C417,'手数料マスタ'!$B$5:$B$104,"&lt;&gt;")&lt;&gt;1,NOT(ISNUMBER(VLOOKUP(C417,'手数料マスタ'!$A$5:$B$104,2,FALSE))),VLOOKUP(C417,'手数料マスタ'!$A$5:$B$104,2,FALSE)&lt;0,VLOOKUP(C417,'手数料マスタ'!$A$5:$B$104,2,FALSE)&gt;1),"要確認",ROUND(E417*VLOOKUP(C417,'手数料マスタ'!$A$5:$B$104,2,FALSE),0)),"要確認"))</ns0:f>
        <ns0:v/>
      </ns0:c>
      <ns0:c r="G417" s="7" t="n"/>
      <ns0:c r="H417" s="7" t="n"/>
      <ns0:c r="I417" s="8" t="str">
        <ns0:f>IF(OR(B417="",J417&lt;&gt;"販売済み",D417="",E417="",G417="",H417=""),"",IF(ISNUMBER(F417),E417-D417-F417-G417-H417,"要確認"))</ns0:f>
        <ns0:v/>
      </ns0:c>
      <ns0:c r="J417" s="6" t="n"/>
      <ns0:c r="K417" s="5" t="n"/>
      <ns0:c r="L417" s="9" t="str">
        <ns0:f>IF(AND(B417&lt;&gt;"",J417="在庫"),COUNTIFS($J$5:J417,"在庫",$B$5:B417,"&lt;&gt;"),"")</ns0:f>
        <ns0:v/>
      </ns0:c>
    </ns0:row>
    <ns0:row r="418">
      <ns0:c r="A418" s="5" t="n"/>
      <ns0:c r="B418" s="6" t="n"/>
      <ns0:c r="C418" s="6" t="n"/>
      <ns0:c r="D418" s="7" t="n"/>
      <ns0:c r="E418" s="7" t="n"/>
      <ns0:c r="F418" s="8" t="str">
        <ns0:f>IF(OR(B418="",J418&lt;&gt;"販売済み",E418="",C418=""),"",IFERROR(IF(OR(COUNTIF('手数料マスタ'!$A$5:$A$104,C418)&lt;&gt;1,COUNTIFS('手数料マスタ'!$A$5:$A$104,C418,'手数料マスタ'!$B$5:$B$104,"&lt;&gt;")&lt;&gt;1,NOT(ISNUMBER(VLOOKUP(C418,'手数料マスタ'!$A$5:$B$104,2,FALSE))),VLOOKUP(C418,'手数料マスタ'!$A$5:$B$104,2,FALSE)&lt;0,VLOOKUP(C418,'手数料マスタ'!$A$5:$B$104,2,FALSE)&gt;1),"要確認",ROUND(E418*VLOOKUP(C418,'手数料マスタ'!$A$5:$B$104,2,FALSE),0)),"要確認"))</ns0:f>
        <ns0:v/>
      </ns0:c>
      <ns0:c r="G418" s="7" t="n"/>
      <ns0:c r="H418" s="7" t="n"/>
      <ns0:c r="I418" s="8" t="str">
        <ns0:f>IF(OR(B418="",J418&lt;&gt;"販売済み",D418="",E418="",G418="",H418=""),"",IF(ISNUMBER(F418),E418-D418-F418-G418-H418,"要確認"))</ns0:f>
        <ns0:v/>
      </ns0:c>
      <ns0:c r="J418" s="6" t="n"/>
      <ns0:c r="K418" s="5" t="n"/>
      <ns0:c r="L418" s="9" t="str">
        <ns0:f>IF(AND(B418&lt;&gt;"",J418="在庫"),COUNTIFS($J$5:J418,"在庫",$B$5:B418,"&lt;&gt;"),"")</ns0:f>
        <ns0:v/>
      </ns0:c>
    </ns0:row>
    <ns0:row r="419">
      <ns0:c r="A419" s="5" t="n"/>
      <ns0:c r="B419" s="6" t="n"/>
      <ns0:c r="C419" s="6" t="n"/>
      <ns0:c r="D419" s="7" t="n"/>
      <ns0:c r="E419" s="7" t="n"/>
      <ns0:c r="F419" s="8" t="str">
        <ns0:f>IF(OR(B419="",J419&lt;&gt;"販売済み",E419="",C419=""),"",IFERROR(IF(OR(COUNTIF('手数料マスタ'!$A$5:$A$104,C419)&lt;&gt;1,COUNTIFS('手数料マスタ'!$A$5:$A$104,C419,'手数料マスタ'!$B$5:$B$104,"&lt;&gt;")&lt;&gt;1,NOT(ISNUMBER(VLOOKUP(C419,'手数料マスタ'!$A$5:$B$104,2,FALSE))),VLOOKUP(C419,'手数料マスタ'!$A$5:$B$104,2,FALSE)&lt;0,VLOOKUP(C419,'手数料マスタ'!$A$5:$B$104,2,FALSE)&gt;1),"要確認",ROUND(E419*VLOOKUP(C419,'手数料マスタ'!$A$5:$B$104,2,FALSE),0)),"要確認"))</ns0:f>
        <ns0:v/>
      </ns0:c>
      <ns0:c r="G419" s="7" t="n"/>
      <ns0:c r="H419" s="7" t="n"/>
      <ns0:c r="I419" s="8" t="str">
        <ns0:f>IF(OR(B419="",J419&lt;&gt;"販売済み",D419="",E419="",G419="",H419=""),"",IF(ISNUMBER(F419),E419-D419-F419-G419-H419,"要確認"))</ns0:f>
        <ns0:v/>
      </ns0:c>
      <ns0:c r="J419" s="6" t="n"/>
      <ns0:c r="K419" s="5" t="n"/>
      <ns0:c r="L419" s="9" t="str">
        <ns0:f>IF(AND(B419&lt;&gt;"",J419="在庫"),COUNTIFS($J$5:J419,"在庫",$B$5:B419,"&lt;&gt;"),"")</ns0:f>
        <ns0:v/>
      </ns0:c>
    </ns0:row>
    <ns0:row r="420">
      <ns0:c r="A420" s="5" t="n"/>
      <ns0:c r="B420" s="6" t="n"/>
      <ns0:c r="C420" s="6" t="n"/>
      <ns0:c r="D420" s="7" t="n"/>
      <ns0:c r="E420" s="7" t="n"/>
      <ns0:c r="F420" s="8" t="str">
        <ns0:f>IF(OR(B420="",J420&lt;&gt;"販売済み",E420="",C420=""),"",IFERROR(IF(OR(COUNTIF('手数料マスタ'!$A$5:$A$104,C420)&lt;&gt;1,COUNTIFS('手数料マスタ'!$A$5:$A$104,C420,'手数料マスタ'!$B$5:$B$104,"&lt;&gt;")&lt;&gt;1,NOT(ISNUMBER(VLOOKUP(C420,'手数料マスタ'!$A$5:$B$104,2,FALSE))),VLOOKUP(C420,'手数料マスタ'!$A$5:$B$104,2,FALSE)&lt;0,VLOOKUP(C420,'手数料マスタ'!$A$5:$B$104,2,FALSE)&gt;1),"要確認",ROUND(E420*VLOOKUP(C420,'手数料マスタ'!$A$5:$B$104,2,FALSE),0)),"要確認"))</ns0:f>
        <ns0:v/>
      </ns0:c>
      <ns0:c r="G420" s="7" t="n"/>
      <ns0:c r="H420" s="7" t="n"/>
      <ns0:c r="I420" s="8" t="str">
        <ns0:f>IF(OR(B420="",J420&lt;&gt;"販売済み",D420="",E420="",G420="",H420=""),"",IF(ISNUMBER(F420),E420-D420-F420-G420-H420,"要確認"))</ns0:f>
        <ns0:v/>
      </ns0:c>
      <ns0:c r="J420" s="6" t="n"/>
      <ns0:c r="K420" s="5" t="n"/>
      <ns0:c r="L420" s="9" t="str">
        <ns0:f>IF(AND(B420&lt;&gt;"",J420="在庫"),COUNTIFS($J$5:J420,"在庫",$B$5:B420,"&lt;&gt;"),"")</ns0:f>
        <ns0:v/>
      </ns0:c>
    </ns0:row>
    <ns0:row r="421">
      <ns0:c r="A421" s="5" t="n"/>
      <ns0:c r="B421" s="6" t="n"/>
      <ns0:c r="C421" s="6" t="n"/>
      <ns0:c r="D421" s="7" t="n"/>
      <ns0:c r="E421" s="7" t="n"/>
      <ns0:c r="F421" s="8" t="str">
        <ns0:f>IF(OR(B421="",J421&lt;&gt;"販売済み",E421="",C421=""),"",IFERROR(IF(OR(COUNTIF('手数料マスタ'!$A$5:$A$104,C421)&lt;&gt;1,COUNTIFS('手数料マスタ'!$A$5:$A$104,C421,'手数料マスタ'!$B$5:$B$104,"&lt;&gt;")&lt;&gt;1,NOT(ISNUMBER(VLOOKUP(C421,'手数料マスタ'!$A$5:$B$104,2,FALSE))),VLOOKUP(C421,'手数料マスタ'!$A$5:$B$104,2,FALSE)&lt;0,VLOOKUP(C421,'手数料マスタ'!$A$5:$B$104,2,FALSE)&gt;1),"要確認",ROUND(E421*VLOOKUP(C421,'手数料マスタ'!$A$5:$B$104,2,FALSE),0)),"要確認"))</ns0:f>
        <ns0:v/>
      </ns0:c>
      <ns0:c r="G421" s="7" t="n"/>
      <ns0:c r="H421" s="7" t="n"/>
      <ns0:c r="I421" s="8" t="str">
        <ns0:f>IF(OR(B421="",J421&lt;&gt;"販売済み",D421="",E421="",G421="",H421=""),"",IF(ISNUMBER(F421),E421-D421-F421-G421-H421,"要確認"))</ns0:f>
        <ns0:v/>
      </ns0:c>
      <ns0:c r="J421" s="6" t="n"/>
      <ns0:c r="K421" s="5" t="n"/>
      <ns0:c r="L421" s="9" t="str">
        <ns0:f>IF(AND(B421&lt;&gt;"",J421="在庫"),COUNTIFS($J$5:J421,"在庫",$B$5:B421,"&lt;&gt;"),"")</ns0:f>
        <ns0:v/>
      </ns0:c>
    </ns0:row>
    <ns0:row r="422">
      <ns0:c r="A422" s="5" t="n"/>
      <ns0:c r="B422" s="6" t="n"/>
      <ns0:c r="C422" s="6" t="n"/>
      <ns0:c r="D422" s="7" t="n"/>
      <ns0:c r="E422" s="7" t="n"/>
      <ns0:c r="F422" s="8" t="str">
        <ns0:f>IF(OR(B422="",J422&lt;&gt;"販売済み",E422="",C422=""),"",IFERROR(IF(OR(COUNTIF('手数料マスタ'!$A$5:$A$104,C422)&lt;&gt;1,COUNTIFS('手数料マスタ'!$A$5:$A$104,C422,'手数料マスタ'!$B$5:$B$104,"&lt;&gt;")&lt;&gt;1,NOT(ISNUMBER(VLOOKUP(C422,'手数料マスタ'!$A$5:$B$104,2,FALSE))),VLOOKUP(C422,'手数料マスタ'!$A$5:$B$104,2,FALSE)&lt;0,VLOOKUP(C422,'手数料マスタ'!$A$5:$B$104,2,FALSE)&gt;1),"要確認",ROUND(E422*VLOOKUP(C422,'手数料マスタ'!$A$5:$B$104,2,FALSE),0)),"要確認"))</ns0:f>
        <ns0:v/>
      </ns0:c>
      <ns0:c r="G422" s="7" t="n"/>
      <ns0:c r="H422" s="7" t="n"/>
      <ns0:c r="I422" s="8" t="str">
        <ns0:f>IF(OR(B422="",J422&lt;&gt;"販売済み",D422="",E422="",G422="",H422=""),"",IF(ISNUMBER(F422),E422-D422-F422-G422-H422,"要確認"))</ns0:f>
        <ns0:v/>
      </ns0:c>
      <ns0:c r="J422" s="6" t="n"/>
      <ns0:c r="K422" s="5" t="n"/>
      <ns0:c r="L422" s="9" t="str">
        <ns0:f>IF(AND(B422&lt;&gt;"",J422="在庫"),COUNTIFS($J$5:J422,"在庫",$B$5:B422,"&lt;&gt;"),"")</ns0:f>
        <ns0:v/>
      </ns0:c>
    </ns0:row>
    <ns0:row r="423">
      <ns0:c r="A423" s="5" t="n"/>
      <ns0:c r="B423" s="6" t="n"/>
      <ns0:c r="C423" s="6" t="n"/>
      <ns0:c r="D423" s="7" t="n"/>
      <ns0:c r="E423" s="7" t="n"/>
      <ns0:c r="F423" s="8" t="str">
        <ns0:f>IF(OR(B423="",J423&lt;&gt;"販売済み",E423="",C423=""),"",IFERROR(IF(OR(COUNTIF('手数料マスタ'!$A$5:$A$104,C423)&lt;&gt;1,COUNTIFS('手数料マスタ'!$A$5:$A$104,C423,'手数料マスタ'!$B$5:$B$104,"&lt;&gt;")&lt;&gt;1,NOT(ISNUMBER(VLOOKUP(C423,'手数料マスタ'!$A$5:$B$104,2,FALSE))),VLOOKUP(C423,'手数料マスタ'!$A$5:$B$104,2,FALSE)&lt;0,VLOOKUP(C423,'手数料マスタ'!$A$5:$B$104,2,FALSE)&gt;1),"要確認",ROUND(E423*VLOOKUP(C423,'手数料マスタ'!$A$5:$B$104,2,FALSE),0)),"要確認"))</ns0:f>
        <ns0:v/>
      </ns0:c>
      <ns0:c r="G423" s="7" t="n"/>
      <ns0:c r="H423" s="7" t="n"/>
      <ns0:c r="I423" s="8" t="str">
        <ns0:f>IF(OR(B423="",J423&lt;&gt;"販売済み",D423="",E423="",G423="",H423=""),"",IF(ISNUMBER(F423),E423-D423-F423-G423-H423,"要確認"))</ns0:f>
        <ns0:v/>
      </ns0:c>
      <ns0:c r="J423" s="6" t="n"/>
      <ns0:c r="K423" s="5" t="n"/>
      <ns0:c r="L423" s="9" t="str">
        <ns0:f>IF(AND(B423&lt;&gt;"",J423="在庫"),COUNTIFS($J$5:J423,"在庫",$B$5:B423,"&lt;&gt;"),"")</ns0:f>
        <ns0:v/>
      </ns0:c>
    </ns0:row>
    <ns0:row r="424">
      <ns0:c r="A424" s="5" t="n"/>
      <ns0:c r="B424" s="6" t="n"/>
      <ns0:c r="C424" s="6" t="n"/>
      <ns0:c r="D424" s="7" t="n"/>
      <ns0:c r="E424" s="7" t="n"/>
      <ns0:c r="F424" s="8" t="str">
        <ns0:f>IF(OR(B424="",J424&lt;&gt;"販売済み",E424="",C424=""),"",IFERROR(IF(OR(COUNTIF('手数料マスタ'!$A$5:$A$104,C424)&lt;&gt;1,COUNTIFS('手数料マスタ'!$A$5:$A$104,C424,'手数料マスタ'!$B$5:$B$104,"&lt;&gt;")&lt;&gt;1,NOT(ISNUMBER(VLOOKUP(C424,'手数料マスタ'!$A$5:$B$104,2,FALSE))),VLOOKUP(C424,'手数料マスタ'!$A$5:$B$104,2,FALSE)&lt;0,VLOOKUP(C424,'手数料マスタ'!$A$5:$B$104,2,FALSE)&gt;1),"要確認",ROUND(E424*VLOOKUP(C424,'手数料マスタ'!$A$5:$B$104,2,FALSE),0)),"要確認"))</ns0:f>
        <ns0:v/>
      </ns0:c>
      <ns0:c r="G424" s="7" t="n"/>
      <ns0:c r="H424" s="7" t="n"/>
      <ns0:c r="I424" s="8" t="str">
        <ns0:f>IF(OR(B424="",J424&lt;&gt;"販売済み",D424="",E424="",G424="",H424=""),"",IF(ISNUMBER(F424),E424-D424-F424-G424-H424,"要確認"))</ns0:f>
        <ns0:v/>
      </ns0:c>
      <ns0:c r="J424" s="6" t="n"/>
      <ns0:c r="K424" s="5" t="n"/>
      <ns0:c r="L424" s="9" t="str">
        <ns0:f>IF(AND(B424&lt;&gt;"",J424="在庫"),COUNTIFS($J$5:J424,"在庫",$B$5:B424,"&lt;&gt;"),"")</ns0:f>
        <ns0:v/>
      </ns0:c>
    </ns0:row>
    <ns0:row r="425">
      <ns0:c r="A425" s="5" t="n"/>
      <ns0:c r="B425" s="6" t="n"/>
      <ns0:c r="C425" s="6" t="n"/>
      <ns0:c r="D425" s="7" t="n"/>
      <ns0:c r="E425" s="7" t="n"/>
      <ns0:c r="F425" s="8" t="str">
        <ns0:f>IF(OR(B425="",J425&lt;&gt;"販売済み",E425="",C425=""),"",IFERROR(IF(OR(COUNTIF('手数料マスタ'!$A$5:$A$104,C425)&lt;&gt;1,COUNTIFS('手数料マスタ'!$A$5:$A$104,C425,'手数料マスタ'!$B$5:$B$104,"&lt;&gt;")&lt;&gt;1,NOT(ISNUMBER(VLOOKUP(C425,'手数料マスタ'!$A$5:$B$104,2,FALSE))),VLOOKUP(C425,'手数料マスタ'!$A$5:$B$104,2,FALSE)&lt;0,VLOOKUP(C425,'手数料マスタ'!$A$5:$B$104,2,FALSE)&gt;1),"要確認",ROUND(E425*VLOOKUP(C425,'手数料マスタ'!$A$5:$B$104,2,FALSE),0)),"要確認"))</ns0:f>
        <ns0:v/>
      </ns0:c>
      <ns0:c r="G425" s="7" t="n"/>
      <ns0:c r="H425" s="7" t="n"/>
      <ns0:c r="I425" s="8" t="str">
        <ns0:f>IF(OR(B425="",J425&lt;&gt;"販売済み",D425="",E425="",G425="",H425=""),"",IF(ISNUMBER(F425),E425-D425-F425-G425-H425,"要確認"))</ns0:f>
        <ns0:v/>
      </ns0:c>
      <ns0:c r="J425" s="6" t="n"/>
      <ns0:c r="K425" s="5" t="n"/>
      <ns0:c r="L425" s="9" t="str">
        <ns0:f>IF(AND(B425&lt;&gt;"",J425="在庫"),COUNTIFS($J$5:J425,"在庫",$B$5:B425,"&lt;&gt;"),"")</ns0:f>
        <ns0:v/>
      </ns0:c>
    </ns0:row>
    <ns0:row r="426">
      <ns0:c r="A426" s="5" t="n"/>
      <ns0:c r="B426" s="6" t="n"/>
      <ns0:c r="C426" s="6" t="n"/>
      <ns0:c r="D426" s="7" t="n"/>
      <ns0:c r="E426" s="7" t="n"/>
      <ns0:c r="F426" s="8" t="str">
        <ns0:f>IF(OR(B426="",J426&lt;&gt;"販売済み",E426="",C426=""),"",IFERROR(IF(OR(COUNTIF('手数料マスタ'!$A$5:$A$104,C426)&lt;&gt;1,COUNTIFS('手数料マスタ'!$A$5:$A$104,C426,'手数料マスタ'!$B$5:$B$104,"&lt;&gt;")&lt;&gt;1,NOT(ISNUMBER(VLOOKUP(C426,'手数料マスタ'!$A$5:$B$104,2,FALSE))),VLOOKUP(C426,'手数料マスタ'!$A$5:$B$104,2,FALSE)&lt;0,VLOOKUP(C426,'手数料マスタ'!$A$5:$B$104,2,FALSE)&gt;1),"要確認",ROUND(E426*VLOOKUP(C426,'手数料マスタ'!$A$5:$B$104,2,FALSE),0)),"要確認"))</ns0:f>
        <ns0:v/>
      </ns0:c>
      <ns0:c r="G426" s="7" t="n"/>
      <ns0:c r="H426" s="7" t="n"/>
      <ns0:c r="I426" s="8" t="str">
        <ns0:f>IF(OR(B426="",J426&lt;&gt;"販売済み",D426="",E426="",G426="",H426=""),"",IF(ISNUMBER(F426),E426-D426-F426-G426-H426,"要確認"))</ns0:f>
        <ns0:v/>
      </ns0:c>
      <ns0:c r="J426" s="6" t="n"/>
      <ns0:c r="K426" s="5" t="n"/>
      <ns0:c r="L426" s="9" t="str">
        <ns0:f>IF(AND(B426&lt;&gt;"",J426="在庫"),COUNTIFS($J$5:J426,"在庫",$B$5:B426,"&lt;&gt;"),"")</ns0:f>
        <ns0:v/>
      </ns0:c>
    </ns0:row>
    <ns0:row r="427">
      <ns0:c r="A427" s="5" t="n"/>
      <ns0:c r="B427" s="6" t="n"/>
      <ns0:c r="C427" s="6" t="n"/>
      <ns0:c r="D427" s="7" t="n"/>
      <ns0:c r="E427" s="7" t="n"/>
      <ns0:c r="F427" s="8" t="str">
        <ns0:f>IF(OR(B427="",J427&lt;&gt;"販売済み",E427="",C427=""),"",IFERROR(IF(OR(COUNTIF('手数料マスタ'!$A$5:$A$104,C427)&lt;&gt;1,COUNTIFS('手数料マスタ'!$A$5:$A$104,C427,'手数料マスタ'!$B$5:$B$104,"&lt;&gt;")&lt;&gt;1,NOT(ISNUMBER(VLOOKUP(C427,'手数料マスタ'!$A$5:$B$104,2,FALSE))),VLOOKUP(C427,'手数料マスタ'!$A$5:$B$104,2,FALSE)&lt;0,VLOOKUP(C427,'手数料マスタ'!$A$5:$B$104,2,FALSE)&gt;1),"要確認",ROUND(E427*VLOOKUP(C427,'手数料マスタ'!$A$5:$B$104,2,FALSE),0)),"要確認"))</ns0:f>
        <ns0:v/>
      </ns0:c>
      <ns0:c r="G427" s="7" t="n"/>
      <ns0:c r="H427" s="7" t="n"/>
      <ns0:c r="I427" s="8" t="str">
        <ns0:f>IF(OR(B427="",J427&lt;&gt;"販売済み",D427="",E427="",G427="",H427=""),"",IF(ISNUMBER(F427),E427-D427-F427-G427-H427,"要確認"))</ns0:f>
        <ns0:v/>
      </ns0:c>
      <ns0:c r="J427" s="6" t="n"/>
      <ns0:c r="K427" s="5" t="n"/>
      <ns0:c r="L427" s="9" t="str">
        <ns0:f>IF(AND(B427&lt;&gt;"",J427="在庫"),COUNTIFS($J$5:J427,"在庫",$B$5:B427,"&lt;&gt;"),"")</ns0:f>
        <ns0:v/>
      </ns0:c>
    </ns0:row>
    <ns0:row r="428">
      <ns0:c r="A428" s="5" t="n"/>
      <ns0:c r="B428" s="6" t="n"/>
      <ns0:c r="C428" s="6" t="n"/>
      <ns0:c r="D428" s="7" t="n"/>
      <ns0:c r="E428" s="7" t="n"/>
      <ns0:c r="F428" s="8" t="str">
        <ns0:f>IF(OR(B428="",J428&lt;&gt;"販売済み",E428="",C428=""),"",IFERROR(IF(OR(COUNTIF('手数料マスタ'!$A$5:$A$104,C428)&lt;&gt;1,COUNTIFS('手数料マスタ'!$A$5:$A$104,C428,'手数料マスタ'!$B$5:$B$104,"&lt;&gt;")&lt;&gt;1,NOT(ISNUMBER(VLOOKUP(C428,'手数料マスタ'!$A$5:$B$104,2,FALSE))),VLOOKUP(C428,'手数料マスタ'!$A$5:$B$104,2,FALSE)&lt;0,VLOOKUP(C428,'手数料マスタ'!$A$5:$B$104,2,FALSE)&gt;1),"要確認",ROUND(E428*VLOOKUP(C428,'手数料マスタ'!$A$5:$B$104,2,FALSE),0)),"要確認"))</ns0:f>
        <ns0:v/>
      </ns0:c>
      <ns0:c r="G428" s="7" t="n"/>
      <ns0:c r="H428" s="7" t="n"/>
      <ns0:c r="I428" s="8" t="str">
        <ns0:f>IF(OR(B428="",J428&lt;&gt;"販売済み",D428="",E428="",G428="",H428=""),"",IF(ISNUMBER(F428),E428-D428-F428-G428-H428,"要確認"))</ns0:f>
        <ns0:v/>
      </ns0:c>
      <ns0:c r="J428" s="6" t="n"/>
      <ns0:c r="K428" s="5" t="n"/>
      <ns0:c r="L428" s="9" t="str">
        <ns0:f>IF(AND(B428&lt;&gt;"",J428="在庫"),COUNTIFS($J$5:J428,"在庫",$B$5:B428,"&lt;&gt;"),"")</ns0:f>
        <ns0:v/>
      </ns0:c>
    </ns0:row>
    <ns0:row r="429">
      <ns0:c r="A429" s="5" t="n"/>
      <ns0:c r="B429" s="6" t="n"/>
      <ns0:c r="C429" s="6" t="n"/>
      <ns0:c r="D429" s="7" t="n"/>
      <ns0:c r="E429" s="7" t="n"/>
      <ns0:c r="F429" s="8" t="str">
        <ns0:f>IF(OR(B429="",J429&lt;&gt;"販売済み",E429="",C429=""),"",IFERROR(IF(OR(COUNTIF('手数料マスタ'!$A$5:$A$104,C429)&lt;&gt;1,COUNTIFS('手数料マスタ'!$A$5:$A$104,C429,'手数料マスタ'!$B$5:$B$104,"&lt;&gt;")&lt;&gt;1,NOT(ISNUMBER(VLOOKUP(C429,'手数料マスタ'!$A$5:$B$104,2,FALSE))),VLOOKUP(C429,'手数料マスタ'!$A$5:$B$104,2,FALSE)&lt;0,VLOOKUP(C429,'手数料マスタ'!$A$5:$B$104,2,FALSE)&gt;1),"要確認",ROUND(E429*VLOOKUP(C429,'手数料マスタ'!$A$5:$B$104,2,FALSE),0)),"要確認"))</ns0:f>
        <ns0:v/>
      </ns0:c>
      <ns0:c r="G429" s="7" t="n"/>
      <ns0:c r="H429" s="7" t="n"/>
      <ns0:c r="I429" s="8" t="str">
        <ns0:f>IF(OR(B429="",J429&lt;&gt;"販売済み",D429="",E429="",G429="",H429=""),"",IF(ISNUMBER(F429),E429-D429-F429-G429-H429,"要確認"))</ns0:f>
        <ns0:v/>
      </ns0:c>
      <ns0:c r="J429" s="6" t="n"/>
      <ns0:c r="K429" s="5" t="n"/>
      <ns0:c r="L429" s="9" t="str">
        <ns0:f>IF(AND(B429&lt;&gt;"",J429="在庫"),COUNTIFS($J$5:J429,"在庫",$B$5:B429,"&lt;&gt;"),"")</ns0:f>
        <ns0:v/>
      </ns0:c>
    </ns0:row>
    <ns0:row r="430">
      <ns0:c r="A430" s="5" t="n"/>
      <ns0:c r="B430" s="6" t="n"/>
      <ns0:c r="C430" s="6" t="n"/>
      <ns0:c r="D430" s="7" t="n"/>
      <ns0:c r="E430" s="7" t="n"/>
      <ns0:c r="F430" s="8" t="str">
        <ns0:f>IF(OR(B430="",J430&lt;&gt;"販売済み",E430="",C430=""),"",IFERROR(IF(OR(COUNTIF('手数料マスタ'!$A$5:$A$104,C430)&lt;&gt;1,COUNTIFS('手数料マスタ'!$A$5:$A$104,C430,'手数料マスタ'!$B$5:$B$104,"&lt;&gt;")&lt;&gt;1,NOT(ISNUMBER(VLOOKUP(C430,'手数料マスタ'!$A$5:$B$104,2,FALSE))),VLOOKUP(C430,'手数料マスタ'!$A$5:$B$104,2,FALSE)&lt;0,VLOOKUP(C430,'手数料マスタ'!$A$5:$B$104,2,FALSE)&gt;1),"要確認",ROUND(E430*VLOOKUP(C430,'手数料マスタ'!$A$5:$B$104,2,FALSE),0)),"要確認"))</ns0:f>
        <ns0:v/>
      </ns0:c>
      <ns0:c r="G430" s="7" t="n"/>
      <ns0:c r="H430" s="7" t="n"/>
      <ns0:c r="I430" s="8" t="str">
        <ns0:f>IF(OR(B430="",J430&lt;&gt;"販売済み",D430="",E430="",G430="",H430=""),"",IF(ISNUMBER(F430),E430-D430-F430-G430-H430,"要確認"))</ns0:f>
        <ns0:v/>
      </ns0:c>
      <ns0:c r="J430" s="6" t="n"/>
      <ns0:c r="K430" s="5" t="n"/>
      <ns0:c r="L430" s="9" t="str">
        <ns0:f>IF(AND(B430&lt;&gt;"",J430="在庫"),COUNTIFS($J$5:J430,"在庫",$B$5:B430,"&lt;&gt;"),"")</ns0:f>
        <ns0:v/>
      </ns0:c>
    </ns0:row>
    <ns0:row r="431">
      <ns0:c r="A431" s="5" t="n"/>
      <ns0:c r="B431" s="6" t="n"/>
      <ns0:c r="C431" s="6" t="n"/>
      <ns0:c r="D431" s="7" t="n"/>
      <ns0:c r="E431" s="7" t="n"/>
      <ns0:c r="F431" s="8" t="str">
        <ns0:f>IF(OR(B431="",J431&lt;&gt;"販売済み",E431="",C431=""),"",IFERROR(IF(OR(COUNTIF('手数料マスタ'!$A$5:$A$104,C431)&lt;&gt;1,COUNTIFS('手数料マスタ'!$A$5:$A$104,C431,'手数料マスタ'!$B$5:$B$104,"&lt;&gt;")&lt;&gt;1,NOT(ISNUMBER(VLOOKUP(C431,'手数料マスタ'!$A$5:$B$104,2,FALSE))),VLOOKUP(C431,'手数料マスタ'!$A$5:$B$104,2,FALSE)&lt;0,VLOOKUP(C431,'手数料マスタ'!$A$5:$B$104,2,FALSE)&gt;1),"要確認",ROUND(E431*VLOOKUP(C431,'手数料マスタ'!$A$5:$B$104,2,FALSE),0)),"要確認"))</ns0:f>
        <ns0:v/>
      </ns0:c>
      <ns0:c r="G431" s="7" t="n"/>
      <ns0:c r="H431" s="7" t="n"/>
      <ns0:c r="I431" s="8" t="str">
        <ns0:f>IF(OR(B431="",J431&lt;&gt;"販売済み",D431="",E431="",G431="",H431=""),"",IF(ISNUMBER(F431),E431-D431-F431-G431-H431,"要確認"))</ns0:f>
        <ns0:v/>
      </ns0:c>
      <ns0:c r="J431" s="6" t="n"/>
      <ns0:c r="K431" s="5" t="n"/>
      <ns0:c r="L431" s="9" t="str">
        <ns0:f>IF(AND(B431&lt;&gt;"",J431="在庫"),COUNTIFS($J$5:J431,"在庫",$B$5:B431,"&lt;&gt;"),"")</ns0:f>
        <ns0:v/>
      </ns0:c>
    </ns0:row>
    <ns0:row r="432">
      <ns0:c r="A432" s="5" t="n"/>
      <ns0:c r="B432" s="6" t="n"/>
      <ns0:c r="C432" s="6" t="n"/>
      <ns0:c r="D432" s="7" t="n"/>
      <ns0:c r="E432" s="7" t="n"/>
      <ns0:c r="F432" s="8" t="str">
        <ns0:f>IF(OR(B432="",J432&lt;&gt;"販売済み",E432="",C432=""),"",IFERROR(IF(OR(COUNTIF('手数料マスタ'!$A$5:$A$104,C432)&lt;&gt;1,COUNTIFS('手数料マスタ'!$A$5:$A$104,C432,'手数料マスタ'!$B$5:$B$104,"&lt;&gt;")&lt;&gt;1,NOT(ISNUMBER(VLOOKUP(C432,'手数料マスタ'!$A$5:$B$104,2,FALSE))),VLOOKUP(C432,'手数料マスタ'!$A$5:$B$104,2,FALSE)&lt;0,VLOOKUP(C432,'手数料マスタ'!$A$5:$B$104,2,FALSE)&gt;1),"要確認",ROUND(E432*VLOOKUP(C432,'手数料マスタ'!$A$5:$B$104,2,FALSE),0)),"要確認"))</ns0:f>
        <ns0:v/>
      </ns0:c>
      <ns0:c r="G432" s="7" t="n"/>
      <ns0:c r="H432" s="7" t="n"/>
      <ns0:c r="I432" s="8" t="str">
        <ns0:f>IF(OR(B432="",J432&lt;&gt;"販売済み",D432="",E432="",G432="",H432=""),"",IF(ISNUMBER(F432),E432-D432-F432-G432-H432,"要確認"))</ns0:f>
        <ns0:v/>
      </ns0:c>
      <ns0:c r="J432" s="6" t="n"/>
      <ns0:c r="K432" s="5" t="n"/>
      <ns0:c r="L432" s="9" t="str">
        <ns0:f>IF(AND(B432&lt;&gt;"",J432="在庫"),COUNTIFS($J$5:J432,"在庫",$B$5:B432,"&lt;&gt;"),"")</ns0:f>
        <ns0:v/>
      </ns0:c>
    </ns0:row>
    <ns0:row r="433">
      <ns0:c r="A433" s="5" t="n"/>
      <ns0:c r="B433" s="6" t="n"/>
      <ns0:c r="C433" s="6" t="n"/>
      <ns0:c r="D433" s="7" t="n"/>
      <ns0:c r="E433" s="7" t="n"/>
      <ns0:c r="F433" s="8" t="str">
        <ns0:f>IF(OR(B433="",J433&lt;&gt;"販売済み",E433="",C433=""),"",IFERROR(IF(OR(COUNTIF('手数料マスタ'!$A$5:$A$104,C433)&lt;&gt;1,COUNTIFS('手数料マスタ'!$A$5:$A$104,C433,'手数料マスタ'!$B$5:$B$104,"&lt;&gt;")&lt;&gt;1,NOT(ISNUMBER(VLOOKUP(C433,'手数料マスタ'!$A$5:$B$104,2,FALSE))),VLOOKUP(C433,'手数料マスタ'!$A$5:$B$104,2,FALSE)&lt;0,VLOOKUP(C433,'手数料マスタ'!$A$5:$B$104,2,FALSE)&gt;1),"要確認",ROUND(E433*VLOOKUP(C433,'手数料マスタ'!$A$5:$B$104,2,FALSE),0)),"要確認"))</ns0:f>
        <ns0:v/>
      </ns0:c>
      <ns0:c r="G433" s="7" t="n"/>
      <ns0:c r="H433" s="7" t="n"/>
      <ns0:c r="I433" s="8" t="str">
        <ns0:f>IF(OR(B433="",J433&lt;&gt;"販売済み",D433="",E433="",G433="",H433=""),"",IF(ISNUMBER(F433),E433-D433-F433-G433-H433,"要確認"))</ns0:f>
        <ns0:v/>
      </ns0:c>
      <ns0:c r="J433" s="6" t="n"/>
      <ns0:c r="K433" s="5" t="n"/>
      <ns0:c r="L433" s="9" t="str">
        <ns0:f>IF(AND(B433&lt;&gt;"",J433="在庫"),COUNTIFS($J$5:J433,"在庫",$B$5:B433,"&lt;&gt;"),"")</ns0:f>
        <ns0:v/>
      </ns0:c>
    </ns0:row>
    <ns0:row r="434">
      <ns0:c r="A434" s="5" t="n"/>
      <ns0:c r="B434" s="6" t="n"/>
      <ns0:c r="C434" s="6" t="n"/>
      <ns0:c r="D434" s="7" t="n"/>
      <ns0:c r="E434" s="7" t="n"/>
      <ns0:c r="F434" s="8" t="str">
        <ns0:f>IF(OR(B434="",J434&lt;&gt;"販売済み",E434="",C434=""),"",IFERROR(IF(OR(COUNTIF('手数料マスタ'!$A$5:$A$104,C434)&lt;&gt;1,COUNTIFS('手数料マスタ'!$A$5:$A$104,C434,'手数料マスタ'!$B$5:$B$104,"&lt;&gt;")&lt;&gt;1,NOT(ISNUMBER(VLOOKUP(C434,'手数料マスタ'!$A$5:$B$104,2,FALSE))),VLOOKUP(C434,'手数料マスタ'!$A$5:$B$104,2,FALSE)&lt;0,VLOOKUP(C434,'手数料マスタ'!$A$5:$B$104,2,FALSE)&gt;1),"要確認",ROUND(E434*VLOOKUP(C434,'手数料マスタ'!$A$5:$B$104,2,FALSE),0)),"要確認"))</ns0:f>
        <ns0:v/>
      </ns0:c>
      <ns0:c r="G434" s="7" t="n"/>
      <ns0:c r="H434" s="7" t="n"/>
      <ns0:c r="I434" s="8" t="str">
        <ns0:f>IF(OR(B434="",J434&lt;&gt;"販売済み",D434="",E434="",G434="",H434=""),"",IF(ISNUMBER(F434),E434-D434-F434-G434-H434,"要確認"))</ns0:f>
        <ns0:v/>
      </ns0:c>
      <ns0:c r="J434" s="6" t="n"/>
      <ns0:c r="K434" s="5" t="n"/>
      <ns0:c r="L434" s="9" t="str">
        <ns0:f>IF(AND(B434&lt;&gt;"",J434="在庫"),COUNTIFS($J$5:J434,"在庫",$B$5:B434,"&lt;&gt;"),"")</ns0:f>
        <ns0:v/>
      </ns0:c>
    </ns0:row>
    <ns0:row r="435">
      <ns0:c r="A435" s="5" t="n"/>
      <ns0:c r="B435" s="6" t="n"/>
      <ns0:c r="C435" s="6" t="n"/>
      <ns0:c r="D435" s="7" t="n"/>
      <ns0:c r="E435" s="7" t="n"/>
      <ns0:c r="F435" s="8" t="str">
        <ns0:f>IF(OR(B435="",J435&lt;&gt;"販売済み",E435="",C435=""),"",IFERROR(IF(OR(COUNTIF('手数料マスタ'!$A$5:$A$104,C435)&lt;&gt;1,COUNTIFS('手数料マスタ'!$A$5:$A$104,C435,'手数料マスタ'!$B$5:$B$104,"&lt;&gt;")&lt;&gt;1,NOT(ISNUMBER(VLOOKUP(C435,'手数料マスタ'!$A$5:$B$104,2,FALSE))),VLOOKUP(C435,'手数料マスタ'!$A$5:$B$104,2,FALSE)&lt;0,VLOOKUP(C435,'手数料マスタ'!$A$5:$B$104,2,FALSE)&gt;1),"要確認",ROUND(E435*VLOOKUP(C435,'手数料マスタ'!$A$5:$B$104,2,FALSE),0)),"要確認"))</ns0:f>
        <ns0:v/>
      </ns0:c>
      <ns0:c r="G435" s="7" t="n"/>
      <ns0:c r="H435" s="7" t="n"/>
      <ns0:c r="I435" s="8" t="str">
        <ns0:f>IF(OR(B435="",J435&lt;&gt;"販売済み",D435="",E435="",G435="",H435=""),"",IF(ISNUMBER(F435),E435-D435-F435-G435-H435,"要確認"))</ns0:f>
        <ns0:v/>
      </ns0:c>
      <ns0:c r="J435" s="6" t="n"/>
      <ns0:c r="K435" s="5" t="n"/>
      <ns0:c r="L435" s="9" t="str">
        <ns0:f>IF(AND(B435&lt;&gt;"",J435="在庫"),COUNTIFS($J$5:J435,"在庫",$B$5:B435,"&lt;&gt;"),"")</ns0:f>
        <ns0:v/>
      </ns0:c>
    </ns0:row>
    <ns0:row r="436">
      <ns0:c r="A436" s="5" t="n"/>
      <ns0:c r="B436" s="6" t="n"/>
      <ns0:c r="C436" s="6" t="n"/>
      <ns0:c r="D436" s="7" t="n"/>
      <ns0:c r="E436" s="7" t="n"/>
      <ns0:c r="F436" s="8" t="str">
        <ns0:f>IF(OR(B436="",J436&lt;&gt;"販売済み",E436="",C436=""),"",IFERROR(IF(OR(COUNTIF('手数料マスタ'!$A$5:$A$104,C436)&lt;&gt;1,COUNTIFS('手数料マスタ'!$A$5:$A$104,C436,'手数料マスタ'!$B$5:$B$104,"&lt;&gt;")&lt;&gt;1,NOT(ISNUMBER(VLOOKUP(C436,'手数料マスタ'!$A$5:$B$104,2,FALSE))),VLOOKUP(C436,'手数料マスタ'!$A$5:$B$104,2,FALSE)&lt;0,VLOOKUP(C436,'手数料マスタ'!$A$5:$B$104,2,FALSE)&gt;1),"要確認",ROUND(E436*VLOOKUP(C436,'手数料マスタ'!$A$5:$B$104,2,FALSE),0)),"要確認"))</ns0:f>
        <ns0:v/>
      </ns0:c>
      <ns0:c r="G436" s="7" t="n"/>
      <ns0:c r="H436" s="7" t="n"/>
      <ns0:c r="I436" s="8" t="str">
        <ns0:f>IF(OR(B436="",J436&lt;&gt;"販売済み",D436="",E436="",G436="",H436=""),"",IF(ISNUMBER(F436),E436-D436-F436-G436-H436,"要確認"))</ns0:f>
        <ns0:v/>
      </ns0:c>
      <ns0:c r="J436" s="6" t="n"/>
      <ns0:c r="K436" s="5" t="n"/>
      <ns0:c r="L436" s="9" t="str">
        <ns0:f>IF(AND(B436&lt;&gt;"",J436="在庫"),COUNTIFS($J$5:J436,"在庫",$B$5:B436,"&lt;&gt;"),"")</ns0:f>
        <ns0:v/>
      </ns0:c>
    </ns0:row>
    <ns0:row r="437">
      <ns0:c r="A437" s="5" t="n"/>
      <ns0:c r="B437" s="6" t="n"/>
      <ns0:c r="C437" s="6" t="n"/>
      <ns0:c r="D437" s="7" t="n"/>
      <ns0:c r="E437" s="7" t="n"/>
      <ns0:c r="F437" s="8" t="str">
        <ns0:f>IF(OR(B437="",J437&lt;&gt;"販売済み",E437="",C437=""),"",IFERROR(IF(OR(COUNTIF('手数料マスタ'!$A$5:$A$104,C437)&lt;&gt;1,COUNTIFS('手数料マスタ'!$A$5:$A$104,C437,'手数料マスタ'!$B$5:$B$104,"&lt;&gt;")&lt;&gt;1,NOT(ISNUMBER(VLOOKUP(C437,'手数料マスタ'!$A$5:$B$104,2,FALSE))),VLOOKUP(C437,'手数料マスタ'!$A$5:$B$104,2,FALSE)&lt;0,VLOOKUP(C437,'手数料マスタ'!$A$5:$B$104,2,FALSE)&gt;1),"要確認",ROUND(E437*VLOOKUP(C437,'手数料マスタ'!$A$5:$B$104,2,FALSE),0)),"要確認"))</ns0:f>
        <ns0:v/>
      </ns0:c>
      <ns0:c r="G437" s="7" t="n"/>
      <ns0:c r="H437" s="7" t="n"/>
      <ns0:c r="I437" s="8" t="str">
        <ns0:f>IF(OR(B437="",J437&lt;&gt;"販売済み",D437="",E437="",G437="",H437=""),"",IF(ISNUMBER(F437),E437-D437-F437-G437-H437,"要確認"))</ns0:f>
        <ns0:v/>
      </ns0:c>
      <ns0:c r="J437" s="6" t="n"/>
      <ns0:c r="K437" s="5" t="n"/>
      <ns0:c r="L437" s="9" t="str">
        <ns0:f>IF(AND(B437&lt;&gt;"",J437="在庫"),COUNTIFS($J$5:J437,"在庫",$B$5:B437,"&lt;&gt;"),"")</ns0:f>
        <ns0:v/>
      </ns0:c>
    </ns0:row>
    <ns0:row r="438">
      <ns0:c r="A438" s="5" t="n"/>
      <ns0:c r="B438" s="6" t="n"/>
      <ns0:c r="C438" s="6" t="n"/>
      <ns0:c r="D438" s="7" t="n"/>
      <ns0:c r="E438" s="7" t="n"/>
      <ns0:c r="F438" s="8" t="str">
        <ns0:f>IF(OR(B438="",J438&lt;&gt;"販売済み",E438="",C438=""),"",IFERROR(IF(OR(COUNTIF('手数料マスタ'!$A$5:$A$104,C438)&lt;&gt;1,COUNTIFS('手数料マスタ'!$A$5:$A$104,C438,'手数料マスタ'!$B$5:$B$104,"&lt;&gt;")&lt;&gt;1,NOT(ISNUMBER(VLOOKUP(C438,'手数料マスタ'!$A$5:$B$104,2,FALSE))),VLOOKUP(C438,'手数料マスタ'!$A$5:$B$104,2,FALSE)&lt;0,VLOOKUP(C438,'手数料マスタ'!$A$5:$B$104,2,FALSE)&gt;1),"要確認",ROUND(E438*VLOOKUP(C438,'手数料マスタ'!$A$5:$B$104,2,FALSE),0)),"要確認"))</ns0:f>
        <ns0:v/>
      </ns0:c>
      <ns0:c r="G438" s="7" t="n"/>
      <ns0:c r="H438" s="7" t="n"/>
      <ns0:c r="I438" s="8" t="str">
        <ns0:f>IF(OR(B438="",J438&lt;&gt;"販売済み",D438="",E438="",G438="",H438=""),"",IF(ISNUMBER(F438),E438-D438-F438-G438-H438,"要確認"))</ns0:f>
        <ns0:v/>
      </ns0:c>
      <ns0:c r="J438" s="6" t="n"/>
      <ns0:c r="K438" s="5" t="n"/>
      <ns0:c r="L438" s="9" t="str">
        <ns0:f>IF(AND(B438&lt;&gt;"",J438="在庫"),COUNTIFS($J$5:J438,"在庫",$B$5:B438,"&lt;&gt;"),"")</ns0:f>
        <ns0:v/>
      </ns0:c>
    </ns0:row>
    <ns0:row r="439">
      <ns0:c r="A439" s="5" t="n"/>
      <ns0:c r="B439" s="6" t="n"/>
      <ns0:c r="C439" s="6" t="n"/>
      <ns0:c r="D439" s="7" t="n"/>
      <ns0:c r="E439" s="7" t="n"/>
      <ns0:c r="F439" s="8" t="str">
        <ns0:f>IF(OR(B439="",J439&lt;&gt;"販売済み",E439="",C439=""),"",IFERROR(IF(OR(COUNTIF('手数料マスタ'!$A$5:$A$104,C439)&lt;&gt;1,COUNTIFS('手数料マスタ'!$A$5:$A$104,C439,'手数料マスタ'!$B$5:$B$104,"&lt;&gt;")&lt;&gt;1,NOT(ISNUMBER(VLOOKUP(C439,'手数料マスタ'!$A$5:$B$104,2,FALSE))),VLOOKUP(C439,'手数料マスタ'!$A$5:$B$104,2,FALSE)&lt;0,VLOOKUP(C439,'手数料マスタ'!$A$5:$B$104,2,FALSE)&gt;1),"要確認",ROUND(E439*VLOOKUP(C439,'手数料マスタ'!$A$5:$B$104,2,FALSE),0)),"要確認"))</ns0:f>
        <ns0:v/>
      </ns0:c>
      <ns0:c r="G439" s="7" t="n"/>
      <ns0:c r="H439" s="7" t="n"/>
      <ns0:c r="I439" s="8" t="str">
        <ns0:f>IF(OR(B439="",J439&lt;&gt;"販売済み",D439="",E439="",G439="",H439=""),"",IF(ISNUMBER(F439),E439-D439-F439-G439-H439,"要確認"))</ns0:f>
        <ns0:v/>
      </ns0:c>
      <ns0:c r="J439" s="6" t="n"/>
      <ns0:c r="K439" s="5" t="n"/>
      <ns0:c r="L439" s="9" t="str">
        <ns0:f>IF(AND(B439&lt;&gt;"",J439="在庫"),COUNTIFS($J$5:J439,"在庫",$B$5:B439,"&lt;&gt;"),"")</ns0:f>
        <ns0:v/>
      </ns0:c>
    </ns0:row>
    <ns0:row r="440">
      <ns0:c r="A440" s="5" t="n"/>
      <ns0:c r="B440" s="6" t="n"/>
      <ns0:c r="C440" s="6" t="n"/>
      <ns0:c r="D440" s="7" t="n"/>
      <ns0:c r="E440" s="7" t="n"/>
      <ns0:c r="F440" s="8" t="str">
        <ns0:f>IF(OR(B440="",J440&lt;&gt;"販売済み",E440="",C440=""),"",IFERROR(IF(OR(COUNTIF('手数料マスタ'!$A$5:$A$104,C440)&lt;&gt;1,COUNTIFS('手数料マスタ'!$A$5:$A$104,C440,'手数料マスタ'!$B$5:$B$104,"&lt;&gt;")&lt;&gt;1,NOT(ISNUMBER(VLOOKUP(C440,'手数料マスタ'!$A$5:$B$104,2,FALSE))),VLOOKUP(C440,'手数料マスタ'!$A$5:$B$104,2,FALSE)&lt;0,VLOOKUP(C440,'手数料マスタ'!$A$5:$B$104,2,FALSE)&gt;1),"要確認",ROUND(E440*VLOOKUP(C440,'手数料マスタ'!$A$5:$B$104,2,FALSE),0)),"要確認"))</ns0:f>
        <ns0:v/>
      </ns0:c>
      <ns0:c r="G440" s="7" t="n"/>
      <ns0:c r="H440" s="7" t="n"/>
      <ns0:c r="I440" s="8" t="str">
        <ns0:f>IF(OR(B440="",J440&lt;&gt;"販売済み",D440="",E440="",G440="",H440=""),"",IF(ISNUMBER(F440),E440-D440-F440-G440-H440,"要確認"))</ns0:f>
        <ns0:v/>
      </ns0:c>
      <ns0:c r="J440" s="6" t="n"/>
      <ns0:c r="K440" s="5" t="n"/>
      <ns0:c r="L440" s="9" t="str">
        <ns0:f>IF(AND(B440&lt;&gt;"",J440="在庫"),COUNTIFS($J$5:J440,"在庫",$B$5:B440,"&lt;&gt;"),"")</ns0:f>
        <ns0:v/>
      </ns0:c>
    </ns0:row>
    <ns0:row r="441">
      <ns0:c r="A441" s="5" t="n"/>
      <ns0:c r="B441" s="6" t="n"/>
      <ns0:c r="C441" s="6" t="n"/>
      <ns0:c r="D441" s="7" t="n"/>
      <ns0:c r="E441" s="7" t="n"/>
      <ns0:c r="F441" s="8" t="str">
        <ns0:f>IF(OR(B441="",J441&lt;&gt;"販売済み",E441="",C441=""),"",IFERROR(IF(OR(COUNTIF('手数料マスタ'!$A$5:$A$104,C441)&lt;&gt;1,COUNTIFS('手数料マスタ'!$A$5:$A$104,C441,'手数料マスタ'!$B$5:$B$104,"&lt;&gt;")&lt;&gt;1,NOT(ISNUMBER(VLOOKUP(C441,'手数料マスタ'!$A$5:$B$104,2,FALSE))),VLOOKUP(C441,'手数料マスタ'!$A$5:$B$104,2,FALSE)&lt;0,VLOOKUP(C441,'手数料マスタ'!$A$5:$B$104,2,FALSE)&gt;1),"要確認",ROUND(E441*VLOOKUP(C441,'手数料マスタ'!$A$5:$B$104,2,FALSE),0)),"要確認"))</ns0:f>
        <ns0:v/>
      </ns0:c>
      <ns0:c r="G441" s="7" t="n"/>
      <ns0:c r="H441" s="7" t="n"/>
      <ns0:c r="I441" s="8" t="str">
        <ns0:f>IF(OR(B441="",J441&lt;&gt;"販売済み",D441="",E441="",G441="",H441=""),"",IF(ISNUMBER(F441),E441-D441-F441-G441-H441,"要確認"))</ns0:f>
        <ns0:v/>
      </ns0:c>
      <ns0:c r="J441" s="6" t="n"/>
      <ns0:c r="K441" s="5" t="n"/>
      <ns0:c r="L441" s="9" t="str">
        <ns0:f>IF(AND(B441&lt;&gt;"",J441="在庫"),COUNTIFS($J$5:J441,"在庫",$B$5:B441,"&lt;&gt;"),"")</ns0:f>
        <ns0:v/>
      </ns0:c>
    </ns0:row>
    <ns0:row r="442">
      <ns0:c r="A442" s="5" t="n"/>
      <ns0:c r="B442" s="6" t="n"/>
      <ns0:c r="C442" s="6" t="n"/>
      <ns0:c r="D442" s="7" t="n"/>
      <ns0:c r="E442" s="7" t="n"/>
      <ns0:c r="F442" s="8" t="str">
        <ns0:f>IF(OR(B442="",J442&lt;&gt;"販売済み",E442="",C442=""),"",IFERROR(IF(OR(COUNTIF('手数料マスタ'!$A$5:$A$104,C442)&lt;&gt;1,COUNTIFS('手数料マスタ'!$A$5:$A$104,C442,'手数料マスタ'!$B$5:$B$104,"&lt;&gt;")&lt;&gt;1,NOT(ISNUMBER(VLOOKUP(C442,'手数料マスタ'!$A$5:$B$104,2,FALSE))),VLOOKUP(C442,'手数料マスタ'!$A$5:$B$104,2,FALSE)&lt;0,VLOOKUP(C442,'手数料マスタ'!$A$5:$B$104,2,FALSE)&gt;1),"要確認",ROUND(E442*VLOOKUP(C442,'手数料マスタ'!$A$5:$B$104,2,FALSE),0)),"要確認"))</ns0:f>
        <ns0:v/>
      </ns0:c>
      <ns0:c r="G442" s="7" t="n"/>
      <ns0:c r="H442" s="7" t="n"/>
      <ns0:c r="I442" s="8" t="str">
        <ns0:f>IF(OR(B442="",J442&lt;&gt;"販売済み",D442="",E442="",G442="",H442=""),"",IF(ISNUMBER(F442),E442-D442-F442-G442-H442,"要確認"))</ns0:f>
        <ns0:v/>
      </ns0:c>
      <ns0:c r="J442" s="6" t="n"/>
      <ns0:c r="K442" s="5" t="n"/>
      <ns0:c r="L442" s="9" t="str">
        <ns0:f>IF(AND(B442&lt;&gt;"",J442="在庫"),COUNTIFS($J$5:J442,"在庫",$B$5:B442,"&lt;&gt;"),"")</ns0:f>
        <ns0:v/>
      </ns0:c>
    </ns0:row>
    <ns0:row r="443">
      <ns0:c r="A443" s="5" t="n"/>
      <ns0:c r="B443" s="6" t="n"/>
      <ns0:c r="C443" s="6" t="n"/>
      <ns0:c r="D443" s="7" t="n"/>
      <ns0:c r="E443" s="7" t="n"/>
      <ns0:c r="F443" s="8" t="str">
        <ns0:f>IF(OR(B443="",J443&lt;&gt;"販売済み",E443="",C443=""),"",IFERROR(IF(OR(COUNTIF('手数料マスタ'!$A$5:$A$104,C443)&lt;&gt;1,COUNTIFS('手数料マスタ'!$A$5:$A$104,C443,'手数料マスタ'!$B$5:$B$104,"&lt;&gt;")&lt;&gt;1,NOT(ISNUMBER(VLOOKUP(C443,'手数料マスタ'!$A$5:$B$104,2,FALSE))),VLOOKUP(C443,'手数料マスタ'!$A$5:$B$104,2,FALSE)&lt;0,VLOOKUP(C443,'手数料マスタ'!$A$5:$B$104,2,FALSE)&gt;1),"要確認",ROUND(E443*VLOOKUP(C443,'手数料マスタ'!$A$5:$B$104,2,FALSE),0)),"要確認"))</ns0:f>
        <ns0:v/>
      </ns0:c>
      <ns0:c r="G443" s="7" t="n"/>
      <ns0:c r="H443" s="7" t="n"/>
      <ns0:c r="I443" s="8" t="str">
        <ns0:f>IF(OR(B443="",J443&lt;&gt;"販売済み",D443="",E443="",G443="",H443=""),"",IF(ISNUMBER(F443),E443-D443-F443-G443-H443,"要確認"))</ns0:f>
        <ns0:v/>
      </ns0:c>
      <ns0:c r="J443" s="6" t="n"/>
      <ns0:c r="K443" s="5" t="n"/>
      <ns0:c r="L443" s="9" t="str">
        <ns0:f>IF(AND(B443&lt;&gt;"",J443="在庫"),COUNTIFS($J$5:J443,"在庫",$B$5:B443,"&lt;&gt;"),"")</ns0:f>
        <ns0:v/>
      </ns0:c>
    </ns0:row>
    <ns0:row r="444">
      <ns0:c r="A444" s="5" t="n"/>
      <ns0:c r="B444" s="6" t="n"/>
      <ns0:c r="C444" s="6" t="n"/>
      <ns0:c r="D444" s="7" t="n"/>
      <ns0:c r="E444" s="7" t="n"/>
      <ns0:c r="F444" s="8" t="str">
        <ns0:f>IF(OR(B444="",J444&lt;&gt;"販売済み",E444="",C444=""),"",IFERROR(IF(OR(COUNTIF('手数料マスタ'!$A$5:$A$104,C444)&lt;&gt;1,COUNTIFS('手数料マスタ'!$A$5:$A$104,C444,'手数料マスタ'!$B$5:$B$104,"&lt;&gt;")&lt;&gt;1,NOT(ISNUMBER(VLOOKUP(C444,'手数料マスタ'!$A$5:$B$104,2,FALSE))),VLOOKUP(C444,'手数料マスタ'!$A$5:$B$104,2,FALSE)&lt;0,VLOOKUP(C444,'手数料マスタ'!$A$5:$B$104,2,FALSE)&gt;1),"要確認",ROUND(E444*VLOOKUP(C444,'手数料マスタ'!$A$5:$B$104,2,FALSE),0)),"要確認"))</ns0:f>
        <ns0:v/>
      </ns0:c>
      <ns0:c r="G444" s="7" t="n"/>
      <ns0:c r="H444" s="7" t="n"/>
      <ns0:c r="I444" s="8" t="str">
        <ns0:f>IF(OR(B444="",J444&lt;&gt;"販売済み",D444="",E444="",G444="",H444=""),"",IF(ISNUMBER(F444),E444-D444-F444-G444-H444,"要確認"))</ns0:f>
        <ns0:v/>
      </ns0:c>
      <ns0:c r="J444" s="6" t="n"/>
      <ns0:c r="K444" s="5" t="n"/>
      <ns0:c r="L444" s="9" t="str">
        <ns0:f>IF(AND(B444&lt;&gt;"",J444="在庫"),COUNTIFS($J$5:J444,"在庫",$B$5:B444,"&lt;&gt;"),"")</ns0:f>
        <ns0:v/>
      </ns0:c>
    </ns0:row>
    <ns0:row r="445">
      <ns0:c r="A445" s="5" t="n"/>
      <ns0:c r="B445" s="6" t="n"/>
      <ns0:c r="C445" s="6" t="n"/>
      <ns0:c r="D445" s="7" t="n"/>
      <ns0:c r="E445" s="7" t="n"/>
      <ns0:c r="F445" s="8" t="str">
        <ns0:f>IF(OR(B445="",J445&lt;&gt;"販売済み",E445="",C445=""),"",IFERROR(IF(OR(COUNTIF('手数料マスタ'!$A$5:$A$104,C445)&lt;&gt;1,COUNTIFS('手数料マスタ'!$A$5:$A$104,C445,'手数料マスタ'!$B$5:$B$104,"&lt;&gt;")&lt;&gt;1,NOT(ISNUMBER(VLOOKUP(C445,'手数料マスタ'!$A$5:$B$104,2,FALSE))),VLOOKUP(C445,'手数料マスタ'!$A$5:$B$104,2,FALSE)&lt;0,VLOOKUP(C445,'手数料マスタ'!$A$5:$B$104,2,FALSE)&gt;1),"要確認",ROUND(E445*VLOOKUP(C445,'手数料マスタ'!$A$5:$B$104,2,FALSE),0)),"要確認"))</ns0:f>
        <ns0:v/>
      </ns0:c>
      <ns0:c r="G445" s="7" t="n"/>
      <ns0:c r="H445" s="7" t="n"/>
      <ns0:c r="I445" s="8" t="str">
        <ns0:f>IF(OR(B445="",J445&lt;&gt;"販売済み",D445="",E445="",G445="",H445=""),"",IF(ISNUMBER(F445),E445-D445-F445-G445-H445,"要確認"))</ns0:f>
        <ns0:v/>
      </ns0:c>
      <ns0:c r="J445" s="6" t="n"/>
      <ns0:c r="K445" s="5" t="n"/>
      <ns0:c r="L445" s="9" t="str">
        <ns0:f>IF(AND(B445&lt;&gt;"",J445="在庫"),COUNTIFS($J$5:J445,"在庫",$B$5:B445,"&lt;&gt;"),"")</ns0:f>
        <ns0:v/>
      </ns0:c>
    </ns0:row>
    <ns0:row r="446">
      <ns0:c r="A446" s="5" t="n"/>
      <ns0:c r="B446" s="6" t="n"/>
      <ns0:c r="C446" s="6" t="n"/>
      <ns0:c r="D446" s="7" t="n"/>
      <ns0:c r="E446" s="7" t="n"/>
      <ns0:c r="F446" s="8" t="str">
        <ns0:f>IF(OR(B446="",J446&lt;&gt;"販売済み",E446="",C446=""),"",IFERROR(IF(OR(COUNTIF('手数料マスタ'!$A$5:$A$104,C446)&lt;&gt;1,COUNTIFS('手数料マスタ'!$A$5:$A$104,C446,'手数料マスタ'!$B$5:$B$104,"&lt;&gt;")&lt;&gt;1,NOT(ISNUMBER(VLOOKUP(C446,'手数料マスタ'!$A$5:$B$104,2,FALSE))),VLOOKUP(C446,'手数料マスタ'!$A$5:$B$104,2,FALSE)&lt;0,VLOOKUP(C446,'手数料マスタ'!$A$5:$B$104,2,FALSE)&gt;1),"要確認",ROUND(E446*VLOOKUP(C446,'手数料マスタ'!$A$5:$B$104,2,FALSE),0)),"要確認"))</ns0:f>
        <ns0:v/>
      </ns0:c>
      <ns0:c r="G446" s="7" t="n"/>
      <ns0:c r="H446" s="7" t="n"/>
      <ns0:c r="I446" s="8" t="str">
        <ns0:f>IF(OR(B446="",J446&lt;&gt;"販売済み",D446="",E446="",G446="",H446=""),"",IF(ISNUMBER(F446),E446-D446-F446-G446-H446,"要確認"))</ns0:f>
        <ns0:v/>
      </ns0:c>
      <ns0:c r="J446" s="6" t="n"/>
      <ns0:c r="K446" s="5" t="n"/>
      <ns0:c r="L446" s="9" t="str">
        <ns0:f>IF(AND(B446&lt;&gt;"",J446="在庫"),COUNTIFS($J$5:J446,"在庫",$B$5:B446,"&lt;&gt;"),"")</ns0:f>
        <ns0:v/>
      </ns0:c>
    </ns0:row>
    <ns0:row r="447">
      <ns0:c r="A447" s="5" t="n"/>
      <ns0:c r="B447" s="6" t="n"/>
      <ns0:c r="C447" s="6" t="n"/>
      <ns0:c r="D447" s="7" t="n"/>
      <ns0:c r="E447" s="7" t="n"/>
      <ns0:c r="F447" s="8" t="str">
        <ns0:f>IF(OR(B447="",J447&lt;&gt;"販売済み",E447="",C447=""),"",IFERROR(IF(OR(COUNTIF('手数料マスタ'!$A$5:$A$104,C447)&lt;&gt;1,COUNTIFS('手数料マスタ'!$A$5:$A$104,C447,'手数料マスタ'!$B$5:$B$104,"&lt;&gt;")&lt;&gt;1,NOT(ISNUMBER(VLOOKUP(C447,'手数料マスタ'!$A$5:$B$104,2,FALSE))),VLOOKUP(C447,'手数料マスタ'!$A$5:$B$104,2,FALSE)&lt;0,VLOOKUP(C447,'手数料マスタ'!$A$5:$B$104,2,FALSE)&gt;1),"要確認",ROUND(E447*VLOOKUP(C447,'手数料マスタ'!$A$5:$B$104,2,FALSE),0)),"要確認"))</ns0:f>
        <ns0:v/>
      </ns0:c>
      <ns0:c r="G447" s="7" t="n"/>
      <ns0:c r="H447" s="7" t="n"/>
      <ns0:c r="I447" s="8" t="str">
        <ns0:f>IF(OR(B447="",J447&lt;&gt;"販売済み",D447="",E447="",G447="",H447=""),"",IF(ISNUMBER(F447),E447-D447-F447-G447-H447,"要確認"))</ns0:f>
        <ns0:v/>
      </ns0:c>
      <ns0:c r="J447" s="6" t="n"/>
      <ns0:c r="K447" s="5" t="n"/>
      <ns0:c r="L447" s="9" t="str">
        <ns0:f>IF(AND(B447&lt;&gt;"",J447="在庫"),COUNTIFS($J$5:J447,"在庫",$B$5:B447,"&lt;&gt;"),"")</ns0:f>
        <ns0:v/>
      </ns0:c>
    </ns0:row>
    <ns0:row r="448">
      <ns0:c r="A448" s="5" t="n"/>
      <ns0:c r="B448" s="6" t="n"/>
      <ns0:c r="C448" s="6" t="n"/>
      <ns0:c r="D448" s="7" t="n"/>
      <ns0:c r="E448" s="7" t="n"/>
      <ns0:c r="F448" s="8" t="str">
        <ns0:f>IF(OR(B448="",J448&lt;&gt;"販売済み",E448="",C448=""),"",IFERROR(IF(OR(COUNTIF('手数料マスタ'!$A$5:$A$104,C448)&lt;&gt;1,COUNTIFS('手数料マスタ'!$A$5:$A$104,C448,'手数料マスタ'!$B$5:$B$104,"&lt;&gt;")&lt;&gt;1,NOT(ISNUMBER(VLOOKUP(C448,'手数料マスタ'!$A$5:$B$104,2,FALSE))),VLOOKUP(C448,'手数料マスタ'!$A$5:$B$104,2,FALSE)&lt;0,VLOOKUP(C448,'手数料マスタ'!$A$5:$B$104,2,FALSE)&gt;1),"要確認",ROUND(E448*VLOOKUP(C448,'手数料マスタ'!$A$5:$B$104,2,FALSE),0)),"要確認"))</ns0:f>
        <ns0:v/>
      </ns0:c>
      <ns0:c r="G448" s="7" t="n"/>
      <ns0:c r="H448" s="7" t="n"/>
      <ns0:c r="I448" s="8" t="str">
        <ns0:f>IF(OR(B448="",J448&lt;&gt;"販売済み",D448="",E448="",G448="",H448=""),"",IF(ISNUMBER(F448),E448-D448-F448-G448-H448,"要確認"))</ns0:f>
        <ns0:v/>
      </ns0:c>
      <ns0:c r="J448" s="6" t="n"/>
      <ns0:c r="K448" s="5" t="n"/>
      <ns0:c r="L448" s="9" t="str">
        <ns0:f>IF(AND(B448&lt;&gt;"",J448="在庫"),COUNTIFS($J$5:J448,"在庫",$B$5:B448,"&lt;&gt;"),"")</ns0:f>
        <ns0:v/>
      </ns0:c>
    </ns0:row>
    <ns0:row r="449">
      <ns0:c r="A449" s="5" t="n"/>
      <ns0:c r="B449" s="6" t="n"/>
      <ns0:c r="C449" s="6" t="n"/>
      <ns0:c r="D449" s="7" t="n"/>
      <ns0:c r="E449" s="7" t="n"/>
      <ns0:c r="F449" s="8" t="str">
        <ns0:f>IF(OR(B449="",J449&lt;&gt;"販売済み",E449="",C449=""),"",IFERROR(IF(OR(COUNTIF('手数料マスタ'!$A$5:$A$104,C449)&lt;&gt;1,COUNTIFS('手数料マスタ'!$A$5:$A$104,C449,'手数料マスタ'!$B$5:$B$104,"&lt;&gt;")&lt;&gt;1,NOT(ISNUMBER(VLOOKUP(C449,'手数料マスタ'!$A$5:$B$104,2,FALSE))),VLOOKUP(C449,'手数料マスタ'!$A$5:$B$104,2,FALSE)&lt;0,VLOOKUP(C449,'手数料マスタ'!$A$5:$B$104,2,FALSE)&gt;1),"要確認",ROUND(E449*VLOOKUP(C449,'手数料マスタ'!$A$5:$B$104,2,FALSE),0)),"要確認"))</ns0:f>
        <ns0:v/>
      </ns0:c>
      <ns0:c r="G449" s="7" t="n"/>
      <ns0:c r="H449" s="7" t="n"/>
      <ns0:c r="I449" s="8" t="str">
        <ns0:f>IF(OR(B449="",J449&lt;&gt;"販売済み",D449="",E449="",G449="",H449=""),"",IF(ISNUMBER(F449),E449-D449-F449-G449-H449,"要確認"))</ns0:f>
        <ns0:v/>
      </ns0:c>
      <ns0:c r="J449" s="6" t="n"/>
      <ns0:c r="K449" s="5" t="n"/>
      <ns0:c r="L449" s="9" t="str">
        <ns0:f>IF(AND(B449&lt;&gt;"",J449="在庫"),COUNTIFS($J$5:J449,"在庫",$B$5:B449,"&lt;&gt;"),"")</ns0:f>
        <ns0:v/>
      </ns0:c>
    </ns0:row>
    <ns0:row r="450">
      <ns0:c r="A450" s="5" t="n"/>
      <ns0:c r="B450" s="6" t="n"/>
      <ns0:c r="C450" s="6" t="n"/>
      <ns0:c r="D450" s="7" t="n"/>
      <ns0:c r="E450" s="7" t="n"/>
      <ns0:c r="F450" s="8" t="str">
        <ns0:f>IF(OR(B450="",J450&lt;&gt;"販売済み",E450="",C450=""),"",IFERROR(IF(OR(COUNTIF('手数料マスタ'!$A$5:$A$104,C450)&lt;&gt;1,COUNTIFS('手数料マスタ'!$A$5:$A$104,C450,'手数料マスタ'!$B$5:$B$104,"&lt;&gt;")&lt;&gt;1,NOT(ISNUMBER(VLOOKUP(C450,'手数料マスタ'!$A$5:$B$104,2,FALSE))),VLOOKUP(C450,'手数料マスタ'!$A$5:$B$104,2,FALSE)&lt;0,VLOOKUP(C450,'手数料マスタ'!$A$5:$B$104,2,FALSE)&gt;1),"要確認",ROUND(E450*VLOOKUP(C450,'手数料マスタ'!$A$5:$B$104,2,FALSE),0)),"要確認"))</ns0:f>
        <ns0:v/>
      </ns0:c>
      <ns0:c r="G450" s="7" t="n"/>
      <ns0:c r="H450" s="7" t="n"/>
      <ns0:c r="I450" s="8" t="str">
        <ns0:f>IF(OR(B450="",J450&lt;&gt;"販売済み",D450="",E450="",G450="",H450=""),"",IF(ISNUMBER(F450),E450-D450-F450-G450-H450,"要確認"))</ns0:f>
        <ns0:v/>
      </ns0:c>
      <ns0:c r="J450" s="6" t="n"/>
      <ns0:c r="K450" s="5" t="n"/>
      <ns0:c r="L450" s="9" t="str">
        <ns0:f>IF(AND(B450&lt;&gt;"",J450="在庫"),COUNTIFS($J$5:J450,"在庫",$B$5:B450,"&lt;&gt;"),"")</ns0:f>
        <ns0:v/>
      </ns0:c>
    </ns0:row>
    <ns0:row r="451">
      <ns0:c r="A451" s="5" t="n"/>
      <ns0:c r="B451" s="6" t="n"/>
      <ns0:c r="C451" s="6" t="n"/>
      <ns0:c r="D451" s="7" t="n"/>
      <ns0:c r="E451" s="7" t="n"/>
      <ns0:c r="F451" s="8" t="str">
        <ns0:f>IF(OR(B451="",J451&lt;&gt;"販売済み",E451="",C451=""),"",IFERROR(IF(OR(COUNTIF('手数料マスタ'!$A$5:$A$104,C451)&lt;&gt;1,COUNTIFS('手数料マスタ'!$A$5:$A$104,C451,'手数料マスタ'!$B$5:$B$104,"&lt;&gt;")&lt;&gt;1,NOT(ISNUMBER(VLOOKUP(C451,'手数料マスタ'!$A$5:$B$104,2,FALSE))),VLOOKUP(C451,'手数料マスタ'!$A$5:$B$104,2,FALSE)&lt;0,VLOOKUP(C451,'手数料マスタ'!$A$5:$B$104,2,FALSE)&gt;1),"要確認",ROUND(E451*VLOOKUP(C451,'手数料マスタ'!$A$5:$B$104,2,FALSE),0)),"要確認"))</ns0:f>
        <ns0:v/>
      </ns0:c>
      <ns0:c r="G451" s="7" t="n"/>
      <ns0:c r="H451" s="7" t="n"/>
      <ns0:c r="I451" s="8" t="str">
        <ns0:f>IF(OR(B451="",J451&lt;&gt;"販売済み",D451="",E451="",G451="",H451=""),"",IF(ISNUMBER(F451),E451-D451-F451-G451-H451,"要確認"))</ns0:f>
        <ns0:v/>
      </ns0:c>
      <ns0:c r="J451" s="6" t="n"/>
      <ns0:c r="K451" s="5" t="n"/>
      <ns0:c r="L451" s="9" t="str">
        <ns0:f>IF(AND(B451&lt;&gt;"",J451="在庫"),COUNTIFS($J$5:J451,"在庫",$B$5:B451,"&lt;&gt;"),"")</ns0:f>
        <ns0:v/>
      </ns0:c>
    </ns0:row>
    <ns0:row r="452">
      <ns0:c r="A452" s="5" t="n"/>
      <ns0:c r="B452" s="6" t="n"/>
      <ns0:c r="C452" s="6" t="n"/>
      <ns0:c r="D452" s="7" t="n"/>
      <ns0:c r="E452" s="7" t="n"/>
      <ns0:c r="F452" s="8" t="str">
        <ns0:f>IF(OR(B452="",J452&lt;&gt;"販売済み",E452="",C452=""),"",IFERROR(IF(OR(COUNTIF('手数料マスタ'!$A$5:$A$104,C452)&lt;&gt;1,COUNTIFS('手数料マスタ'!$A$5:$A$104,C452,'手数料マスタ'!$B$5:$B$104,"&lt;&gt;")&lt;&gt;1,NOT(ISNUMBER(VLOOKUP(C452,'手数料マスタ'!$A$5:$B$104,2,FALSE))),VLOOKUP(C452,'手数料マスタ'!$A$5:$B$104,2,FALSE)&lt;0,VLOOKUP(C452,'手数料マスタ'!$A$5:$B$104,2,FALSE)&gt;1),"要確認",ROUND(E452*VLOOKUP(C452,'手数料マスタ'!$A$5:$B$104,2,FALSE),0)),"要確認"))</ns0:f>
        <ns0:v/>
      </ns0:c>
      <ns0:c r="G452" s="7" t="n"/>
      <ns0:c r="H452" s="7" t="n"/>
      <ns0:c r="I452" s="8" t="str">
        <ns0:f>IF(OR(B452="",J452&lt;&gt;"販売済み",D452="",E452="",G452="",H452=""),"",IF(ISNUMBER(F452),E452-D452-F452-G452-H452,"要確認"))</ns0:f>
        <ns0:v/>
      </ns0:c>
      <ns0:c r="J452" s="6" t="n"/>
      <ns0:c r="K452" s="5" t="n"/>
      <ns0:c r="L452" s="9" t="str">
        <ns0:f>IF(AND(B452&lt;&gt;"",J452="在庫"),COUNTIFS($J$5:J452,"在庫",$B$5:B452,"&lt;&gt;"),"")</ns0:f>
        <ns0:v/>
      </ns0:c>
    </ns0:row>
    <ns0:row r="453">
      <ns0:c r="A453" s="5" t="n"/>
      <ns0:c r="B453" s="6" t="n"/>
      <ns0:c r="C453" s="6" t="n"/>
      <ns0:c r="D453" s="7" t="n"/>
      <ns0:c r="E453" s="7" t="n"/>
      <ns0:c r="F453" s="8" t="str">
        <ns0:f>IF(OR(B453="",J453&lt;&gt;"販売済み",E453="",C453=""),"",IFERROR(IF(OR(COUNTIF('手数料マスタ'!$A$5:$A$104,C453)&lt;&gt;1,COUNTIFS('手数料マスタ'!$A$5:$A$104,C453,'手数料マスタ'!$B$5:$B$104,"&lt;&gt;")&lt;&gt;1,NOT(ISNUMBER(VLOOKUP(C453,'手数料マスタ'!$A$5:$B$104,2,FALSE))),VLOOKUP(C453,'手数料マスタ'!$A$5:$B$104,2,FALSE)&lt;0,VLOOKUP(C453,'手数料マスタ'!$A$5:$B$104,2,FALSE)&gt;1),"要確認",ROUND(E453*VLOOKUP(C453,'手数料マスタ'!$A$5:$B$104,2,FALSE),0)),"要確認"))</ns0:f>
        <ns0:v/>
      </ns0:c>
      <ns0:c r="G453" s="7" t="n"/>
      <ns0:c r="H453" s="7" t="n"/>
      <ns0:c r="I453" s="8" t="str">
        <ns0:f>IF(OR(B453="",J453&lt;&gt;"販売済み",D453="",E453="",G453="",H453=""),"",IF(ISNUMBER(F453),E453-D453-F453-G453-H453,"要確認"))</ns0:f>
        <ns0:v/>
      </ns0:c>
      <ns0:c r="J453" s="6" t="n"/>
      <ns0:c r="K453" s="5" t="n"/>
      <ns0:c r="L453" s="9" t="str">
        <ns0:f>IF(AND(B453&lt;&gt;"",J453="在庫"),COUNTIFS($J$5:J453,"在庫",$B$5:B453,"&lt;&gt;"),"")</ns0:f>
        <ns0:v/>
      </ns0:c>
    </ns0:row>
    <ns0:row r="454">
      <ns0:c r="A454" s="5" t="n"/>
      <ns0:c r="B454" s="6" t="n"/>
      <ns0:c r="C454" s="6" t="n"/>
      <ns0:c r="D454" s="7" t="n"/>
      <ns0:c r="E454" s="7" t="n"/>
      <ns0:c r="F454" s="8" t="str">
        <ns0:f>IF(OR(B454="",J454&lt;&gt;"販売済み",E454="",C454=""),"",IFERROR(IF(OR(COUNTIF('手数料マスタ'!$A$5:$A$104,C454)&lt;&gt;1,COUNTIFS('手数料マスタ'!$A$5:$A$104,C454,'手数料マスタ'!$B$5:$B$104,"&lt;&gt;")&lt;&gt;1,NOT(ISNUMBER(VLOOKUP(C454,'手数料マスタ'!$A$5:$B$104,2,FALSE))),VLOOKUP(C454,'手数料マスタ'!$A$5:$B$104,2,FALSE)&lt;0,VLOOKUP(C454,'手数料マスタ'!$A$5:$B$104,2,FALSE)&gt;1),"要確認",ROUND(E454*VLOOKUP(C454,'手数料マスタ'!$A$5:$B$104,2,FALSE),0)),"要確認"))</ns0:f>
        <ns0:v/>
      </ns0:c>
      <ns0:c r="G454" s="7" t="n"/>
      <ns0:c r="H454" s="7" t="n"/>
      <ns0:c r="I454" s="8" t="str">
        <ns0:f>IF(OR(B454="",J454&lt;&gt;"販売済み",D454="",E454="",G454="",H454=""),"",IF(ISNUMBER(F454),E454-D454-F454-G454-H454,"要確認"))</ns0:f>
        <ns0:v/>
      </ns0:c>
      <ns0:c r="J454" s="6" t="n"/>
      <ns0:c r="K454" s="5" t="n"/>
      <ns0:c r="L454" s="9" t="str">
        <ns0:f>IF(AND(B454&lt;&gt;"",J454="在庫"),COUNTIFS($J$5:J454,"在庫",$B$5:B454,"&lt;&gt;"),"")</ns0:f>
        <ns0:v/>
      </ns0:c>
    </ns0:row>
    <ns0:row r="455">
      <ns0:c r="A455" s="5" t="n"/>
      <ns0:c r="B455" s="6" t="n"/>
      <ns0:c r="C455" s="6" t="n"/>
      <ns0:c r="D455" s="7" t="n"/>
      <ns0:c r="E455" s="7" t="n"/>
      <ns0:c r="F455" s="8" t="str">
        <ns0:f>IF(OR(B455="",J455&lt;&gt;"販売済み",E455="",C455=""),"",IFERROR(IF(OR(COUNTIF('手数料マスタ'!$A$5:$A$104,C455)&lt;&gt;1,COUNTIFS('手数料マスタ'!$A$5:$A$104,C455,'手数料マスタ'!$B$5:$B$104,"&lt;&gt;")&lt;&gt;1,NOT(ISNUMBER(VLOOKUP(C455,'手数料マスタ'!$A$5:$B$104,2,FALSE))),VLOOKUP(C455,'手数料マスタ'!$A$5:$B$104,2,FALSE)&lt;0,VLOOKUP(C455,'手数料マスタ'!$A$5:$B$104,2,FALSE)&gt;1),"要確認",ROUND(E455*VLOOKUP(C455,'手数料マスタ'!$A$5:$B$104,2,FALSE),0)),"要確認"))</ns0:f>
        <ns0:v/>
      </ns0:c>
      <ns0:c r="G455" s="7" t="n"/>
      <ns0:c r="H455" s="7" t="n"/>
      <ns0:c r="I455" s="8" t="str">
        <ns0:f>IF(OR(B455="",J455&lt;&gt;"販売済み",D455="",E455="",G455="",H455=""),"",IF(ISNUMBER(F455),E455-D455-F455-G455-H455,"要確認"))</ns0:f>
        <ns0:v/>
      </ns0:c>
      <ns0:c r="J455" s="6" t="n"/>
      <ns0:c r="K455" s="5" t="n"/>
      <ns0:c r="L455" s="9" t="str">
        <ns0:f>IF(AND(B455&lt;&gt;"",J455="在庫"),COUNTIFS($J$5:J455,"在庫",$B$5:B455,"&lt;&gt;"),"")</ns0:f>
        <ns0:v/>
      </ns0:c>
    </ns0:row>
    <ns0:row r="456">
      <ns0:c r="A456" s="5" t="n"/>
      <ns0:c r="B456" s="6" t="n"/>
      <ns0:c r="C456" s="6" t="n"/>
      <ns0:c r="D456" s="7" t="n"/>
      <ns0:c r="E456" s="7" t="n"/>
      <ns0:c r="F456" s="8" t="str">
        <ns0:f>IF(OR(B456="",J456&lt;&gt;"販売済み",E456="",C456=""),"",IFERROR(IF(OR(COUNTIF('手数料マスタ'!$A$5:$A$104,C456)&lt;&gt;1,COUNTIFS('手数料マスタ'!$A$5:$A$104,C456,'手数料マスタ'!$B$5:$B$104,"&lt;&gt;")&lt;&gt;1,NOT(ISNUMBER(VLOOKUP(C456,'手数料マスタ'!$A$5:$B$104,2,FALSE))),VLOOKUP(C456,'手数料マスタ'!$A$5:$B$104,2,FALSE)&lt;0,VLOOKUP(C456,'手数料マスタ'!$A$5:$B$104,2,FALSE)&gt;1),"要確認",ROUND(E456*VLOOKUP(C456,'手数料マスタ'!$A$5:$B$104,2,FALSE),0)),"要確認"))</ns0:f>
        <ns0:v/>
      </ns0:c>
      <ns0:c r="G456" s="7" t="n"/>
      <ns0:c r="H456" s="7" t="n"/>
      <ns0:c r="I456" s="8" t="str">
        <ns0:f>IF(OR(B456="",J456&lt;&gt;"販売済み",D456="",E456="",G456="",H456=""),"",IF(ISNUMBER(F456),E456-D456-F456-G456-H456,"要確認"))</ns0:f>
        <ns0:v/>
      </ns0:c>
      <ns0:c r="J456" s="6" t="n"/>
      <ns0:c r="K456" s="5" t="n"/>
      <ns0:c r="L456" s="9" t="str">
        <ns0:f>IF(AND(B456&lt;&gt;"",J456="在庫"),COUNTIFS($J$5:J456,"在庫",$B$5:B456,"&lt;&gt;"),"")</ns0:f>
        <ns0:v/>
      </ns0:c>
    </ns0:row>
    <ns0:row r="457">
      <ns0:c r="A457" s="5" t="n"/>
      <ns0:c r="B457" s="6" t="n"/>
      <ns0:c r="C457" s="6" t="n"/>
      <ns0:c r="D457" s="7" t="n"/>
      <ns0:c r="E457" s="7" t="n"/>
      <ns0:c r="F457" s="8" t="str">
        <ns0:f>IF(OR(B457="",J457&lt;&gt;"販売済み",E457="",C457=""),"",IFERROR(IF(OR(COUNTIF('手数料マスタ'!$A$5:$A$104,C457)&lt;&gt;1,COUNTIFS('手数料マスタ'!$A$5:$A$104,C457,'手数料マスタ'!$B$5:$B$104,"&lt;&gt;")&lt;&gt;1,NOT(ISNUMBER(VLOOKUP(C457,'手数料マスタ'!$A$5:$B$104,2,FALSE))),VLOOKUP(C457,'手数料マスタ'!$A$5:$B$104,2,FALSE)&lt;0,VLOOKUP(C457,'手数料マスタ'!$A$5:$B$104,2,FALSE)&gt;1),"要確認",ROUND(E457*VLOOKUP(C457,'手数料マスタ'!$A$5:$B$104,2,FALSE),0)),"要確認"))</ns0:f>
        <ns0:v/>
      </ns0:c>
      <ns0:c r="G457" s="7" t="n"/>
      <ns0:c r="H457" s="7" t="n"/>
      <ns0:c r="I457" s="8" t="str">
        <ns0:f>IF(OR(B457="",J457&lt;&gt;"販売済み",D457="",E457="",G457="",H457=""),"",IF(ISNUMBER(F457),E457-D457-F457-G457-H457,"要確認"))</ns0:f>
        <ns0:v/>
      </ns0:c>
      <ns0:c r="J457" s="6" t="n"/>
      <ns0:c r="K457" s="5" t="n"/>
      <ns0:c r="L457" s="9" t="str">
        <ns0:f>IF(AND(B457&lt;&gt;"",J457="在庫"),COUNTIFS($J$5:J457,"在庫",$B$5:B457,"&lt;&gt;"),"")</ns0:f>
        <ns0:v/>
      </ns0:c>
    </ns0:row>
    <ns0:row r="458">
      <ns0:c r="A458" s="5" t="n"/>
      <ns0:c r="B458" s="6" t="n"/>
      <ns0:c r="C458" s="6" t="n"/>
      <ns0:c r="D458" s="7" t="n"/>
      <ns0:c r="E458" s="7" t="n"/>
      <ns0:c r="F458" s="8" t="str">
        <ns0:f>IF(OR(B458="",J458&lt;&gt;"販売済み",E458="",C458=""),"",IFERROR(IF(OR(COUNTIF('手数料マスタ'!$A$5:$A$104,C458)&lt;&gt;1,COUNTIFS('手数料マスタ'!$A$5:$A$104,C458,'手数料マスタ'!$B$5:$B$104,"&lt;&gt;")&lt;&gt;1,NOT(ISNUMBER(VLOOKUP(C458,'手数料マスタ'!$A$5:$B$104,2,FALSE))),VLOOKUP(C458,'手数料マスタ'!$A$5:$B$104,2,FALSE)&lt;0,VLOOKUP(C458,'手数料マスタ'!$A$5:$B$104,2,FALSE)&gt;1),"要確認",ROUND(E458*VLOOKUP(C458,'手数料マスタ'!$A$5:$B$104,2,FALSE),0)),"要確認"))</ns0:f>
        <ns0:v/>
      </ns0:c>
      <ns0:c r="G458" s="7" t="n"/>
      <ns0:c r="H458" s="7" t="n"/>
      <ns0:c r="I458" s="8" t="str">
        <ns0:f>IF(OR(B458="",J458&lt;&gt;"販売済み",D458="",E458="",G458="",H458=""),"",IF(ISNUMBER(F458),E458-D458-F458-G458-H458,"要確認"))</ns0:f>
        <ns0:v/>
      </ns0:c>
      <ns0:c r="J458" s="6" t="n"/>
      <ns0:c r="K458" s="5" t="n"/>
      <ns0:c r="L458" s="9" t="str">
        <ns0:f>IF(AND(B458&lt;&gt;"",J458="在庫"),COUNTIFS($J$5:J458,"在庫",$B$5:B458,"&lt;&gt;"),"")</ns0:f>
        <ns0:v/>
      </ns0:c>
    </ns0:row>
    <ns0:row r="459">
      <ns0:c r="A459" s="5" t="n"/>
      <ns0:c r="B459" s="6" t="n"/>
      <ns0:c r="C459" s="6" t="n"/>
      <ns0:c r="D459" s="7" t="n"/>
      <ns0:c r="E459" s="7" t="n"/>
      <ns0:c r="F459" s="8" t="str">
        <ns0:f>IF(OR(B459="",J459&lt;&gt;"販売済み",E459="",C459=""),"",IFERROR(IF(OR(COUNTIF('手数料マスタ'!$A$5:$A$104,C459)&lt;&gt;1,COUNTIFS('手数料マスタ'!$A$5:$A$104,C459,'手数料マスタ'!$B$5:$B$104,"&lt;&gt;")&lt;&gt;1,NOT(ISNUMBER(VLOOKUP(C459,'手数料マスタ'!$A$5:$B$104,2,FALSE))),VLOOKUP(C459,'手数料マスタ'!$A$5:$B$104,2,FALSE)&lt;0,VLOOKUP(C459,'手数料マスタ'!$A$5:$B$104,2,FALSE)&gt;1),"要確認",ROUND(E459*VLOOKUP(C459,'手数料マスタ'!$A$5:$B$104,2,FALSE),0)),"要確認"))</ns0:f>
        <ns0:v/>
      </ns0:c>
      <ns0:c r="G459" s="7" t="n"/>
      <ns0:c r="H459" s="7" t="n"/>
      <ns0:c r="I459" s="8" t="str">
        <ns0:f>IF(OR(B459="",J459&lt;&gt;"販売済み",D459="",E459="",G459="",H459=""),"",IF(ISNUMBER(F459),E459-D459-F459-G459-H459,"要確認"))</ns0:f>
        <ns0:v/>
      </ns0:c>
      <ns0:c r="J459" s="6" t="n"/>
      <ns0:c r="K459" s="5" t="n"/>
      <ns0:c r="L459" s="9" t="str">
        <ns0:f>IF(AND(B459&lt;&gt;"",J459="在庫"),COUNTIFS($J$5:J459,"在庫",$B$5:B459,"&lt;&gt;"),"")</ns0:f>
        <ns0:v/>
      </ns0:c>
    </ns0:row>
    <ns0:row r="460">
      <ns0:c r="A460" s="5" t="n"/>
      <ns0:c r="B460" s="6" t="n"/>
      <ns0:c r="C460" s="6" t="n"/>
      <ns0:c r="D460" s="7" t="n"/>
      <ns0:c r="E460" s="7" t="n"/>
      <ns0:c r="F460" s="8" t="str">
        <ns0:f>IF(OR(B460="",J460&lt;&gt;"販売済み",E460="",C460=""),"",IFERROR(IF(OR(COUNTIF('手数料マスタ'!$A$5:$A$104,C460)&lt;&gt;1,COUNTIFS('手数料マスタ'!$A$5:$A$104,C460,'手数料マスタ'!$B$5:$B$104,"&lt;&gt;")&lt;&gt;1,NOT(ISNUMBER(VLOOKUP(C460,'手数料マスタ'!$A$5:$B$104,2,FALSE))),VLOOKUP(C460,'手数料マスタ'!$A$5:$B$104,2,FALSE)&lt;0,VLOOKUP(C460,'手数料マスタ'!$A$5:$B$104,2,FALSE)&gt;1),"要確認",ROUND(E460*VLOOKUP(C460,'手数料マスタ'!$A$5:$B$104,2,FALSE),0)),"要確認"))</ns0:f>
        <ns0:v/>
      </ns0:c>
      <ns0:c r="G460" s="7" t="n"/>
      <ns0:c r="H460" s="7" t="n"/>
      <ns0:c r="I460" s="8" t="str">
        <ns0:f>IF(OR(B460="",J460&lt;&gt;"販売済み",D460="",E460="",G460="",H460=""),"",IF(ISNUMBER(F460),E460-D460-F460-G460-H460,"要確認"))</ns0:f>
        <ns0:v/>
      </ns0:c>
      <ns0:c r="J460" s="6" t="n"/>
      <ns0:c r="K460" s="5" t="n"/>
      <ns0:c r="L460" s="9" t="str">
        <ns0:f>IF(AND(B460&lt;&gt;"",J460="在庫"),COUNTIFS($J$5:J460,"在庫",$B$5:B460,"&lt;&gt;"),"")</ns0:f>
        <ns0:v/>
      </ns0:c>
    </ns0:row>
    <ns0:row r="461">
      <ns0:c r="A461" s="5" t="n"/>
      <ns0:c r="B461" s="6" t="n"/>
      <ns0:c r="C461" s="6" t="n"/>
      <ns0:c r="D461" s="7" t="n"/>
      <ns0:c r="E461" s="7" t="n"/>
      <ns0:c r="F461" s="8" t="str">
        <ns0:f>IF(OR(B461="",J461&lt;&gt;"販売済み",E461="",C461=""),"",IFERROR(IF(OR(COUNTIF('手数料マスタ'!$A$5:$A$104,C461)&lt;&gt;1,COUNTIFS('手数料マスタ'!$A$5:$A$104,C461,'手数料マスタ'!$B$5:$B$104,"&lt;&gt;")&lt;&gt;1,NOT(ISNUMBER(VLOOKUP(C461,'手数料マスタ'!$A$5:$B$104,2,FALSE))),VLOOKUP(C461,'手数料マスタ'!$A$5:$B$104,2,FALSE)&lt;0,VLOOKUP(C461,'手数料マスタ'!$A$5:$B$104,2,FALSE)&gt;1),"要確認",ROUND(E461*VLOOKUP(C461,'手数料マスタ'!$A$5:$B$104,2,FALSE),0)),"要確認"))</ns0:f>
        <ns0:v/>
      </ns0:c>
      <ns0:c r="G461" s="7" t="n"/>
      <ns0:c r="H461" s="7" t="n"/>
      <ns0:c r="I461" s="8" t="str">
        <ns0:f>IF(OR(B461="",J461&lt;&gt;"販売済み",D461="",E461="",G461="",H461=""),"",IF(ISNUMBER(F461),E461-D461-F461-G461-H461,"要確認"))</ns0:f>
        <ns0:v/>
      </ns0:c>
      <ns0:c r="J461" s="6" t="n"/>
      <ns0:c r="K461" s="5" t="n"/>
      <ns0:c r="L461" s="9" t="str">
        <ns0:f>IF(AND(B461&lt;&gt;"",J461="在庫"),COUNTIFS($J$5:J461,"在庫",$B$5:B461,"&lt;&gt;"),"")</ns0:f>
        <ns0:v/>
      </ns0:c>
    </ns0:row>
    <ns0:row r="462">
      <ns0:c r="A462" s="5" t="n"/>
      <ns0:c r="B462" s="6" t="n"/>
      <ns0:c r="C462" s="6" t="n"/>
      <ns0:c r="D462" s="7" t="n"/>
      <ns0:c r="E462" s="7" t="n"/>
      <ns0:c r="F462" s="8" t="str">
        <ns0:f>IF(OR(B462="",J462&lt;&gt;"販売済み",E462="",C462=""),"",IFERROR(IF(OR(COUNTIF('手数料マスタ'!$A$5:$A$104,C462)&lt;&gt;1,COUNTIFS('手数料マスタ'!$A$5:$A$104,C462,'手数料マスタ'!$B$5:$B$104,"&lt;&gt;")&lt;&gt;1,NOT(ISNUMBER(VLOOKUP(C462,'手数料マスタ'!$A$5:$B$104,2,FALSE))),VLOOKUP(C462,'手数料マスタ'!$A$5:$B$104,2,FALSE)&lt;0,VLOOKUP(C462,'手数料マスタ'!$A$5:$B$104,2,FALSE)&gt;1),"要確認",ROUND(E462*VLOOKUP(C462,'手数料マスタ'!$A$5:$B$104,2,FALSE),0)),"要確認"))</ns0:f>
        <ns0:v/>
      </ns0:c>
      <ns0:c r="G462" s="7" t="n"/>
      <ns0:c r="H462" s="7" t="n"/>
      <ns0:c r="I462" s="8" t="str">
        <ns0:f>IF(OR(B462="",J462&lt;&gt;"販売済み",D462="",E462="",G462="",H462=""),"",IF(ISNUMBER(F462),E462-D462-F462-G462-H462,"要確認"))</ns0:f>
        <ns0:v/>
      </ns0:c>
      <ns0:c r="J462" s="6" t="n"/>
      <ns0:c r="K462" s="5" t="n"/>
      <ns0:c r="L462" s="9" t="str">
        <ns0:f>IF(AND(B462&lt;&gt;"",J462="在庫"),COUNTIFS($J$5:J462,"在庫",$B$5:B462,"&lt;&gt;"),"")</ns0:f>
        <ns0:v/>
      </ns0:c>
    </ns0:row>
    <ns0:row r="463">
      <ns0:c r="A463" s="5" t="n"/>
      <ns0:c r="B463" s="6" t="n"/>
      <ns0:c r="C463" s="6" t="n"/>
      <ns0:c r="D463" s="7" t="n"/>
      <ns0:c r="E463" s="7" t="n"/>
      <ns0:c r="F463" s="8" t="str">
        <ns0:f>IF(OR(B463="",J463&lt;&gt;"販売済み",E463="",C463=""),"",IFERROR(IF(OR(COUNTIF('手数料マスタ'!$A$5:$A$104,C463)&lt;&gt;1,COUNTIFS('手数料マスタ'!$A$5:$A$104,C463,'手数料マスタ'!$B$5:$B$104,"&lt;&gt;")&lt;&gt;1,NOT(ISNUMBER(VLOOKUP(C463,'手数料マスタ'!$A$5:$B$104,2,FALSE))),VLOOKUP(C463,'手数料マスタ'!$A$5:$B$104,2,FALSE)&lt;0,VLOOKUP(C463,'手数料マスタ'!$A$5:$B$104,2,FALSE)&gt;1),"要確認",ROUND(E463*VLOOKUP(C463,'手数料マスタ'!$A$5:$B$104,2,FALSE),0)),"要確認"))</ns0:f>
        <ns0:v/>
      </ns0:c>
      <ns0:c r="G463" s="7" t="n"/>
      <ns0:c r="H463" s="7" t="n"/>
      <ns0:c r="I463" s="8" t="str">
        <ns0:f>IF(OR(B463="",J463&lt;&gt;"販売済み",D463="",E463="",G463="",H463=""),"",IF(ISNUMBER(F463),E463-D463-F463-G463-H463,"要確認"))</ns0:f>
        <ns0:v/>
      </ns0:c>
      <ns0:c r="J463" s="6" t="n"/>
      <ns0:c r="K463" s="5" t="n"/>
      <ns0:c r="L463" s="9" t="str">
        <ns0:f>IF(AND(B463&lt;&gt;"",J463="在庫"),COUNTIFS($J$5:J463,"在庫",$B$5:B463,"&lt;&gt;"),"")</ns0:f>
        <ns0:v/>
      </ns0:c>
    </ns0:row>
    <ns0:row r="464">
      <ns0:c r="A464" s="5" t="n"/>
      <ns0:c r="B464" s="6" t="n"/>
      <ns0:c r="C464" s="6" t="n"/>
      <ns0:c r="D464" s="7" t="n"/>
      <ns0:c r="E464" s="7" t="n"/>
      <ns0:c r="F464" s="8" t="str">
        <ns0:f>IF(OR(B464="",J464&lt;&gt;"販売済み",E464="",C464=""),"",IFERROR(IF(OR(COUNTIF('手数料マスタ'!$A$5:$A$104,C464)&lt;&gt;1,COUNTIFS('手数料マスタ'!$A$5:$A$104,C464,'手数料マスタ'!$B$5:$B$104,"&lt;&gt;")&lt;&gt;1,NOT(ISNUMBER(VLOOKUP(C464,'手数料マスタ'!$A$5:$B$104,2,FALSE))),VLOOKUP(C464,'手数料マスタ'!$A$5:$B$104,2,FALSE)&lt;0,VLOOKUP(C464,'手数料マスタ'!$A$5:$B$104,2,FALSE)&gt;1),"要確認",ROUND(E464*VLOOKUP(C464,'手数料マスタ'!$A$5:$B$104,2,FALSE),0)),"要確認"))</ns0:f>
        <ns0:v/>
      </ns0:c>
      <ns0:c r="G464" s="7" t="n"/>
      <ns0:c r="H464" s="7" t="n"/>
      <ns0:c r="I464" s="8" t="str">
        <ns0:f>IF(OR(B464="",J464&lt;&gt;"販売済み",D464="",E464="",G464="",H464=""),"",IF(ISNUMBER(F464),E464-D464-F464-G464-H464,"要確認"))</ns0:f>
        <ns0:v/>
      </ns0:c>
      <ns0:c r="J464" s="6" t="n"/>
      <ns0:c r="K464" s="5" t="n"/>
      <ns0:c r="L464" s="9" t="str">
        <ns0:f>IF(AND(B464&lt;&gt;"",J464="在庫"),COUNTIFS($J$5:J464,"在庫",$B$5:B464,"&lt;&gt;"),"")</ns0:f>
        <ns0:v/>
      </ns0:c>
    </ns0:row>
    <ns0:row r="465">
      <ns0:c r="A465" s="5" t="n"/>
      <ns0:c r="B465" s="6" t="n"/>
      <ns0:c r="C465" s="6" t="n"/>
      <ns0:c r="D465" s="7" t="n"/>
      <ns0:c r="E465" s="7" t="n"/>
      <ns0:c r="F465" s="8" t="str">
        <ns0:f>IF(OR(B465="",J465&lt;&gt;"販売済み",E465="",C465=""),"",IFERROR(IF(OR(COUNTIF('手数料マスタ'!$A$5:$A$104,C465)&lt;&gt;1,COUNTIFS('手数料マスタ'!$A$5:$A$104,C465,'手数料マスタ'!$B$5:$B$104,"&lt;&gt;")&lt;&gt;1,NOT(ISNUMBER(VLOOKUP(C465,'手数料マスタ'!$A$5:$B$104,2,FALSE))),VLOOKUP(C465,'手数料マスタ'!$A$5:$B$104,2,FALSE)&lt;0,VLOOKUP(C465,'手数料マスタ'!$A$5:$B$104,2,FALSE)&gt;1),"要確認",ROUND(E465*VLOOKUP(C465,'手数料マスタ'!$A$5:$B$104,2,FALSE),0)),"要確認"))</ns0:f>
        <ns0:v/>
      </ns0:c>
      <ns0:c r="G465" s="7" t="n"/>
      <ns0:c r="H465" s="7" t="n"/>
      <ns0:c r="I465" s="8" t="str">
        <ns0:f>IF(OR(B465="",J465&lt;&gt;"販売済み",D465="",E465="",G465="",H465=""),"",IF(ISNUMBER(F465),E465-D465-F465-G465-H465,"要確認"))</ns0:f>
        <ns0:v/>
      </ns0:c>
      <ns0:c r="J465" s="6" t="n"/>
      <ns0:c r="K465" s="5" t="n"/>
      <ns0:c r="L465" s="9" t="str">
        <ns0:f>IF(AND(B465&lt;&gt;"",J465="在庫"),COUNTIFS($J$5:J465,"在庫",$B$5:B465,"&lt;&gt;"),"")</ns0:f>
        <ns0:v/>
      </ns0:c>
    </ns0:row>
    <ns0:row r="466">
      <ns0:c r="A466" s="5" t="n"/>
      <ns0:c r="B466" s="6" t="n"/>
      <ns0:c r="C466" s="6" t="n"/>
      <ns0:c r="D466" s="7" t="n"/>
      <ns0:c r="E466" s="7" t="n"/>
      <ns0:c r="F466" s="8" t="str">
        <ns0:f>IF(OR(B466="",J466&lt;&gt;"販売済み",E466="",C466=""),"",IFERROR(IF(OR(COUNTIF('手数料マスタ'!$A$5:$A$104,C466)&lt;&gt;1,COUNTIFS('手数料マスタ'!$A$5:$A$104,C466,'手数料マスタ'!$B$5:$B$104,"&lt;&gt;")&lt;&gt;1,NOT(ISNUMBER(VLOOKUP(C466,'手数料マスタ'!$A$5:$B$104,2,FALSE))),VLOOKUP(C466,'手数料マスタ'!$A$5:$B$104,2,FALSE)&lt;0,VLOOKUP(C466,'手数料マスタ'!$A$5:$B$104,2,FALSE)&gt;1),"要確認",ROUND(E466*VLOOKUP(C466,'手数料マスタ'!$A$5:$B$104,2,FALSE),0)),"要確認"))</ns0:f>
        <ns0:v/>
      </ns0:c>
      <ns0:c r="G466" s="7" t="n"/>
      <ns0:c r="H466" s="7" t="n"/>
      <ns0:c r="I466" s="8" t="str">
        <ns0:f>IF(OR(B466="",J466&lt;&gt;"販売済み",D466="",E466="",G466="",H466=""),"",IF(ISNUMBER(F466),E466-D466-F466-G466-H466,"要確認"))</ns0:f>
        <ns0:v/>
      </ns0:c>
      <ns0:c r="J466" s="6" t="n"/>
      <ns0:c r="K466" s="5" t="n"/>
      <ns0:c r="L466" s="9" t="str">
        <ns0:f>IF(AND(B466&lt;&gt;"",J466="在庫"),COUNTIFS($J$5:J466,"在庫",$B$5:B466,"&lt;&gt;"),"")</ns0:f>
        <ns0:v/>
      </ns0:c>
    </ns0:row>
    <ns0:row r="467">
      <ns0:c r="A467" s="5" t="n"/>
      <ns0:c r="B467" s="6" t="n"/>
      <ns0:c r="C467" s="6" t="n"/>
      <ns0:c r="D467" s="7" t="n"/>
      <ns0:c r="E467" s="7" t="n"/>
      <ns0:c r="F467" s="8" t="str">
        <ns0:f>IF(OR(B467="",J467&lt;&gt;"販売済み",E467="",C467=""),"",IFERROR(IF(OR(COUNTIF('手数料マスタ'!$A$5:$A$104,C467)&lt;&gt;1,COUNTIFS('手数料マスタ'!$A$5:$A$104,C467,'手数料マスタ'!$B$5:$B$104,"&lt;&gt;")&lt;&gt;1,NOT(ISNUMBER(VLOOKUP(C467,'手数料マスタ'!$A$5:$B$104,2,FALSE))),VLOOKUP(C467,'手数料マスタ'!$A$5:$B$104,2,FALSE)&lt;0,VLOOKUP(C467,'手数料マスタ'!$A$5:$B$104,2,FALSE)&gt;1),"要確認",ROUND(E467*VLOOKUP(C467,'手数料マスタ'!$A$5:$B$104,2,FALSE),0)),"要確認"))</ns0:f>
        <ns0:v/>
      </ns0:c>
      <ns0:c r="G467" s="7" t="n"/>
      <ns0:c r="H467" s="7" t="n"/>
      <ns0:c r="I467" s="8" t="str">
        <ns0:f>IF(OR(B467="",J467&lt;&gt;"販売済み",D467="",E467="",G467="",H467=""),"",IF(ISNUMBER(F467),E467-D467-F467-G467-H467,"要確認"))</ns0:f>
        <ns0:v/>
      </ns0:c>
      <ns0:c r="J467" s="6" t="n"/>
      <ns0:c r="K467" s="5" t="n"/>
      <ns0:c r="L467" s="9" t="str">
        <ns0:f>IF(AND(B467&lt;&gt;"",J467="在庫"),COUNTIFS($J$5:J467,"在庫",$B$5:B467,"&lt;&gt;"),"")</ns0:f>
        <ns0:v/>
      </ns0:c>
    </ns0:row>
    <ns0:row r="468">
      <ns0:c r="A468" s="5" t="n"/>
      <ns0:c r="B468" s="6" t="n"/>
      <ns0:c r="C468" s="6" t="n"/>
      <ns0:c r="D468" s="7" t="n"/>
      <ns0:c r="E468" s="7" t="n"/>
      <ns0:c r="F468" s="8" t="str">
        <ns0:f>IF(OR(B468="",J468&lt;&gt;"販売済み",E468="",C468=""),"",IFERROR(IF(OR(COUNTIF('手数料マスタ'!$A$5:$A$104,C468)&lt;&gt;1,COUNTIFS('手数料マスタ'!$A$5:$A$104,C468,'手数料マスタ'!$B$5:$B$104,"&lt;&gt;")&lt;&gt;1,NOT(ISNUMBER(VLOOKUP(C468,'手数料マスタ'!$A$5:$B$104,2,FALSE))),VLOOKUP(C468,'手数料マスタ'!$A$5:$B$104,2,FALSE)&lt;0,VLOOKUP(C468,'手数料マスタ'!$A$5:$B$104,2,FALSE)&gt;1),"要確認",ROUND(E468*VLOOKUP(C468,'手数料マスタ'!$A$5:$B$104,2,FALSE),0)),"要確認"))</ns0:f>
        <ns0:v/>
      </ns0:c>
      <ns0:c r="G468" s="7" t="n"/>
      <ns0:c r="H468" s="7" t="n"/>
      <ns0:c r="I468" s="8" t="str">
        <ns0:f>IF(OR(B468="",J468&lt;&gt;"販売済み",D468="",E468="",G468="",H468=""),"",IF(ISNUMBER(F468),E468-D468-F468-G468-H468,"要確認"))</ns0:f>
        <ns0:v/>
      </ns0:c>
      <ns0:c r="J468" s="6" t="n"/>
      <ns0:c r="K468" s="5" t="n"/>
      <ns0:c r="L468" s="9" t="str">
        <ns0:f>IF(AND(B468&lt;&gt;"",J468="在庫"),COUNTIFS($J$5:J468,"在庫",$B$5:B468,"&lt;&gt;"),"")</ns0:f>
        <ns0:v/>
      </ns0:c>
    </ns0:row>
    <ns0:row r="469">
      <ns0:c r="A469" s="5" t="n"/>
      <ns0:c r="B469" s="6" t="n"/>
      <ns0:c r="C469" s="6" t="n"/>
      <ns0:c r="D469" s="7" t="n"/>
      <ns0:c r="E469" s="7" t="n"/>
      <ns0:c r="F469" s="8" t="str">
        <ns0:f>IF(OR(B469="",J469&lt;&gt;"販売済み",E469="",C469=""),"",IFERROR(IF(OR(COUNTIF('手数料マスタ'!$A$5:$A$104,C469)&lt;&gt;1,COUNTIFS('手数料マスタ'!$A$5:$A$104,C469,'手数料マスタ'!$B$5:$B$104,"&lt;&gt;")&lt;&gt;1,NOT(ISNUMBER(VLOOKUP(C469,'手数料マスタ'!$A$5:$B$104,2,FALSE))),VLOOKUP(C469,'手数料マスタ'!$A$5:$B$104,2,FALSE)&lt;0,VLOOKUP(C469,'手数料マスタ'!$A$5:$B$104,2,FALSE)&gt;1),"要確認",ROUND(E469*VLOOKUP(C469,'手数料マスタ'!$A$5:$B$104,2,FALSE),0)),"要確認"))</ns0:f>
        <ns0:v/>
      </ns0:c>
      <ns0:c r="G469" s="7" t="n"/>
      <ns0:c r="H469" s="7" t="n"/>
      <ns0:c r="I469" s="8" t="str">
        <ns0:f>IF(OR(B469="",J469&lt;&gt;"販売済み",D469="",E469="",G469="",H469=""),"",IF(ISNUMBER(F469),E469-D469-F469-G469-H469,"要確認"))</ns0:f>
        <ns0:v/>
      </ns0:c>
      <ns0:c r="J469" s="6" t="n"/>
      <ns0:c r="K469" s="5" t="n"/>
      <ns0:c r="L469" s="9" t="str">
        <ns0:f>IF(AND(B469&lt;&gt;"",J469="在庫"),COUNTIFS($J$5:J469,"在庫",$B$5:B469,"&lt;&gt;"),"")</ns0:f>
        <ns0:v/>
      </ns0:c>
    </ns0:row>
    <ns0:row r="470">
      <ns0:c r="A470" s="5" t="n"/>
      <ns0:c r="B470" s="6" t="n"/>
      <ns0:c r="C470" s="6" t="n"/>
      <ns0:c r="D470" s="7" t="n"/>
      <ns0:c r="E470" s="7" t="n"/>
      <ns0:c r="F470" s="8" t="str">
        <ns0:f>IF(OR(B470="",J470&lt;&gt;"販売済み",E470="",C470=""),"",IFERROR(IF(OR(COUNTIF('手数料マスタ'!$A$5:$A$104,C470)&lt;&gt;1,COUNTIFS('手数料マスタ'!$A$5:$A$104,C470,'手数料マスタ'!$B$5:$B$104,"&lt;&gt;")&lt;&gt;1,NOT(ISNUMBER(VLOOKUP(C470,'手数料マスタ'!$A$5:$B$104,2,FALSE))),VLOOKUP(C470,'手数料マスタ'!$A$5:$B$104,2,FALSE)&lt;0,VLOOKUP(C470,'手数料マスタ'!$A$5:$B$104,2,FALSE)&gt;1),"要確認",ROUND(E470*VLOOKUP(C470,'手数料マスタ'!$A$5:$B$104,2,FALSE),0)),"要確認"))</ns0:f>
        <ns0:v/>
      </ns0:c>
      <ns0:c r="G470" s="7" t="n"/>
      <ns0:c r="H470" s="7" t="n"/>
      <ns0:c r="I470" s="8" t="str">
        <ns0:f>IF(OR(B470="",J470&lt;&gt;"販売済み",D470="",E470="",G470="",H470=""),"",IF(ISNUMBER(F470),E470-D470-F470-G470-H470,"要確認"))</ns0:f>
        <ns0:v/>
      </ns0:c>
      <ns0:c r="J470" s="6" t="n"/>
      <ns0:c r="K470" s="5" t="n"/>
      <ns0:c r="L470" s="9" t="str">
        <ns0:f>IF(AND(B470&lt;&gt;"",J470="在庫"),COUNTIFS($J$5:J470,"在庫",$B$5:B470,"&lt;&gt;"),"")</ns0:f>
        <ns0:v/>
      </ns0:c>
    </ns0:row>
    <ns0:row r="471">
      <ns0:c r="A471" s="5" t="n"/>
      <ns0:c r="B471" s="6" t="n"/>
      <ns0:c r="C471" s="6" t="n"/>
      <ns0:c r="D471" s="7" t="n"/>
      <ns0:c r="E471" s="7" t="n"/>
      <ns0:c r="F471" s="8" t="str">
        <ns0:f>IF(OR(B471="",J471&lt;&gt;"販売済み",E471="",C471=""),"",IFERROR(IF(OR(COUNTIF('手数料マスタ'!$A$5:$A$104,C471)&lt;&gt;1,COUNTIFS('手数料マスタ'!$A$5:$A$104,C471,'手数料マスタ'!$B$5:$B$104,"&lt;&gt;")&lt;&gt;1,NOT(ISNUMBER(VLOOKUP(C471,'手数料マスタ'!$A$5:$B$104,2,FALSE))),VLOOKUP(C471,'手数料マスタ'!$A$5:$B$104,2,FALSE)&lt;0,VLOOKUP(C471,'手数料マスタ'!$A$5:$B$104,2,FALSE)&gt;1),"要確認",ROUND(E471*VLOOKUP(C471,'手数料マスタ'!$A$5:$B$104,2,FALSE),0)),"要確認"))</ns0:f>
        <ns0:v/>
      </ns0:c>
      <ns0:c r="G471" s="7" t="n"/>
      <ns0:c r="H471" s="7" t="n"/>
      <ns0:c r="I471" s="8" t="str">
        <ns0:f>IF(OR(B471="",J471&lt;&gt;"販売済み",D471="",E471="",G471="",H471=""),"",IF(ISNUMBER(F471),E471-D471-F471-G471-H471,"要確認"))</ns0:f>
        <ns0:v/>
      </ns0:c>
      <ns0:c r="J471" s="6" t="n"/>
      <ns0:c r="K471" s="5" t="n"/>
      <ns0:c r="L471" s="9" t="str">
        <ns0:f>IF(AND(B471&lt;&gt;"",J471="在庫"),COUNTIFS($J$5:J471,"在庫",$B$5:B471,"&lt;&gt;"),"")</ns0:f>
        <ns0:v/>
      </ns0:c>
    </ns0:row>
    <ns0:row r="472">
      <ns0:c r="A472" s="5" t="n"/>
      <ns0:c r="B472" s="6" t="n"/>
      <ns0:c r="C472" s="6" t="n"/>
      <ns0:c r="D472" s="7" t="n"/>
      <ns0:c r="E472" s="7" t="n"/>
      <ns0:c r="F472" s="8" t="str">
        <ns0:f>IF(OR(B472="",J472&lt;&gt;"販売済み",E472="",C472=""),"",IFERROR(IF(OR(COUNTIF('手数料マスタ'!$A$5:$A$104,C472)&lt;&gt;1,COUNTIFS('手数料マスタ'!$A$5:$A$104,C472,'手数料マスタ'!$B$5:$B$104,"&lt;&gt;")&lt;&gt;1,NOT(ISNUMBER(VLOOKUP(C472,'手数料マスタ'!$A$5:$B$104,2,FALSE))),VLOOKUP(C472,'手数料マスタ'!$A$5:$B$104,2,FALSE)&lt;0,VLOOKUP(C472,'手数料マスタ'!$A$5:$B$104,2,FALSE)&gt;1),"要確認",ROUND(E472*VLOOKUP(C472,'手数料マスタ'!$A$5:$B$104,2,FALSE),0)),"要確認"))</ns0:f>
        <ns0:v/>
      </ns0:c>
      <ns0:c r="G472" s="7" t="n"/>
      <ns0:c r="H472" s="7" t="n"/>
      <ns0:c r="I472" s="8" t="str">
        <ns0:f>IF(OR(B472="",J472&lt;&gt;"販売済み",D472="",E472="",G472="",H472=""),"",IF(ISNUMBER(F472),E472-D472-F472-G472-H472,"要確認"))</ns0:f>
        <ns0:v/>
      </ns0:c>
      <ns0:c r="J472" s="6" t="n"/>
      <ns0:c r="K472" s="5" t="n"/>
      <ns0:c r="L472" s="9" t="str">
        <ns0:f>IF(AND(B472&lt;&gt;"",J472="在庫"),COUNTIFS($J$5:J472,"在庫",$B$5:B472,"&lt;&gt;"),"")</ns0:f>
        <ns0:v/>
      </ns0:c>
    </ns0:row>
    <ns0:row r="473">
      <ns0:c r="A473" s="5" t="n"/>
      <ns0:c r="B473" s="6" t="n"/>
      <ns0:c r="C473" s="6" t="n"/>
      <ns0:c r="D473" s="7" t="n"/>
      <ns0:c r="E473" s="7" t="n"/>
      <ns0:c r="F473" s="8" t="str">
        <ns0:f>IF(OR(B473="",J473&lt;&gt;"販売済み",E473="",C473=""),"",IFERROR(IF(OR(COUNTIF('手数料マスタ'!$A$5:$A$104,C473)&lt;&gt;1,COUNTIFS('手数料マスタ'!$A$5:$A$104,C473,'手数料マスタ'!$B$5:$B$104,"&lt;&gt;")&lt;&gt;1,NOT(ISNUMBER(VLOOKUP(C473,'手数料マスタ'!$A$5:$B$104,2,FALSE))),VLOOKUP(C473,'手数料マスタ'!$A$5:$B$104,2,FALSE)&lt;0,VLOOKUP(C473,'手数料マスタ'!$A$5:$B$104,2,FALSE)&gt;1),"要確認",ROUND(E473*VLOOKUP(C473,'手数料マスタ'!$A$5:$B$104,2,FALSE),0)),"要確認"))</ns0:f>
        <ns0:v/>
      </ns0:c>
      <ns0:c r="G473" s="7" t="n"/>
      <ns0:c r="H473" s="7" t="n"/>
      <ns0:c r="I473" s="8" t="str">
        <ns0:f>IF(OR(B473="",J473&lt;&gt;"販売済み",D473="",E473="",G473="",H473=""),"",IF(ISNUMBER(F473),E473-D473-F473-G473-H473,"要確認"))</ns0:f>
        <ns0:v/>
      </ns0:c>
      <ns0:c r="J473" s="6" t="n"/>
      <ns0:c r="K473" s="5" t="n"/>
      <ns0:c r="L473" s="9" t="str">
        <ns0:f>IF(AND(B473&lt;&gt;"",J473="在庫"),COUNTIFS($J$5:J473,"在庫",$B$5:B473,"&lt;&gt;"),"")</ns0:f>
        <ns0:v/>
      </ns0:c>
    </ns0:row>
    <ns0:row r="474">
      <ns0:c r="A474" s="5" t="n"/>
      <ns0:c r="B474" s="6" t="n"/>
      <ns0:c r="C474" s="6" t="n"/>
      <ns0:c r="D474" s="7" t="n"/>
      <ns0:c r="E474" s="7" t="n"/>
      <ns0:c r="F474" s="8" t="str">
        <ns0:f>IF(OR(B474="",J474&lt;&gt;"販売済み",E474="",C474=""),"",IFERROR(IF(OR(COUNTIF('手数料マスタ'!$A$5:$A$104,C474)&lt;&gt;1,COUNTIFS('手数料マスタ'!$A$5:$A$104,C474,'手数料マスタ'!$B$5:$B$104,"&lt;&gt;")&lt;&gt;1,NOT(ISNUMBER(VLOOKUP(C474,'手数料マスタ'!$A$5:$B$104,2,FALSE))),VLOOKUP(C474,'手数料マスタ'!$A$5:$B$104,2,FALSE)&lt;0,VLOOKUP(C474,'手数料マスタ'!$A$5:$B$104,2,FALSE)&gt;1),"要確認",ROUND(E474*VLOOKUP(C474,'手数料マスタ'!$A$5:$B$104,2,FALSE),0)),"要確認"))</ns0:f>
        <ns0:v/>
      </ns0:c>
      <ns0:c r="G474" s="7" t="n"/>
      <ns0:c r="H474" s="7" t="n"/>
      <ns0:c r="I474" s="8" t="str">
        <ns0:f>IF(OR(B474="",J474&lt;&gt;"販売済み",D474="",E474="",G474="",H474=""),"",IF(ISNUMBER(F474),E474-D474-F474-G474-H474,"要確認"))</ns0:f>
        <ns0:v/>
      </ns0:c>
      <ns0:c r="J474" s="6" t="n"/>
      <ns0:c r="K474" s="5" t="n"/>
      <ns0:c r="L474" s="9" t="str">
        <ns0:f>IF(AND(B474&lt;&gt;"",J474="在庫"),COUNTIFS($J$5:J474,"在庫",$B$5:B474,"&lt;&gt;"),"")</ns0:f>
        <ns0:v/>
      </ns0:c>
    </ns0:row>
    <ns0:row r="475">
      <ns0:c r="A475" s="5" t="n"/>
      <ns0:c r="B475" s="6" t="n"/>
      <ns0:c r="C475" s="6" t="n"/>
      <ns0:c r="D475" s="7" t="n"/>
      <ns0:c r="E475" s="7" t="n"/>
      <ns0:c r="F475" s="8" t="str">
        <ns0:f>IF(OR(B475="",J475&lt;&gt;"販売済み",E475="",C475=""),"",IFERROR(IF(OR(COUNTIF('手数料マスタ'!$A$5:$A$104,C475)&lt;&gt;1,COUNTIFS('手数料マスタ'!$A$5:$A$104,C475,'手数料マスタ'!$B$5:$B$104,"&lt;&gt;")&lt;&gt;1,NOT(ISNUMBER(VLOOKUP(C475,'手数料マスタ'!$A$5:$B$104,2,FALSE))),VLOOKUP(C475,'手数料マスタ'!$A$5:$B$104,2,FALSE)&lt;0,VLOOKUP(C475,'手数料マスタ'!$A$5:$B$104,2,FALSE)&gt;1),"要確認",ROUND(E475*VLOOKUP(C475,'手数料マスタ'!$A$5:$B$104,2,FALSE),0)),"要確認"))</ns0:f>
        <ns0:v/>
      </ns0:c>
      <ns0:c r="G475" s="7" t="n"/>
      <ns0:c r="H475" s="7" t="n"/>
      <ns0:c r="I475" s="8" t="str">
        <ns0:f>IF(OR(B475="",J475&lt;&gt;"販売済み",D475="",E475="",G475="",H475=""),"",IF(ISNUMBER(F475),E475-D475-F475-G475-H475,"要確認"))</ns0:f>
        <ns0:v/>
      </ns0:c>
      <ns0:c r="J475" s="6" t="n"/>
      <ns0:c r="K475" s="5" t="n"/>
      <ns0:c r="L475" s="9" t="str">
        <ns0:f>IF(AND(B475&lt;&gt;"",J475="在庫"),COUNTIFS($J$5:J475,"在庫",$B$5:B475,"&lt;&gt;"),"")</ns0:f>
        <ns0:v/>
      </ns0:c>
    </ns0:row>
    <ns0:row r="476">
      <ns0:c r="A476" s="5" t="n"/>
      <ns0:c r="B476" s="6" t="n"/>
      <ns0:c r="C476" s="6" t="n"/>
      <ns0:c r="D476" s="7" t="n"/>
      <ns0:c r="E476" s="7" t="n"/>
      <ns0:c r="F476" s="8" t="str">
        <ns0:f>IF(OR(B476="",J476&lt;&gt;"販売済み",E476="",C476=""),"",IFERROR(IF(OR(COUNTIF('手数料マスタ'!$A$5:$A$104,C476)&lt;&gt;1,COUNTIFS('手数料マスタ'!$A$5:$A$104,C476,'手数料マスタ'!$B$5:$B$104,"&lt;&gt;")&lt;&gt;1,NOT(ISNUMBER(VLOOKUP(C476,'手数料マスタ'!$A$5:$B$104,2,FALSE))),VLOOKUP(C476,'手数料マスタ'!$A$5:$B$104,2,FALSE)&lt;0,VLOOKUP(C476,'手数料マスタ'!$A$5:$B$104,2,FALSE)&gt;1),"要確認",ROUND(E476*VLOOKUP(C476,'手数料マスタ'!$A$5:$B$104,2,FALSE),0)),"要確認"))</ns0:f>
        <ns0:v/>
      </ns0:c>
      <ns0:c r="G476" s="7" t="n"/>
      <ns0:c r="H476" s="7" t="n"/>
      <ns0:c r="I476" s="8" t="str">
        <ns0:f>IF(OR(B476="",J476&lt;&gt;"販売済み",D476="",E476="",G476="",H476=""),"",IF(ISNUMBER(F476),E476-D476-F476-G476-H476,"要確認"))</ns0:f>
        <ns0:v/>
      </ns0:c>
      <ns0:c r="J476" s="6" t="n"/>
      <ns0:c r="K476" s="5" t="n"/>
      <ns0:c r="L476" s="9" t="str">
        <ns0:f>IF(AND(B476&lt;&gt;"",J476="在庫"),COUNTIFS($J$5:J476,"在庫",$B$5:B476,"&lt;&gt;"),"")</ns0:f>
        <ns0:v/>
      </ns0:c>
    </ns0:row>
    <ns0:row r="477">
      <ns0:c r="A477" s="5" t="n"/>
      <ns0:c r="B477" s="6" t="n"/>
      <ns0:c r="C477" s="6" t="n"/>
      <ns0:c r="D477" s="7" t="n"/>
      <ns0:c r="E477" s="7" t="n"/>
      <ns0:c r="F477" s="8" t="str">
        <ns0:f>IF(OR(B477="",J477&lt;&gt;"販売済み",E477="",C477=""),"",IFERROR(IF(OR(COUNTIF('手数料マスタ'!$A$5:$A$104,C477)&lt;&gt;1,COUNTIFS('手数料マスタ'!$A$5:$A$104,C477,'手数料マスタ'!$B$5:$B$104,"&lt;&gt;")&lt;&gt;1,NOT(ISNUMBER(VLOOKUP(C477,'手数料マスタ'!$A$5:$B$104,2,FALSE))),VLOOKUP(C477,'手数料マスタ'!$A$5:$B$104,2,FALSE)&lt;0,VLOOKUP(C477,'手数料マスタ'!$A$5:$B$104,2,FALSE)&gt;1),"要確認",ROUND(E477*VLOOKUP(C477,'手数料マスタ'!$A$5:$B$104,2,FALSE),0)),"要確認"))</ns0:f>
        <ns0:v/>
      </ns0:c>
      <ns0:c r="G477" s="7" t="n"/>
      <ns0:c r="H477" s="7" t="n"/>
      <ns0:c r="I477" s="8" t="str">
        <ns0:f>IF(OR(B477="",J477&lt;&gt;"販売済み",D477="",E477="",G477="",H477=""),"",IF(ISNUMBER(F477),E477-D477-F477-G477-H477,"要確認"))</ns0:f>
        <ns0:v/>
      </ns0:c>
      <ns0:c r="J477" s="6" t="n"/>
      <ns0:c r="K477" s="5" t="n"/>
      <ns0:c r="L477" s="9" t="str">
        <ns0:f>IF(AND(B477&lt;&gt;"",J477="在庫"),COUNTIFS($J$5:J477,"在庫",$B$5:B477,"&lt;&gt;"),"")</ns0:f>
        <ns0:v/>
      </ns0:c>
    </ns0:row>
    <ns0:row r="478">
      <ns0:c r="A478" s="5" t="n"/>
      <ns0:c r="B478" s="6" t="n"/>
      <ns0:c r="C478" s="6" t="n"/>
      <ns0:c r="D478" s="7" t="n"/>
      <ns0:c r="E478" s="7" t="n"/>
      <ns0:c r="F478" s="8" t="str">
        <ns0:f>IF(OR(B478="",J478&lt;&gt;"販売済み",E478="",C478=""),"",IFERROR(IF(OR(COUNTIF('手数料マスタ'!$A$5:$A$104,C478)&lt;&gt;1,COUNTIFS('手数料マスタ'!$A$5:$A$104,C478,'手数料マスタ'!$B$5:$B$104,"&lt;&gt;")&lt;&gt;1,NOT(ISNUMBER(VLOOKUP(C478,'手数料マスタ'!$A$5:$B$104,2,FALSE))),VLOOKUP(C478,'手数料マスタ'!$A$5:$B$104,2,FALSE)&lt;0,VLOOKUP(C478,'手数料マスタ'!$A$5:$B$104,2,FALSE)&gt;1),"要確認",ROUND(E478*VLOOKUP(C478,'手数料マスタ'!$A$5:$B$104,2,FALSE),0)),"要確認"))</ns0:f>
        <ns0:v/>
      </ns0:c>
      <ns0:c r="G478" s="7" t="n"/>
      <ns0:c r="H478" s="7" t="n"/>
      <ns0:c r="I478" s="8" t="str">
        <ns0:f>IF(OR(B478="",J478&lt;&gt;"販売済み",D478="",E478="",G478="",H478=""),"",IF(ISNUMBER(F478),E478-D478-F478-G478-H478,"要確認"))</ns0:f>
        <ns0:v/>
      </ns0:c>
      <ns0:c r="J478" s="6" t="n"/>
      <ns0:c r="K478" s="5" t="n"/>
      <ns0:c r="L478" s="9" t="str">
        <ns0:f>IF(AND(B478&lt;&gt;"",J478="在庫"),COUNTIFS($J$5:J478,"在庫",$B$5:B478,"&lt;&gt;"),"")</ns0:f>
        <ns0:v/>
      </ns0:c>
    </ns0:row>
    <ns0:row r="479">
      <ns0:c r="A479" s="5" t="n"/>
      <ns0:c r="B479" s="6" t="n"/>
      <ns0:c r="C479" s="6" t="n"/>
      <ns0:c r="D479" s="7" t="n"/>
      <ns0:c r="E479" s="7" t="n"/>
      <ns0:c r="F479" s="8" t="str">
        <ns0:f>IF(OR(B479="",J479&lt;&gt;"販売済み",E479="",C479=""),"",IFERROR(IF(OR(COUNTIF('手数料マスタ'!$A$5:$A$104,C479)&lt;&gt;1,COUNTIFS('手数料マスタ'!$A$5:$A$104,C479,'手数料マスタ'!$B$5:$B$104,"&lt;&gt;")&lt;&gt;1,NOT(ISNUMBER(VLOOKUP(C479,'手数料マスタ'!$A$5:$B$104,2,FALSE))),VLOOKUP(C479,'手数料マスタ'!$A$5:$B$104,2,FALSE)&lt;0,VLOOKUP(C479,'手数料マスタ'!$A$5:$B$104,2,FALSE)&gt;1),"要確認",ROUND(E479*VLOOKUP(C479,'手数料マスタ'!$A$5:$B$104,2,FALSE),0)),"要確認"))</ns0:f>
        <ns0:v/>
      </ns0:c>
      <ns0:c r="G479" s="7" t="n"/>
      <ns0:c r="H479" s="7" t="n"/>
      <ns0:c r="I479" s="8" t="str">
        <ns0:f>IF(OR(B479="",J479&lt;&gt;"販売済み",D479="",E479="",G479="",H479=""),"",IF(ISNUMBER(F479),E479-D479-F479-G479-H479,"要確認"))</ns0:f>
        <ns0:v/>
      </ns0:c>
      <ns0:c r="J479" s="6" t="n"/>
      <ns0:c r="K479" s="5" t="n"/>
      <ns0:c r="L479" s="9" t="str">
        <ns0:f>IF(AND(B479&lt;&gt;"",J479="在庫"),COUNTIFS($J$5:J479,"在庫",$B$5:B479,"&lt;&gt;"),"")</ns0:f>
        <ns0:v/>
      </ns0:c>
    </ns0:row>
    <ns0:row r="480">
      <ns0:c r="A480" s="5" t="n"/>
      <ns0:c r="B480" s="6" t="n"/>
      <ns0:c r="C480" s="6" t="n"/>
      <ns0:c r="D480" s="7" t="n"/>
      <ns0:c r="E480" s="7" t="n"/>
      <ns0:c r="F480" s="8" t="str">
        <ns0:f>IF(OR(B480="",J480&lt;&gt;"販売済み",E480="",C480=""),"",IFERROR(IF(OR(COUNTIF('手数料マスタ'!$A$5:$A$104,C480)&lt;&gt;1,COUNTIFS('手数料マスタ'!$A$5:$A$104,C480,'手数料マスタ'!$B$5:$B$104,"&lt;&gt;")&lt;&gt;1,NOT(ISNUMBER(VLOOKUP(C480,'手数料マスタ'!$A$5:$B$104,2,FALSE))),VLOOKUP(C480,'手数料マスタ'!$A$5:$B$104,2,FALSE)&lt;0,VLOOKUP(C480,'手数料マスタ'!$A$5:$B$104,2,FALSE)&gt;1),"要確認",ROUND(E480*VLOOKUP(C480,'手数料マスタ'!$A$5:$B$104,2,FALSE),0)),"要確認"))</ns0:f>
        <ns0:v/>
      </ns0:c>
      <ns0:c r="G480" s="7" t="n"/>
      <ns0:c r="H480" s="7" t="n"/>
      <ns0:c r="I480" s="8" t="str">
        <ns0:f>IF(OR(B480="",J480&lt;&gt;"販売済み",D480="",E480="",G480="",H480=""),"",IF(ISNUMBER(F480),E480-D480-F480-G480-H480,"要確認"))</ns0:f>
        <ns0:v/>
      </ns0:c>
      <ns0:c r="J480" s="6" t="n"/>
      <ns0:c r="K480" s="5" t="n"/>
      <ns0:c r="L480" s="9" t="str">
        <ns0:f>IF(AND(B480&lt;&gt;"",J480="在庫"),COUNTIFS($J$5:J480,"在庫",$B$5:B480,"&lt;&gt;"),"")</ns0:f>
        <ns0:v/>
      </ns0:c>
    </ns0:row>
    <ns0:row r="481">
      <ns0:c r="A481" s="5" t="n"/>
      <ns0:c r="B481" s="6" t="n"/>
      <ns0:c r="C481" s="6" t="n"/>
      <ns0:c r="D481" s="7" t="n"/>
      <ns0:c r="E481" s="7" t="n"/>
      <ns0:c r="F481" s="8" t="str">
        <ns0:f>IF(OR(B481="",J481&lt;&gt;"販売済み",E481="",C481=""),"",IFERROR(IF(OR(COUNTIF('手数料マスタ'!$A$5:$A$104,C481)&lt;&gt;1,COUNTIFS('手数料マスタ'!$A$5:$A$104,C481,'手数料マスタ'!$B$5:$B$104,"&lt;&gt;")&lt;&gt;1,NOT(ISNUMBER(VLOOKUP(C481,'手数料マスタ'!$A$5:$B$104,2,FALSE))),VLOOKUP(C481,'手数料マスタ'!$A$5:$B$104,2,FALSE)&lt;0,VLOOKUP(C481,'手数料マスタ'!$A$5:$B$104,2,FALSE)&gt;1),"要確認",ROUND(E481*VLOOKUP(C481,'手数料マスタ'!$A$5:$B$104,2,FALSE),0)),"要確認"))</ns0:f>
        <ns0:v/>
      </ns0:c>
      <ns0:c r="G481" s="7" t="n"/>
      <ns0:c r="H481" s="7" t="n"/>
      <ns0:c r="I481" s="8" t="str">
        <ns0:f>IF(OR(B481="",J481&lt;&gt;"販売済み",D481="",E481="",G481="",H481=""),"",IF(ISNUMBER(F481),E481-D481-F481-G481-H481,"要確認"))</ns0:f>
        <ns0:v/>
      </ns0:c>
      <ns0:c r="J481" s="6" t="n"/>
      <ns0:c r="K481" s="5" t="n"/>
      <ns0:c r="L481" s="9" t="str">
        <ns0:f>IF(AND(B481&lt;&gt;"",J481="在庫"),COUNTIFS($J$5:J481,"在庫",$B$5:B481,"&lt;&gt;"),"")</ns0:f>
        <ns0:v/>
      </ns0:c>
    </ns0:row>
    <ns0:row r="482">
      <ns0:c r="A482" s="5" t="n"/>
      <ns0:c r="B482" s="6" t="n"/>
      <ns0:c r="C482" s="6" t="n"/>
      <ns0:c r="D482" s="7" t="n"/>
      <ns0:c r="E482" s="7" t="n"/>
      <ns0:c r="F482" s="8" t="str">
        <ns0:f>IF(OR(B482="",J482&lt;&gt;"販売済み",E482="",C482=""),"",IFERROR(IF(OR(COUNTIF('手数料マスタ'!$A$5:$A$104,C482)&lt;&gt;1,COUNTIFS('手数料マスタ'!$A$5:$A$104,C482,'手数料マスタ'!$B$5:$B$104,"&lt;&gt;")&lt;&gt;1,NOT(ISNUMBER(VLOOKUP(C482,'手数料マスタ'!$A$5:$B$104,2,FALSE))),VLOOKUP(C482,'手数料マスタ'!$A$5:$B$104,2,FALSE)&lt;0,VLOOKUP(C482,'手数料マスタ'!$A$5:$B$104,2,FALSE)&gt;1),"要確認",ROUND(E482*VLOOKUP(C482,'手数料マスタ'!$A$5:$B$104,2,FALSE),0)),"要確認"))</ns0:f>
        <ns0:v/>
      </ns0:c>
      <ns0:c r="G482" s="7" t="n"/>
      <ns0:c r="H482" s="7" t="n"/>
      <ns0:c r="I482" s="8" t="str">
        <ns0:f>IF(OR(B482="",J482&lt;&gt;"販売済み",D482="",E482="",G482="",H482=""),"",IF(ISNUMBER(F482),E482-D482-F482-G482-H482,"要確認"))</ns0:f>
        <ns0:v/>
      </ns0:c>
      <ns0:c r="J482" s="6" t="n"/>
      <ns0:c r="K482" s="5" t="n"/>
      <ns0:c r="L482" s="9" t="str">
        <ns0:f>IF(AND(B482&lt;&gt;"",J482="在庫"),COUNTIFS($J$5:J482,"在庫",$B$5:B482,"&lt;&gt;"),"")</ns0:f>
        <ns0:v/>
      </ns0:c>
    </ns0:row>
    <ns0:row r="483">
      <ns0:c r="A483" s="5" t="n"/>
      <ns0:c r="B483" s="6" t="n"/>
      <ns0:c r="C483" s="6" t="n"/>
      <ns0:c r="D483" s="7" t="n"/>
      <ns0:c r="E483" s="7" t="n"/>
      <ns0:c r="F483" s="8" t="str">
        <ns0:f>IF(OR(B483="",J483&lt;&gt;"販売済み",E483="",C483=""),"",IFERROR(IF(OR(COUNTIF('手数料マスタ'!$A$5:$A$104,C483)&lt;&gt;1,COUNTIFS('手数料マスタ'!$A$5:$A$104,C483,'手数料マスタ'!$B$5:$B$104,"&lt;&gt;")&lt;&gt;1,NOT(ISNUMBER(VLOOKUP(C483,'手数料マスタ'!$A$5:$B$104,2,FALSE))),VLOOKUP(C483,'手数料マスタ'!$A$5:$B$104,2,FALSE)&lt;0,VLOOKUP(C483,'手数料マスタ'!$A$5:$B$104,2,FALSE)&gt;1),"要確認",ROUND(E483*VLOOKUP(C483,'手数料マスタ'!$A$5:$B$104,2,FALSE),0)),"要確認"))</ns0:f>
        <ns0:v/>
      </ns0:c>
      <ns0:c r="G483" s="7" t="n"/>
      <ns0:c r="H483" s="7" t="n"/>
      <ns0:c r="I483" s="8" t="str">
        <ns0:f>IF(OR(B483="",J483&lt;&gt;"販売済み",D483="",E483="",G483="",H483=""),"",IF(ISNUMBER(F483),E483-D483-F483-G483-H483,"要確認"))</ns0:f>
        <ns0:v/>
      </ns0:c>
      <ns0:c r="J483" s="6" t="n"/>
      <ns0:c r="K483" s="5" t="n"/>
      <ns0:c r="L483" s="9" t="str">
        <ns0:f>IF(AND(B483&lt;&gt;"",J483="在庫"),COUNTIFS($J$5:J483,"在庫",$B$5:B483,"&lt;&gt;"),"")</ns0:f>
        <ns0:v/>
      </ns0:c>
    </ns0:row>
    <ns0:row r="484">
      <ns0:c r="A484" s="5" t="n"/>
      <ns0:c r="B484" s="6" t="n"/>
      <ns0:c r="C484" s="6" t="n"/>
      <ns0:c r="D484" s="7" t="n"/>
      <ns0:c r="E484" s="7" t="n"/>
      <ns0:c r="F484" s="8" t="str">
        <ns0:f>IF(OR(B484="",J484&lt;&gt;"販売済み",E484="",C484=""),"",IFERROR(IF(OR(COUNTIF('手数料マスタ'!$A$5:$A$104,C484)&lt;&gt;1,COUNTIFS('手数料マスタ'!$A$5:$A$104,C484,'手数料マスタ'!$B$5:$B$104,"&lt;&gt;")&lt;&gt;1,NOT(ISNUMBER(VLOOKUP(C484,'手数料マスタ'!$A$5:$B$104,2,FALSE))),VLOOKUP(C484,'手数料マスタ'!$A$5:$B$104,2,FALSE)&lt;0,VLOOKUP(C484,'手数料マスタ'!$A$5:$B$104,2,FALSE)&gt;1),"要確認",ROUND(E484*VLOOKUP(C484,'手数料マスタ'!$A$5:$B$104,2,FALSE),0)),"要確認"))</ns0:f>
        <ns0:v/>
      </ns0:c>
      <ns0:c r="G484" s="7" t="n"/>
      <ns0:c r="H484" s="7" t="n"/>
      <ns0:c r="I484" s="8" t="str">
        <ns0:f>IF(OR(B484="",J484&lt;&gt;"販売済み",D484="",E484="",G484="",H484=""),"",IF(ISNUMBER(F484),E484-D484-F484-G484-H484,"要確認"))</ns0:f>
        <ns0:v/>
      </ns0:c>
      <ns0:c r="J484" s="6" t="n"/>
      <ns0:c r="K484" s="5" t="n"/>
      <ns0:c r="L484" s="9" t="str">
        <ns0:f>IF(AND(B484&lt;&gt;"",J484="在庫"),COUNTIFS($J$5:J484,"在庫",$B$5:B484,"&lt;&gt;"),"")</ns0:f>
        <ns0:v/>
      </ns0:c>
    </ns0:row>
    <ns0:row r="485">
      <ns0:c r="A485" s="5" t="n"/>
      <ns0:c r="B485" s="6" t="n"/>
      <ns0:c r="C485" s="6" t="n"/>
      <ns0:c r="D485" s="7" t="n"/>
      <ns0:c r="E485" s="7" t="n"/>
      <ns0:c r="F485" s="8" t="str">
        <ns0:f>IF(OR(B485="",J485&lt;&gt;"販売済み",E485="",C485=""),"",IFERROR(IF(OR(COUNTIF('手数料マスタ'!$A$5:$A$104,C485)&lt;&gt;1,COUNTIFS('手数料マスタ'!$A$5:$A$104,C485,'手数料マスタ'!$B$5:$B$104,"&lt;&gt;")&lt;&gt;1,NOT(ISNUMBER(VLOOKUP(C485,'手数料マスタ'!$A$5:$B$104,2,FALSE))),VLOOKUP(C485,'手数料マスタ'!$A$5:$B$104,2,FALSE)&lt;0,VLOOKUP(C485,'手数料マスタ'!$A$5:$B$104,2,FALSE)&gt;1),"要確認",ROUND(E485*VLOOKUP(C485,'手数料マスタ'!$A$5:$B$104,2,FALSE),0)),"要確認"))</ns0:f>
        <ns0:v/>
      </ns0:c>
      <ns0:c r="G485" s="7" t="n"/>
      <ns0:c r="H485" s="7" t="n"/>
      <ns0:c r="I485" s="8" t="str">
        <ns0:f>IF(OR(B485="",J485&lt;&gt;"販売済み",D485="",E485="",G485="",H485=""),"",IF(ISNUMBER(F485),E485-D485-F485-G485-H485,"要確認"))</ns0:f>
        <ns0:v/>
      </ns0:c>
      <ns0:c r="J485" s="6" t="n"/>
      <ns0:c r="K485" s="5" t="n"/>
      <ns0:c r="L485" s="9" t="str">
        <ns0:f>IF(AND(B485&lt;&gt;"",J485="在庫"),COUNTIFS($J$5:J485,"在庫",$B$5:B485,"&lt;&gt;"),"")</ns0:f>
        <ns0:v/>
      </ns0:c>
    </ns0:row>
    <ns0:row r="486">
      <ns0:c r="A486" s="5" t="n"/>
      <ns0:c r="B486" s="6" t="n"/>
      <ns0:c r="C486" s="6" t="n"/>
      <ns0:c r="D486" s="7" t="n"/>
      <ns0:c r="E486" s="7" t="n"/>
      <ns0:c r="F486" s="8" t="str">
        <ns0:f>IF(OR(B486="",J486&lt;&gt;"販売済み",E486="",C486=""),"",IFERROR(IF(OR(COUNTIF('手数料マスタ'!$A$5:$A$104,C486)&lt;&gt;1,COUNTIFS('手数料マスタ'!$A$5:$A$104,C486,'手数料マスタ'!$B$5:$B$104,"&lt;&gt;")&lt;&gt;1,NOT(ISNUMBER(VLOOKUP(C486,'手数料マスタ'!$A$5:$B$104,2,FALSE))),VLOOKUP(C486,'手数料マスタ'!$A$5:$B$104,2,FALSE)&lt;0,VLOOKUP(C486,'手数料マスタ'!$A$5:$B$104,2,FALSE)&gt;1),"要確認",ROUND(E486*VLOOKUP(C486,'手数料マスタ'!$A$5:$B$104,2,FALSE),0)),"要確認"))</ns0:f>
        <ns0:v/>
      </ns0:c>
      <ns0:c r="G486" s="7" t="n"/>
      <ns0:c r="H486" s="7" t="n"/>
      <ns0:c r="I486" s="8" t="str">
        <ns0:f>IF(OR(B486="",J486&lt;&gt;"販売済み",D486="",E486="",G486="",H486=""),"",IF(ISNUMBER(F486),E486-D486-F486-G486-H486,"要確認"))</ns0:f>
        <ns0:v/>
      </ns0:c>
      <ns0:c r="J486" s="6" t="n"/>
      <ns0:c r="K486" s="5" t="n"/>
      <ns0:c r="L486" s="9" t="str">
        <ns0:f>IF(AND(B486&lt;&gt;"",J486="在庫"),COUNTIFS($J$5:J486,"在庫",$B$5:B486,"&lt;&gt;"),"")</ns0:f>
        <ns0:v/>
      </ns0:c>
    </ns0:row>
    <ns0:row r="487">
      <ns0:c r="A487" s="5" t="n"/>
      <ns0:c r="B487" s="6" t="n"/>
      <ns0:c r="C487" s="6" t="n"/>
      <ns0:c r="D487" s="7" t="n"/>
      <ns0:c r="E487" s="7" t="n"/>
      <ns0:c r="F487" s="8" t="str">
        <ns0:f>IF(OR(B487="",J487&lt;&gt;"販売済み",E487="",C487=""),"",IFERROR(IF(OR(COUNTIF('手数料マスタ'!$A$5:$A$104,C487)&lt;&gt;1,COUNTIFS('手数料マスタ'!$A$5:$A$104,C487,'手数料マスタ'!$B$5:$B$104,"&lt;&gt;")&lt;&gt;1,NOT(ISNUMBER(VLOOKUP(C487,'手数料マスタ'!$A$5:$B$104,2,FALSE))),VLOOKUP(C487,'手数料マスタ'!$A$5:$B$104,2,FALSE)&lt;0,VLOOKUP(C487,'手数料マスタ'!$A$5:$B$104,2,FALSE)&gt;1),"要確認",ROUND(E487*VLOOKUP(C487,'手数料マスタ'!$A$5:$B$104,2,FALSE),0)),"要確認"))</ns0:f>
        <ns0:v/>
      </ns0:c>
      <ns0:c r="G487" s="7" t="n"/>
      <ns0:c r="H487" s="7" t="n"/>
      <ns0:c r="I487" s="8" t="str">
        <ns0:f>IF(OR(B487="",J487&lt;&gt;"販売済み",D487="",E487="",G487="",H487=""),"",IF(ISNUMBER(F487),E487-D487-F487-G487-H487,"要確認"))</ns0:f>
        <ns0:v/>
      </ns0:c>
      <ns0:c r="J487" s="6" t="n"/>
      <ns0:c r="K487" s="5" t="n"/>
      <ns0:c r="L487" s="9" t="str">
        <ns0:f>IF(AND(B487&lt;&gt;"",J487="在庫"),COUNTIFS($J$5:J487,"在庫",$B$5:B487,"&lt;&gt;"),"")</ns0:f>
        <ns0:v/>
      </ns0:c>
    </ns0:row>
    <ns0:row r="488">
      <ns0:c r="A488" s="5" t="n"/>
      <ns0:c r="B488" s="6" t="n"/>
      <ns0:c r="C488" s="6" t="n"/>
      <ns0:c r="D488" s="7" t="n"/>
      <ns0:c r="E488" s="7" t="n"/>
      <ns0:c r="F488" s="8" t="str">
        <ns0:f>IF(OR(B488="",J488&lt;&gt;"販売済み",E488="",C488=""),"",IFERROR(IF(OR(COUNTIF('手数料マスタ'!$A$5:$A$104,C488)&lt;&gt;1,COUNTIFS('手数料マスタ'!$A$5:$A$104,C488,'手数料マスタ'!$B$5:$B$104,"&lt;&gt;")&lt;&gt;1,NOT(ISNUMBER(VLOOKUP(C488,'手数料マスタ'!$A$5:$B$104,2,FALSE))),VLOOKUP(C488,'手数料マスタ'!$A$5:$B$104,2,FALSE)&lt;0,VLOOKUP(C488,'手数料マスタ'!$A$5:$B$104,2,FALSE)&gt;1),"要確認",ROUND(E488*VLOOKUP(C488,'手数料マスタ'!$A$5:$B$104,2,FALSE),0)),"要確認"))</ns0:f>
        <ns0:v/>
      </ns0:c>
      <ns0:c r="G488" s="7" t="n"/>
      <ns0:c r="H488" s="7" t="n"/>
      <ns0:c r="I488" s="8" t="str">
        <ns0:f>IF(OR(B488="",J488&lt;&gt;"販売済み",D488="",E488="",G488="",H488=""),"",IF(ISNUMBER(F488),E488-D488-F488-G488-H488,"要確認"))</ns0:f>
        <ns0:v/>
      </ns0:c>
      <ns0:c r="J488" s="6" t="n"/>
      <ns0:c r="K488" s="5" t="n"/>
      <ns0:c r="L488" s="9" t="str">
        <ns0:f>IF(AND(B488&lt;&gt;"",J488="在庫"),COUNTIFS($J$5:J488,"在庫",$B$5:B488,"&lt;&gt;"),"")</ns0:f>
        <ns0:v/>
      </ns0:c>
    </ns0:row>
    <ns0:row r="489">
      <ns0:c r="A489" s="5" t="n"/>
      <ns0:c r="B489" s="6" t="n"/>
      <ns0:c r="C489" s="6" t="n"/>
      <ns0:c r="D489" s="7" t="n"/>
      <ns0:c r="E489" s="7" t="n"/>
      <ns0:c r="F489" s="8" t="str">
        <ns0:f>IF(OR(B489="",J489&lt;&gt;"販売済み",E489="",C489=""),"",IFERROR(IF(OR(COUNTIF('手数料マスタ'!$A$5:$A$104,C489)&lt;&gt;1,COUNTIFS('手数料マスタ'!$A$5:$A$104,C489,'手数料マスタ'!$B$5:$B$104,"&lt;&gt;")&lt;&gt;1,NOT(ISNUMBER(VLOOKUP(C489,'手数料マスタ'!$A$5:$B$104,2,FALSE))),VLOOKUP(C489,'手数料マスタ'!$A$5:$B$104,2,FALSE)&lt;0,VLOOKUP(C489,'手数料マスタ'!$A$5:$B$104,2,FALSE)&gt;1),"要確認",ROUND(E489*VLOOKUP(C489,'手数料マスタ'!$A$5:$B$104,2,FALSE),0)),"要確認"))</ns0:f>
        <ns0:v/>
      </ns0:c>
      <ns0:c r="G489" s="7" t="n"/>
      <ns0:c r="H489" s="7" t="n"/>
      <ns0:c r="I489" s="8" t="str">
        <ns0:f>IF(OR(B489="",J489&lt;&gt;"販売済み",D489="",E489="",G489="",H489=""),"",IF(ISNUMBER(F489),E489-D489-F489-G489-H489,"要確認"))</ns0:f>
        <ns0:v/>
      </ns0:c>
      <ns0:c r="J489" s="6" t="n"/>
      <ns0:c r="K489" s="5" t="n"/>
      <ns0:c r="L489" s="9" t="str">
        <ns0:f>IF(AND(B489&lt;&gt;"",J489="在庫"),COUNTIFS($J$5:J489,"在庫",$B$5:B489,"&lt;&gt;"),"")</ns0:f>
        <ns0:v/>
      </ns0:c>
    </ns0:row>
    <ns0:row r="490">
      <ns0:c r="A490" s="5" t="n"/>
      <ns0:c r="B490" s="6" t="n"/>
      <ns0:c r="C490" s="6" t="n"/>
      <ns0:c r="D490" s="7" t="n"/>
      <ns0:c r="E490" s="7" t="n"/>
      <ns0:c r="F490" s="8" t="str">
        <ns0:f>IF(OR(B490="",J490&lt;&gt;"販売済み",E490="",C490=""),"",IFERROR(IF(OR(COUNTIF('手数料マスタ'!$A$5:$A$104,C490)&lt;&gt;1,COUNTIFS('手数料マスタ'!$A$5:$A$104,C490,'手数料マスタ'!$B$5:$B$104,"&lt;&gt;")&lt;&gt;1,NOT(ISNUMBER(VLOOKUP(C490,'手数料マスタ'!$A$5:$B$104,2,FALSE))),VLOOKUP(C490,'手数料マスタ'!$A$5:$B$104,2,FALSE)&lt;0,VLOOKUP(C490,'手数料マスタ'!$A$5:$B$104,2,FALSE)&gt;1),"要確認",ROUND(E490*VLOOKUP(C490,'手数料マスタ'!$A$5:$B$104,2,FALSE),0)),"要確認"))</ns0:f>
        <ns0:v/>
      </ns0:c>
      <ns0:c r="G490" s="7" t="n"/>
      <ns0:c r="H490" s="7" t="n"/>
      <ns0:c r="I490" s="8" t="str">
        <ns0:f>IF(OR(B490="",J490&lt;&gt;"販売済み",D490="",E490="",G490="",H490=""),"",IF(ISNUMBER(F490),E490-D490-F490-G490-H490,"要確認"))</ns0:f>
        <ns0:v/>
      </ns0:c>
      <ns0:c r="J490" s="6" t="n"/>
      <ns0:c r="K490" s="5" t="n"/>
      <ns0:c r="L490" s="9" t="str">
        <ns0:f>IF(AND(B490&lt;&gt;"",J490="在庫"),COUNTIFS($J$5:J490,"在庫",$B$5:B490,"&lt;&gt;"),"")</ns0:f>
        <ns0:v/>
      </ns0:c>
    </ns0:row>
    <ns0:row r="491">
      <ns0:c r="A491" s="5" t="n"/>
      <ns0:c r="B491" s="6" t="n"/>
      <ns0:c r="C491" s="6" t="n"/>
      <ns0:c r="D491" s="7" t="n"/>
      <ns0:c r="E491" s="7" t="n"/>
      <ns0:c r="F491" s="8" t="str">
        <ns0:f>IF(OR(B491="",J491&lt;&gt;"販売済み",E491="",C491=""),"",IFERROR(IF(OR(COUNTIF('手数料マスタ'!$A$5:$A$104,C491)&lt;&gt;1,COUNTIFS('手数料マスタ'!$A$5:$A$104,C491,'手数料マスタ'!$B$5:$B$104,"&lt;&gt;")&lt;&gt;1,NOT(ISNUMBER(VLOOKUP(C491,'手数料マスタ'!$A$5:$B$104,2,FALSE))),VLOOKUP(C491,'手数料マスタ'!$A$5:$B$104,2,FALSE)&lt;0,VLOOKUP(C491,'手数料マスタ'!$A$5:$B$104,2,FALSE)&gt;1),"要確認",ROUND(E491*VLOOKUP(C491,'手数料マスタ'!$A$5:$B$104,2,FALSE),0)),"要確認"))</ns0:f>
        <ns0:v/>
      </ns0:c>
      <ns0:c r="G491" s="7" t="n"/>
      <ns0:c r="H491" s="7" t="n"/>
      <ns0:c r="I491" s="8" t="str">
        <ns0:f>IF(OR(B491="",J491&lt;&gt;"販売済み",D491="",E491="",G491="",H491=""),"",IF(ISNUMBER(F491),E491-D491-F491-G491-H491,"要確認"))</ns0:f>
        <ns0:v/>
      </ns0:c>
      <ns0:c r="J491" s="6" t="n"/>
      <ns0:c r="K491" s="5" t="n"/>
      <ns0:c r="L491" s="9" t="str">
        <ns0:f>IF(AND(B491&lt;&gt;"",J491="在庫"),COUNTIFS($J$5:J491,"在庫",$B$5:B491,"&lt;&gt;"),"")</ns0:f>
        <ns0:v/>
      </ns0:c>
    </ns0:row>
    <ns0:row r="492">
      <ns0:c r="A492" s="5" t="n"/>
      <ns0:c r="B492" s="6" t="n"/>
      <ns0:c r="C492" s="6" t="n"/>
      <ns0:c r="D492" s="7" t="n"/>
      <ns0:c r="E492" s="7" t="n"/>
      <ns0:c r="F492" s="8" t="str">
        <ns0:f>IF(OR(B492="",J492&lt;&gt;"販売済み",E492="",C492=""),"",IFERROR(IF(OR(COUNTIF('手数料マスタ'!$A$5:$A$104,C492)&lt;&gt;1,COUNTIFS('手数料マスタ'!$A$5:$A$104,C492,'手数料マスタ'!$B$5:$B$104,"&lt;&gt;")&lt;&gt;1,NOT(ISNUMBER(VLOOKUP(C492,'手数料マスタ'!$A$5:$B$104,2,FALSE))),VLOOKUP(C492,'手数料マスタ'!$A$5:$B$104,2,FALSE)&lt;0,VLOOKUP(C492,'手数料マスタ'!$A$5:$B$104,2,FALSE)&gt;1),"要確認",ROUND(E492*VLOOKUP(C492,'手数料マスタ'!$A$5:$B$104,2,FALSE),0)),"要確認"))</ns0:f>
        <ns0:v/>
      </ns0:c>
      <ns0:c r="G492" s="7" t="n"/>
      <ns0:c r="H492" s="7" t="n"/>
      <ns0:c r="I492" s="8" t="str">
        <ns0:f>IF(OR(B492="",J492&lt;&gt;"販売済み",D492="",E492="",G492="",H492=""),"",IF(ISNUMBER(F492),E492-D492-F492-G492-H492,"要確認"))</ns0:f>
        <ns0:v/>
      </ns0:c>
      <ns0:c r="J492" s="6" t="n"/>
      <ns0:c r="K492" s="5" t="n"/>
      <ns0:c r="L492" s="9" t="str">
        <ns0:f>IF(AND(B492&lt;&gt;"",J492="在庫"),COUNTIFS($J$5:J492,"在庫",$B$5:B492,"&lt;&gt;"),"")</ns0:f>
        <ns0:v/>
      </ns0:c>
    </ns0:row>
    <ns0:row r="493">
      <ns0:c r="A493" s="5" t="n"/>
      <ns0:c r="B493" s="6" t="n"/>
      <ns0:c r="C493" s="6" t="n"/>
      <ns0:c r="D493" s="7" t="n"/>
      <ns0:c r="E493" s="7" t="n"/>
      <ns0:c r="F493" s="8" t="str">
        <ns0:f>IF(OR(B493="",J493&lt;&gt;"販売済み",E493="",C493=""),"",IFERROR(IF(OR(COUNTIF('手数料マスタ'!$A$5:$A$104,C493)&lt;&gt;1,COUNTIFS('手数料マスタ'!$A$5:$A$104,C493,'手数料マスタ'!$B$5:$B$104,"&lt;&gt;")&lt;&gt;1,NOT(ISNUMBER(VLOOKUP(C493,'手数料マスタ'!$A$5:$B$104,2,FALSE))),VLOOKUP(C493,'手数料マスタ'!$A$5:$B$104,2,FALSE)&lt;0,VLOOKUP(C493,'手数料マスタ'!$A$5:$B$104,2,FALSE)&gt;1),"要確認",ROUND(E493*VLOOKUP(C493,'手数料マスタ'!$A$5:$B$104,2,FALSE),0)),"要確認"))</ns0:f>
        <ns0:v/>
      </ns0:c>
      <ns0:c r="G493" s="7" t="n"/>
      <ns0:c r="H493" s="7" t="n"/>
      <ns0:c r="I493" s="8" t="str">
        <ns0:f>IF(OR(B493="",J493&lt;&gt;"販売済み",D493="",E493="",G493="",H493=""),"",IF(ISNUMBER(F493),E493-D493-F493-G493-H493,"要確認"))</ns0:f>
        <ns0:v/>
      </ns0:c>
      <ns0:c r="J493" s="6" t="n"/>
      <ns0:c r="K493" s="5" t="n"/>
      <ns0:c r="L493" s="9" t="str">
        <ns0:f>IF(AND(B493&lt;&gt;"",J493="在庫"),COUNTIFS($J$5:J493,"在庫",$B$5:B493,"&lt;&gt;"),"")</ns0:f>
        <ns0:v/>
      </ns0:c>
    </ns0:row>
    <ns0:row r="494">
      <ns0:c r="A494" s="5" t="n"/>
      <ns0:c r="B494" s="6" t="n"/>
      <ns0:c r="C494" s="6" t="n"/>
      <ns0:c r="D494" s="7" t="n"/>
      <ns0:c r="E494" s="7" t="n"/>
      <ns0:c r="F494" s="8" t="str">
        <ns0:f>IF(OR(B494="",J494&lt;&gt;"販売済み",E494="",C494=""),"",IFERROR(IF(OR(COUNTIF('手数料マスタ'!$A$5:$A$104,C494)&lt;&gt;1,COUNTIFS('手数料マスタ'!$A$5:$A$104,C494,'手数料マスタ'!$B$5:$B$104,"&lt;&gt;")&lt;&gt;1,NOT(ISNUMBER(VLOOKUP(C494,'手数料マスタ'!$A$5:$B$104,2,FALSE))),VLOOKUP(C494,'手数料マスタ'!$A$5:$B$104,2,FALSE)&lt;0,VLOOKUP(C494,'手数料マスタ'!$A$5:$B$104,2,FALSE)&gt;1),"要確認",ROUND(E494*VLOOKUP(C494,'手数料マスタ'!$A$5:$B$104,2,FALSE),0)),"要確認"))</ns0:f>
        <ns0:v/>
      </ns0:c>
      <ns0:c r="G494" s="7" t="n"/>
      <ns0:c r="H494" s="7" t="n"/>
      <ns0:c r="I494" s="8" t="str">
        <ns0:f>IF(OR(B494="",J494&lt;&gt;"販売済み",D494="",E494="",G494="",H494=""),"",IF(ISNUMBER(F494),E494-D494-F494-G494-H494,"要確認"))</ns0:f>
        <ns0:v/>
      </ns0:c>
      <ns0:c r="J494" s="6" t="n"/>
      <ns0:c r="K494" s="5" t="n"/>
      <ns0:c r="L494" s="9" t="str">
        <ns0:f>IF(AND(B494&lt;&gt;"",J494="在庫"),COUNTIFS($J$5:J494,"在庫",$B$5:B494,"&lt;&gt;"),"")</ns0:f>
        <ns0:v/>
      </ns0:c>
    </ns0:row>
    <ns0:row r="495">
      <ns0:c r="A495" s="5" t="n"/>
      <ns0:c r="B495" s="6" t="n"/>
      <ns0:c r="C495" s="6" t="n"/>
      <ns0:c r="D495" s="7" t="n"/>
      <ns0:c r="E495" s="7" t="n"/>
      <ns0:c r="F495" s="8" t="str">
        <ns0:f>IF(OR(B495="",J495&lt;&gt;"販売済み",E495="",C495=""),"",IFERROR(IF(OR(COUNTIF('手数料マスタ'!$A$5:$A$104,C495)&lt;&gt;1,COUNTIFS('手数料マスタ'!$A$5:$A$104,C495,'手数料マスタ'!$B$5:$B$104,"&lt;&gt;")&lt;&gt;1,NOT(ISNUMBER(VLOOKUP(C495,'手数料マスタ'!$A$5:$B$104,2,FALSE))),VLOOKUP(C495,'手数料マスタ'!$A$5:$B$104,2,FALSE)&lt;0,VLOOKUP(C495,'手数料マスタ'!$A$5:$B$104,2,FALSE)&gt;1),"要確認",ROUND(E495*VLOOKUP(C495,'手数料マスタ'!$A$5:$B$104,2,FALSE),0)),"要確認"))</ns0:f>
        <ns0:v/>
      </ns0:c>
      <ns0:c r="G495" s="7" t="n"/>
      <ns0:c r="H495" s="7" t="n"/>
      <ns0:c r="I495" s="8" t="str">
        <ns0:f>IF(OR(B495="",J495&lt;&gt;"販売済み",D495="",E495="",G495="",H495=""),"",IF(ISNUMBER(F495),E495-D495-F495-G495-H495,"要確認"))</ns0:f>
        <ns0:v/>
      </ns0:c>
      <ns0:c r="J495" s="6" t="n"/>
      <ns0:c r="K495" s="5" t="n"/>
      <ns0:c r="L495" s="9" t="str">
        <ns0:f>IF(AND(B495&lt;&gt;"",J495="在庫"),COUNTIFS($J$5:J495,"在庫",$B$5:B495,"&lt;&gt;"),"")</ns0:f>
        <ns0:v/>
      </ns0:c>
    </ns0:row>
    <ns0:row r="496">
      <ns0:c r="A496" s="5" t="n"/>
      <ns0:c r="B496" s="6" t="n"/>
      <ns0:c r="C496" s="6" t="n"/>
      <ns0:c r="D496" s="7" t="n"/>
      <ns0:c r="E496" s="7" t="n"/>
      <ns0:c r="F496" s="8" t="str">
        <ns0:f>IF(OR(B496="",J496&lt;&gt;"販売済み",E496="",C496=""),"",IFERROR(IF(OR(COUNTIF('手数料マスタ'!$A$5:$A$104,C496)&lt;&gt;1,COUNTIFS('手数料マスタ'!$A$5:$A$104,C496,'手数料マスタ'!$B$5:$B$104,"&lt;&gt;")&lt;&gt;1,NOT(ISNUMBER(VLOOKUP(C496,'手数料マスタ'!$A$5:$B$104,2,FALSE))),VLOOKUP(C496,'手数料マスタ'!$A$5:$B$104,2,FALSE)&lt;0,VLOOKUP(C496,'手数料マスタ'!$A$5:$B$104,2,FALSE)&gt;1),"要確認",ROUND(E496*VLOOKUP(C496,'手数料マスタ'!$A$5:$B$104,2,FALSE),0)),"要確認"))</ns0:f>
        <ns0:v/>
      </ns0:c>
      <ns0:c r="G496" s="7" t="n"/>
      <ns0:c r="H496" s="7" t="n"/>
      <ns0:c r="I496" s="8" t="str">
        <ns0:f>IF(OR(B496="",J496&lt;&gt;"販売済み",D496="",E496="",G496="",H496=""),"",IF(ISNUMBER(F496),E496-D496-F496-G496-H496,"要確認"))</ns0:f>
        <ns0:v/>
      </ns0:c>
      <ns0:c r="J496" s="6" t="n"/>
      <ns0:c r="K496" s="5" t="n"/>
      <ns0:c r="L496" s="9" t="str">
        <ns0:f>IF(AND(B496&lt;&gt;"",J496="在庫"),COUNTIFS($J$5:J496,"在庫",$B$5:B496,"&lt;&gt;"),"")</ns0:f>
        <ns0:v/>
      </ns0:c>
    </ns0:row>
    <ns0:row r="497">
      <ns0:c r="A497" s="5" t="n"/>
      <ns0:c r="B497" s="6" t="n"/>
      <ns0:c r="C497" s="6" t="n"/>
      <ns0:c r="D497" s="7" t="n"/>
      <ns0:c r="E497" s="7" t="n"/>
      <ns0:c r="F497" s="8" t="str">
        <ns0:f>IF(OR(B497="",J497&lt;&gt;"販売済み",E497="",C497=""),"",IFERROR(IF(OR(COUNTIF('手数料マスタ'!$A$5:$A$104,C497)&lt;&gt;1,COUNTIFS('手数料マスタ'!$A$5:$A$104,C497,'手数料マスタ'!$B$5:$B$104,"&lt;&gt;")&lt;&gt;1,NOT(ISNUMBER(VLOOKUP(C497,'手数料マスタ'!$A$5:$B$104,2,FALSE))),VLOOKUP(C497,'手数料マスタ'!$A$5:$B$104,2,FALSE)&lt;0,VLOOKUP(C497,'手数料マスタ'!$A$5:$B$104,2,FALSE)&gt;1),"要確認",ROUND(E497*VLOOKUP(C497,'手数料マスタ'!$A$5:$B$104,2,FALSE),0)),"要確認"))</ns0:f>
        <ns0:v/>
      </ns0:c>
      <ns0:c r="G497" s="7" t="n"/>
      <ns0:c r="H497" s="7" t="n"/>
      <ns0:c r="I497" s="8" t="str">
        <ns0:f>IF(OR(B497="",J497&lt;&gt;"販売済み",D497="",E497="",G497="",H497=""),"",IF(ISNUMBER(F497),E497-D497-F497-G497-H497,"要確認"))</ns0:f>
        <ns0:v/>
      </ns0:c>
      <ns0:c r="J497" s="6" t="n"/>
      <ns0:c r="K497" s="5" t="n"/>
      <ns0:c r="L497" s="9" t="str">
        <ns0:f>IF(AND(B497&lt;&gt;"",J497="在庫"),COUNTIFS($J$5:J497,"在庫",$B$5:B497,"&lt;&gt;"),"")</ns0:f>
        <ns0:v/>
      </ns0:c>
    </ns0:row>
    <ns0:row r="498">
      <ns0:c r="A498" s="5" t="n"/>
      <ns0:c r="B498" s="6" t="n"/>
      <ns0:c r="C498" s="6" t="n"/>
      <ns0:c r="D498" s="7" t="n"/>
      <ns0:c r="E498" s="7" t="n"/>
      <ns0:c r="F498" s="8" t="str">
        <ns0:f>IF(OR(B498="",J498&lt;&gt;"販売済み",E498="",C498=""),"",IFERROR(IF(OR(COUNTIF('手数料マスタ'!$A$5:$A$104,C498)&lt;&gt;1,COUNTIFS('手数料マスタ'!$A$5:$A$104,C498,'手数料マスタ'!$B$5:$B$104,"&lt;&gt;")&lt;&gt;1,NOT(ISNUMBER(VLOOKUP(C498,'手数料マスタ'!$A$5:$B$104,2,FALSE))),VLOOKUP(C498,'手数料マスタ'!$A$5:$B$104,2,FALSE)&lt;0,VLOOKUP(C498,'手数料マスタ'!$A$5:$B$104,2,FALSE)&gt;1),"要確認",ROUND(E498*VLOOKUP(C498,'手数料マスタ'!$A$5:$B$104,2,FALSE),0)),"要確認"))</ns0:f>
        <ns0:v/>
      </ns0:c>
      <ns0:c r="G498" s="7" t="n"/>
      <ns0:c r="H498" s="7" t="n"/>
      <ns0:c r="I498" s="8" t="str">
        <ns0:f>IF(OR(B498="",J498&lt;&gt;"販売済み",D498="",E498="",G498="",H498=""),"",IF(ISNUMBER(F498),E498-D498-F498-G498-H498,"要確認"))</ns0:f>
        <ns0:v/>
      </ns0:c>
      <ns0:c r="J498" s="6" t="n"/>
      <ns0:c r="K498" s="5" t="n"/>
      <ns0:c r="L498" s="9" t="str">
        <ns0:f>IF(AND(B498&lt;&gt;"",J498="在庫"),COUNTIFS($J$5:J498,"在庫",$B$5:B498,"&lt;&gt;"),"")</ns0:f>
        <ns0:v/>
      </ns0:c>
    </ns0:row>
    <ns0:row r="499">
      <ns0:c r="A499" s="5" t="n"/>
      <ns0:c r="B499" s="6" t="n"/>
      <ns0:c r="C499" s="6" t="n"/>
      <ns0:c r="D499" s="7" t="n"/>
      <ns0:c r="E499" s="7" t="n"/>
      <ns0:c r="F499" s="8" t="str">
        <ns0:f>IF(OR(B499="",J499&lt;&gt;"販売済み",E499="",C499=""),"",IFERROR(IF(OR(COUNTIF('手数料マスタ'!$A$5:$A$104,C499)&lt;&gt;1,COUNTIFS('手数料マスタ'!$A$5:$A$104,C499,'手数料マスタ'!$B$5:$B$104,"&lt;&gt;")&lt;&gt;1,NOT(ISNUMBER(VLOOKUP(C499,'手数料マスタ'!$A$5:$B$104,2,FALSE))),VLOOKUP(C499,'手数料マスタ'!$A$5:$B$104,2,FALSE)&lt;0,VLOOKUP(C499,'手数料マスタ'!$A$5:$B$104,2,FALSE)&gt;1),"要確認",ROUND(E499*VLOOKUP(C499,'手数料マスタ'!$A$5:$B$104,2,FALSE),0)),"要確認"))</ns0:f>
        <ns0:v/>
      </ns0:c>
      <ns0:c r="G499" s="7" t="n"/>
      <ns0:c r="H499" s="7" t="n"/>
      <ns0:c r="I499" s="8" t="str">
        <ns0:f>IF(OR(B499="",J499&lt;&gt;"販売済み",D499="",E499="",G499="",H499=""),"",IF(ISNUMBER(F499),E499-D499-F499-G499-H499,"要確認"))</ns0:f>
        <ns0:v/>
      </ns0:c>
      <ns0:c r="J499" s="6" t="n"/>
      <ns0:c r="K499" s="5" t="n"/>
      <ns0:c r="L499" s="9" t="str">
        <ns0:f>IF(AND(B499&lt;&gt;"",J499="在庫"),COUNTIFS($J$5:J499,"在庫",$B$5:B499,"&lt;&gt;"),"")</ns0:f>
        <ns0:v/>
      </ns0:c>
    </ns0:row>
    <ns0:row r="500">
      <ns0:c r="A500" s="5" t="n"/>
      <ns0:c r="B500" s="6" t="n"/>
      <ns0:c r="C500" s="6" t="n"/>
      <ns0:c r="D500" s="7" t="n"/>
      <ns0:c r="E500" s="7" t="n"/>
      <ns0:c r="F500" s="8" t="str">
        <ns0:f>IF(OR(B500="",J500&lt;&gt;"販売済み",E500="",C500=""),"",IFERROR(IF(OR(COUNTIF('手数料マスタ'!$A$5:$A$104,C500)&lt;&gt;1,COUNTIFS('手数料マスタ'!$A$5:$A$104,C500,'手数料マスタ'!$B$5:$B$104,"&lt;&gt;")&lt;&gt;1,NOT(ISNUMBER(VLOOKUP(C500,'手数料マスタ'!$A$5:$B$104,2,FALSE))),VLOOKUP(C500,'手数料マスタ'!$A$5:$B$104,2,FALSE)&lt;0,VLOOKUP(C500,'手数料マスタ'!$A$5:$B$104,2,FALSE)&gt;1),"要確認",ROUND(E500*VLOOKUP(C500,'手数料マスタ'!$A$5:$B$104,2,FALSE),0)),"要確認"))</ns0:f>
        <ns0:v/>
      </ns0:c>
      <ns0:c r="G500" s="7" t="n"/>
      <ns0:c r="H500" s="7" t="n"/>
      <ns0:c r="I500" s="8" t="str">
        <ns0:f>IF(OR(B500="",J500&lt;&gt;"販売済み",D500="",E500="",G500="",H500=""),"",IF(ISNUMBER(F500),E500-D500-F500-G500-H500,"要確認"))</ns0:f>
        <ns0:v/>
      </ns0:c>
      <ns0:c r="J500" s="6" t="n"/>
      <ns0:c r="K500" s="5" t="n"/>
      <ns0:c r="L500" s="9" t="str">
        <ns0:f>IF(AND(B500&lt;&gt;"",J500="在庫"),COUNTIFS($J$5:J500,"在庫",$B$5:B500,"&lt;&gt;"),"")</ns0:f>
        <ns0:v/>
      </ns0:c>
    </ns0:row>
    <ns0:row r="501">
      <ns0:c r="A501" s="5" t="n"/>
      <ns0:c r="B501" s="6" t="n"/>
      <ns0:c r="C501" s="6" t="n"/>
      <ns0:c r="D501" s="7" t="n"/>
      <ns0:c r="E501" s="7" t="n"/>
      <ns0:c r="F501" s="8" t="str">
        <ns0:f>IF(OR(B501="",J501&lt;&gt;"販売済み",E501="",C501=""),"",IFERROR(IF(OR(COUNTIF('手数料マスタ'!$A$5:$A$104,C501)&lt;&gt;1,COUNTIFS('手数料マスタ'!$A$5:$A$104,C501,'手数料マスタ'!$B$5:$B$104,"&lt;&gt;")&lt;&gt;1,NOT(ISNUMBER(VLOOKUP(C501,'手数料マスタ'!$A$5:$B$104,2,FALSE))),VLOOKUP(C501,'手数料マスタ'!$A$5:$B$104,2,FALSE)&lt;0,VLOOKUP(C501,'手数料マスタ'!$A$5:$B$104,2,FALSE)&gt;1),"要確認",ROUND(E501*VLOOKUP(C501,'手数料マスタ'!$A$5:$B$104,2,FALSE),0)),"要確認"))</ns0:f>
        <ns0:v/>
      </ns0:c>
      <ns0:c r="G501" s="7" t="n"/>
      <ns0:c r="H501" s="7" t="n"/>
      <ns0:c r="I501" s="8" t="str">
        <ns0:f>IF(OR(B501="",J501&lt;&gt;"販売済み",D501="",E501="",G501="",H501=""),"",IF(ISNUMBER(F501),E501-D501-F501-G501-H501,"要確認"))</ns0:f>
        <ns0:v/>
      </ns0:c>
      <ns0:c r="J501" s="6" t="n"/>
      <ns0:c r="K501" s="5" t="n"/>
      <ns0:c r="L501" s="9" t="str">
        <ns0:f>IF(AND(B501&lt;&gt;"",J501="在庫"),COUNTIFS($J$5:J501,"在庫",$B$5:B501,"&lt;&gt;"),"")</ns0:f>
        <ns0:v/>
      </ns0:c>
    </ns0:row>
    <ns0:row r="502">
      <ns0:c r="A502" s="5" t="n"/>
      <ns0:c r="B502" s="6" t="n"/>
      <ns0:c r="C502" s="6" t="n"/>
      <ns0:c r="D502" s="7" t="n"/>
      <ns0:c r="E502" s="7" t="n"/>
      <ns0:c r="F502" s="8" t="str">
        <ns0:f>IF(OR(B502="",J502&lt;&gt;"販売済み",E502="",C502=""),"",IFERROR(IF(OR(COUNTIF('手数料マスタ'!$A$5:$A$104,C502)&lt;&gt;1,COUNTIFS('手数料マスタ'!$A$5:$A$104,C502,'手数料マスタ'!$B$5:$B$104,"&lt;&gt;")&lt;&gt;1,NOT(ISNUMBER(VLOOKUP(C502,'手数料マスタ'!$A$5:$B$104,2,FALSE))),VLOOKUP(C502,'手数料マスタ'!$A$5:$B$104,2,FALSE)&lt;0,VLOOKUP(C502,'手数料マスタ'!$A$5:$B$104,2,FALSE)&gt;1),"要確認",ROUND(E502*VLOOKUP(C502,'手数料マスタ'!$A$5:$B$104,2,FALSE),0)),"要確認"))</ns0:f>
        <ns0:v/>
      </ns0:c>
      <ns0:c r="G502" s="7" t="n"/>
      <ns0:c r="H502" s="7" t="n"/>
      <ns0:c r="I502" s="8" t="str">
        <ns0:f>IF(OR(B502="",J502&lt;&gt;"販売済み",D502="",E502="",G502="",H502=""),"",IF(ISNUMBER(F502),E502-D502-F502-G502-H502,"要確認"))</ns0:f>
        <ns0:v/>
      </ns0:c>
      <ns0:c r="J502" s="6" t="n"/>
      <ns0:c r="K502" s="5" t="n"/>
      <ns0:c r="L502" s="9" t="str">
        <ns0:f>IF(AND(B502&lt;&gt;"",J502="在庫"),COUNTIFS($J$5:J502,"在庫",$B$5:B502,"&lt;&gt;"),"")</ns0:f>
        <ns0:v/>
      </ns0:c>
    </ns0:row>
    <ns0:row r="503">
      <ns0:c r="A503" s="5" t="n"/>
      <ns0:c r="B503" s="6" t="n"/>
      <ns0:c r="C503" s="6" t="n"/>
      <ns0:c r="D503" s="7" t="n"/>
      <ns0:c r="E503" s="7" t="n"/>
      <ns0:c r="F503" s="8" t="str">
        <ns0:f>IF(OR(B503="",J503&lt;&gt;"販売済み",E503="",C503=""),"",IFERROR(IF(OR(COUNTIF('手数料マスタ'!$A$5:$A$104,C503)&lt;&gt;1,COUNTIFS('手数料マスタ'!$A$5:$A$104,C503,'手数料マスタ'!$B$5:$B$104,"&lt;&gt;")&lt;&gt;1,NOT(ISNUMBER(VLOOKUP(C503,'手数料マスタ'!$A$5:$B$104,2,FALSE))),VLOOKUP(C503,'手数料マスタ'!$A$5:$B$104,2,FALSE)&lt;0,VLOOKUP(C503,'手数料マスタ'!$A$5:$B$104,2,FALSE)&gt;1),"要確認",ROUND(E503*VLOOKUP(C503,'手数料マスタ'!$A$5:$B$104,2,FALSE),0)),"要確認"))</ns0:f>
        <ns0:v/>
      </ns0:c>
      <ns0:c r="G503" s="7" t="n"/>
      <ns0:c r="H503" s="7" t="n"/>
      <ns0:c r="I503" s="8" t="str">
        <ns0:f>IF(OR(B503="",J503&lt;&gt;"販売済み",D503="",E503="",G503="",H503=""),"",IF(ISNUMBER(F503),E503-D503-F503-G503-H503,"要確認"))</ns0:f>
        <ns0:v/>
      </ns0:c>
      <ns0:c r="J503" s="6" t="n"/>
      <ns0:c r="K503" s="5" t="n"/>
      <ns0:c r="L503" s="9" t="str">
        <ns0:f>IF(AND(B503&lt;&gt;"",J503="在庫"),COUNTIFS($J$5:J503,"在庫",$B$5:B503,"&lt;&gt;"),"")</ns0:f>
        <ns0:v/>
      </ns0:c>
    </ns0:row>
    <ns0:row r="504">
      <ns0:c r="A504" s="5" t="n"/>
      <ns0:c r="B504" s="6" t="n"/>
      <ns0:c r="C504" s="6" t="n"/>
      <ns0:c r="D504" s="7" t="n"/>
      <ns0:c r="E504" s="7" t="n"/>
      <ns0:c r="F504" s="8" t="str">
        <ns0:f>IF(OR(B504="",J504&lt;&gt;"販売済み",E504="",C504=""),"",IFERROR(IF(OR(COUNTIF('手数料マスタ'!$A$5:$A$104,C504)&lt;&gt;1,COUNTIFS('手数料マスタ'!$A$5:$A$104,C504,'手数料マスタ'!$B$5:$B$104,"&lt;&gt;")&lt;&gt;1,NOT(ISNUMBER(VLOOKUP(C504,'手数料マスタ'!$A$5:$B$104,2,FALSE))),VLOOKUP(C504,'手数料マスタ'!$A$5:$B$104,2,FALSE)&lt;0,VLOOKUP(C504,'手数料マスタ'!$A$5:$B$104,2,FALSE)&gt;1),"要確認",ROUND(E504*VLOOKUP(C504,'手数料マスタ'!$A$5:$B$104,2,FALSE),0)),"要確認"))</ns0:f>
        <ns0:v/>
      </ns0:c>
      <ns0:c r="G504" s="7" t="n"/>
      <ns0:c r="H504" s="7" t="n"/>
      <ns0:c r="I504" s="8" t="str">
        <ns0:f>IF(OR(B504="",J504&lt;&gt;"販売済み",D504="",E504="",G504="",H504=""),"",IF(ISNUMBER(F504),E504-D504-F504-G504-H504,"要確認"))</ns0:f>
        <ns0:v/>
      </ns0:c>
      <ns0:c r="J504" s="6" t="n"/>
      <ns0:c r="K504" s="5" t="n"/>
      <ns0:c r="L504" s="9" t="str">
        <ns0:f>IF(AND(B504&lt;&gt;"",J504="在庫"),COUNTIFS($J$5:J504,"在庫",$B$5:B504,"&lt;&gt;"),"")</ns0:f>
        <ns0:v/>
      </ns0:c>
    </ns0:row>
    <ns0:row r="505">
      <ns0:c r="A505" s="5" t="n"/>
      <ns0:c r="B505" s="6" t="n"/>
      <ns0:c r="C505" s="6" t="n"/>
      <ns0:c r="D505" s="7" t="n"/>
      <ns0:c r="E505" s="7" t="n"/>
      <ns0:c r="F505" s="8" t="str">
        <ns0:f>IF(OR(B505="",J505&lt;&gt;"販売済み",E505="",C505=""),"",IFERROR(IF(OR(COUNTIF('手数料マスタ'!$A$5:$A$104,C505)&lt;&gt;1,COUNTIFS('手数料マスタ'!$A$5:$A$104,C505,'手数料マスタ'!$B$5:$B$104,"&lt;&gt;")&lt;&gt;1,NOT(ISNUMBER(VLOOKUP(C505,'手数料マスタ'!$A$5:$B$104,2,FALSE))),VLOOKUP(C505,'手数料マスタ'!$A$5:$B$104,2,FALSE)&lt;0,VLOOKUP(C505,'手数料マスタ'!$A$5:$B$104,2,FALSE)&gt;1),"要確認",ROUND(E505*VLOOKUP(C505,'手数料マスタ'!$A$5:$B$104,2,FALSE),0)),"要確認"))</ns0:f>
        <ns0:v/>
      </ns0:c>
      <ns0:c r="G505" s="7" t="n"/>
      <ns0:c r="H505" s="7" t="n"/>
      <ns0:c r="I505" s="8" t="str">
        <ns0:f>IF(OR(B505="",J505&lt;&gt;"販売済み",D505="",E505="",G505="",H505=""),"",IF(ISNUMBER(F505),E505-D505-F505-G505-H505,"要確認"))</ns0:f>
        <ns0:v/>
      </ns0:c>
      <ns0:c r="J505" s="6" t="n"/>
      <ns0:c r="K505" s="5" t="n"/>
      <ns0:c r="L505" s="9" t="str">
        <ns0:f>IF(AND(B505&lt;&gt;"",J505="在庫"),COUNTIFS($J$5:J505,"在庫",$B$5:B505,"&lt;&gt;"),"")</ns0:f>
        <ns0:v/>
      </ns0:c>
    </ns0:row>
    <ns0:row r="506">
      <ns0:c r="A506" s="5" t="n"/>
      <ns0:c r="B506" s="6" t="n"/>
      <ns0:c r="C506" s="6" t="n"/>
      <ns0:c r="D506" s="7" t="n"/>
      <ns0:c r="E506" s="7" t="n"/>
      <ns0:c r="F506" s="8" t="str">
        <ns0:f>IF(OR(B506="",J506&lt;&gt;"販売済み",E506="",C506=""),"",IFERROR(IF(OR(COUNTIF('手数料マスタ'!$A$5:$A$104,C506)&lt;&gt;1,COUNTIFS('手数料マスタ'!$A$5:$A$104,C506,'手数料マスタ'!$B$5:$B$104,"&lt;&gt;")&lt;&gt;1,NOT(ISNUMBER(VLOOKUP(C506,'手数料マスタ'!$A$5:$B$104,2,FALSE))),VLOOKUP(C506,'手数料マスタ'!$A$5:$B$104,2,FALSE)&lt;0,VLOOKUP(C506,'手数料マスタ'!$A$5:$B$104,2,FALSE)&gt;1),"要確認",ROUND(E506*VLOOKUP(C506,'手数料マスタ'!$A$5:$B$104,2,FALSE),0)),"要確認"))</ns0:f>
        <ns0:v/>
      </ns0:c>
      <ns0:c r="G506" s="7" t="n"/>
      <ns0:c r="H506" s="7" t="n"/>
      <ns0:c r="I506" s="8" t="str">
        <ns0:f>IF(OR(B506="",J506&lt;&gt;"販売済み",D506="",E506="",G506="",H506=""),"",IF(ISNUMBER(F506),E506-D506-F506-G506-H506,"要確認"))</ns0:f>
        <ns0:v/>
      </ns0:c>
      <ns0:c r="J506" s="6" t="n"/>
      <ns0:c r="K506" s="5" t="n"/>
      <ns0:c r="L506" s="9" t="str">
        <ns0:f>IF(AND(B506&lt;&gt;"",J506="在庫"),COUNTIFS($J$5:J506,"在庫",$B$5:B506,"&lt;&gt;"),"")</ns0:f>
        <ns0:v/>
      </ns0:c>
    </ns0:row>
    <ns0:row r="507">
      <ns0:c r="A507" s="5" t="n"/>
      <ns0:c r="B507" s="6" t="n"/>
      <ns0:c r="C507" s="6" t="n"/>
      <ns0:c r="D507" s="7" t="n"/>
      <ns0:c r="E507" s="7" t="n"/>
      <ns0:c r="F507" s="8" t="str">
        <ns0:f>IF(OR(B507="",J507&lt;&gt;"販売済み",E507="",C507=""),"",IFERROR(IF(OR(COUNTIF('手数料マスタ'!$A$5:$A$104,C507)&lt;&gt;1,COUNTIFS('手数料マスタ'!$A$5:$A$104,C507,'手数料マスタ'!$B$5:$B$104,"&lt;&gt;")&lt;&gt;1,NOT(ISNUMBER(VLOOKUP(C507,'手数料マスタ'!$A$5:$B$104,2,FALSE))),VLOOKUP(C507,'手数料マスタ'!$A$5:$B$104,2,FALSE)&lt;0,VLOOKUP(C507,'手数料マスタ'!$A$5:$B$104,2,FALSE)&gt;1),"要確認",ROUND(E507*VLOOKUP(C507,'手数料マスタ'!$A$5:$B$104,2,FALSE),0)),"要確認"))</ns0:f>
        <ns0:v/>
      </ns0:c>
      <ns0:c r="G507" s="7" t="n"/>
      <ns0:c r="H507" s="7" t="n"/>
      <ns0:c r="I507" s="8" t="str">
        <ns0:f>IF(OR(B507="",J507&lt;&gt;"販売済み",D507="",E507="",G507="",H507=""),"",IF(ISNUMBER(F507),E507-D507-F507-G507-H507,"要確認"))</ns0:f>
        <ns0:v/>
      </ns0:c>
      <ns0:c r="J507" s="6" t="n"/>
      <ns0:c r="K507" s="5" t="n"/>
      <ns0:c r="L507" s="9" t="str">
        <ns0:f>IF(AND(B507&lt;&gt;"",J507="在庫"),COUNTIFS($J$5:J507,"在庫",$B$5:B507,"&lt;&gt;"),"")</ns0:f>
        <ns0:v/>
      </ns0:c>
    </ns0:row>
    <ns0:row r="508">
      <ns0:c r="A508" s="5" t="n"/>
      <ns0:c r="B508" s="6" t="n"/>
      <ns0:c r="C508" s="6" t="n"/>
      <ns0:c r="D508" s="7" t="n"/>
      <ns0:c r="E508" s="7" t="n"/>
      <ns0:c r="F508" s="8" t="str">
        <ns0:f>IF(OR(B508="",J508&lt;&gt;"販売済み",E508="",C508=""),"",IFERROR(IF(OR(COUNTIF('手数料マスタ'!$A$5:$A$104,C508)&lt;&gt;1,COUNTIFS('手数料マスタ'!$A$5:$A$104,C508,'手数料マスタ'!$B$5:$B$104,"&lt;&gt;")&lt;&gt;1,NOT(ISNUMBER(VLOOKUP(C508,'手数料マスタ'!$A$5:$B$104,2,FALSE))),VLOOKUP(C508,'手数料マスタ'!$A$5:$B$104,2,FALSE)&lt;0,VLOOKUP(C508,'手数料マスタ'!$A$5:$B$104,2,FALSE)&gt;1),"要確認",ROUND(E508*VLOOKUP(C508,'手数料マスタ'!$A$5:$B$104,2,FALSE),0)),"要確認"))</ns0:f>
        <ns0:v/>
      </ns0:c>
      <ns0:c r="G508" s="7" t="n"/>
      <ns0:c r="H508" s="7" t="n"/>
      <ns0:c r="I508" s="8" t="str">
        <ns0:f>IF(OR(B508="",J508&lt;&gt;"販売済み",D508="",E508="",G508="",H508=""),"",IF(ISNUMBER(F508),E508-D508-F508-G508-H508,"要確認"))</ns0:f>
        <ns0:v/>
      </ns0:c>
      <ns0:c r="J508" s="6" t="n"/>
      <ns0:c r="K508" s="5" t="n"/>
      <ns0:c r="L508" s="9" t="str">
        <ns0:f>IF(AND(B508&lt;&gt;"",J508="在庫"),COUNTIFS($J$5:J508,"在庫",$B$5:B508,"&lt;&gt;"),"")</ns0:f>
        <ns0:v/>
      </ns0:c>
    </ns0:row>
    <ns0:row r="509">
      <ns0:c r="A509" s="5" t="n"/>
      <ns0:c r="B509" s="6" t="n"/>
      <ns0:c r="C509" s="6" t="n"/>
      <ns0:c r="D509" s="7" t="n"/>
      <ns0:c r="E509" s="7" t="n"/>
      <ns0:c r="F509" s="8" t="str">
        <ns0:f>IF(OR(B509="",J509&lt;&gt;"販売済み",E509="",C509=""),"",IFERROR(IF(OR(COUNTIF('手数料マスタ'!$A$5:$A$104,C509)&lt;&gt;1,COUNTIFS('手数料マスタ'!$A$5:$A$104,C509,'手数料マスタ'!$B$5:$B$104,"&lt;&gt;")&lt;&gt;1,NOT(ISNUMBER(VLOOKUP(C509,'手数料マスタ'!$A$5:$B$104,2,FALSE))),VLOOKUP(C509,'手数料マスタ'!$A$5:$B$104,2,FALSE)&lt;0,VLOOKUP(C509,'手数料マスタ'!$A$5:$B$104,2,FALSE)&gt;1),"要確認",ROUND(E509*VLOOKUP(C509,'手数料マスタ'!$A$5:$B$104,2,FALSE),0)),"要確認"))</ns0:f>
        <ns0:v/>
      </ns0:c>
      <ns0:c r="G509" s="7" t="n"/>
      <ns0:c r="H509" s="7" t="n"/>
      <ns0:c r="I509" s="8" t="str">
        <ns0:f>IF(OR(B509="",J509&lt;&gt;"販売済み",D509="",E509="",G509="",H509=""),"",IF(ISNUMBER(F509),E509-D509-F509-G509-H509,"要確認"))</ns0:f>
        <ns0:v/>
      </ns0:c>
      <ns0:c r="J509" s="6" t="n"/>
      <ns0:c r="K509" s="5" t="n"/>
      <ns0:c r="L509" s="9" t="str">
        <ns0:f>IF(AND(B509&lt;&gt;"",J509="在庫"),COUNTIFS($J$5:J509,"在庫",$B$5:B509,"&lt;&gt;"),"")</ns0:f>
        <ns0:v/>
      </ns0:c>
    </ns0:row>
    <ns0:row r="510">
      <ns0:c r="A510" s="5" t="n"/>
      <ns0:c r="B510" s="6" t="n"/>
      <ns0:c r="C510" s="6" t="n"/>
      <ns0:c r="D510" s="7" t="n"/>
      <ns0:c r="E510" s="7" t="n"/>
      <ns0:c r="F510" s="8" t="str">
        <ns0:f>IF(OR(B510="",J510&lt;&gt;"販売済み",E510="",C510=""),"",IFERROR(IF(OR(COUNTIF('手数料マスタ'!$A$5:$A$104,C510)&lt;&gt;1,COUNTIFS('手数料マスタ'!$A$5:$A$104,C510,'手数料マスタ'!$B$5:$B$104,"&lt;&gt;")&lt;&gt;1,NOT(ISNUMBER(VLOOKUP(C510,'手数料マスタ'!$A$5:$B$104,2,FALSE))),VLOOKUP(C510,'手数料マスタ'!$A$5:$B$104,2,FALSE)&lt;0,VLOOKUP(C510,'手数料マスタ'!$A$5:$B$104,2,FALSE)&gt;1),"要確認",ROUND(E510*VLOOKUP(C510,'手数料マスタ'!$A$5:$B$104,2,FALSE),0)),"要確認"))</ns0:f>
        <ns0:v/>
      </ns0:c>
      <ns0:c r="G510" s="7" t="n"/>
      <ns0:c r="H510" s="7" t="n"/>
      <ns0:c r="I510" s="8" t="str">
        <ns0:f>IF(OR(B510="",J510&lt;&gt;"販売済み",D510="",E510="",G510="",H510=""),"",IF(ISNUMBER(F510),E510-D510-F510-G510-H510,"要確認"))</ns0:f>
        <ns0:v/>
      </ns0:c>
      <ns0:c r="J510" s="6" t="n"/>
      <ns0:c r="K510" s="5" t="n"/>
      <ns0:c r="L510" s="9" t="str">
        <ns0:f>IF(AND(B510&lt;&gt;"",J510="在庫"),COUNTIFS($J$5:J510,"在庫",$B$5:B510,"&lt;&gt;"),"")</ns0:f>
        <ns0:v/>
      </ns0:c>
    </ns0:row>
    <ns0:row r="511">
      <ns0:c r="A511" s="5" t="n"/>
      <ns0:c r="B511" s="6" t="n"/>
      <ns0:c r="C511" s="6" t="n"/>
      <ns0:c r="D511" s="7" t="n"/>
      <ns0:c r="E511" s="7" t="n"/>
      <ns0:c r="F511" s="8" t="str">
        <ns0:f>IF(OR(B511="",J511&lt;&gt;"販売済み",E511="",C511=""),"",IFERROR(IF(OR(COUNTIF('手数料マスタ'!$A$5:$A$104,C511)&lt;&gt;1,COUNTIFS('手数料マスタ'!$A$5:$A$104,C511,'手数料マスタ'!$B$5:$B$104,"&lt;&gt;")&lt;&gt;1,NOT(ISNUMBER(VLOOKUP(C511,'手数料マスタ'!$A$5:$B$104,2,FALSE))),VLOOKUP(C511,'手数料マスタ'!$A$5:$B$104,2,FALSE)&lt;0,VLOOKUP(C511,'手数料マスタ'!$A$5:$B$104,2,FALSE)&gt;1),"要確認",ROUND(E511*VLOOKUP(C511,'手数料マスタ'!$A$5:$B$104,2,FALSE),0)),"要確認"))</ns0:f>
        <ns0:v/>
      </ns0:c>
      <ns0:c r="G511" s="7" t="n"/>
      <ns0:c r="H511" s="7" t="n"/>
      <ns0:c r="I511" s="8" t="str">
        <ns0:f>IF(OR(B511="",J511&lt;&gt;"販売済み",D511="",E511="",G511="",H511=""),"",IF(ISNUMBER(F511),E511-D511-F511-G511-H511,"要確認"))</ns0:f>
        <ns0:v/>
      </ns0:c>
      <ns0:c r="J511" s="6" t="n"/>
      <ns0:c r="K511" s="5" t="n"/>
      <ns0:c r="L511" s="9" t="str">
        <ns0:f>IF(AND(B511&lt;&gt;"",J511="在庫"),COUNTIFS($J$5:J511,"在庫",$B$5:B511,"&lt;&gt;"),"")</ns0:f>
        <ns0:v/>
      </ns0:c>
    </ns0:row>
    <ns0:row r="512">
      <ns0:c r="A512" s="5" t="n"/>
      <ns0:c r="B512" s="6" t="n"/>
      <ns0:c r="C512" s="6" t="n"/>
      <ns0:c r="D512" s="7" t="n"/>
      <ns0:c r="E512" s="7" t="n"/>
      <ns0:c r="F512" s="8" t="str">
        <ns0:f>IF(OR(B512="",J512&lt;&gt;"販売済み",E512="",C512=""),"",IFERROR(IF(OR(COUNTIF('手数料マスタ'!$A$5:$A$104,C512)&lt;&gt;1,COUNTIFS('手数料マスタ'!$A$5:$A$104,C512,'手数料マスタ'!$B$5:$B$104,"&lt;&gt;")&lt;&gt;1,NOT(ISNUMBER(VLOOKUP(C512,'手数料マスタ'!$A$5:$B$104,2,FALSE))),VLOOKUP(C512,'手数料マスタ'!$A$5:$B$104,2,FALSE)&lt;0,VLOOKUP(C512,'手数料マスタ'!$A$5:$B$104,2,FALSE)&gt;1),"要確認",ROUND(E512*VLOOKUP(C512,'手数料マスタ'!$A$5:$B$104,2,FALSE),0)),"要確認"))</ns0:f>
        <ns0:v/>
      </ns0:c>
      <ns0:c r="G512" s="7" t="n"/>
      <ns0:c r="H512" s="7" t="n"/>
      <ns0:c r="I512" s="8" t="str">
        <ns0:f>IF(OR(B512="",J512&lt;&gt;"販売済み",D512="",E512="",G512="",H512=""),"",IF(ISNUMBER(F512),E512-D512-F512-G512-H512,"要確認"))</ns0:f>
        <ns0:v/>
      </ns0:c>
      <ns0:c r="J512" s="6" t="n"/>
      <ns0:c r="K512" s="5" t="n"/>
      <ns0:c r="L512" s="9" t="str">
        <ns0:f>IF(AND(B512&lt;&gt;"",J512="在庫"),COUNTIFS($J$5:J512,"在庫",$B$5:B512,"&lt;&gt;"),"")</ns0:f>
        <ns0:v/>
      </ns0:c>
    </ns0:row>
    <ns0:row r="513">
      <ns0:c r="A513" s="5" t="n"/>
      <ns0:c r="B513" s="6" t="n"/>
      <ns0:c r="C513" s="6" t="n"/>
      <ns0:c r="D513" s="7" t="n"/>
      <ns0:c r="E513" s="7" t="n"/>
      <ns0:c r="F513" s="8" t="str">
        <ns0:f>IF(OR(B513="",J513&lt;&gt;"販売済み",E513="",C513=""),"",IFERROR(IF(OR(COUNTIF('手数料マスタ'!$A$5:$A$104,C513)&lt;&gt;1,COUNTIFS('手数料マスタ'!$A$5:$A$104,C513,'手数料マスタ'!$B$5:$B$104,"&lt;&gt;")&lt;&gt;1,NOT(ISNUMBER(VLOOKUP(C513,'手数料マスタ'!$A$5:$B$104,2,FALSE))),VLOOKUP(C513,'手数料マスタ'!$A$5:$B$104,2,FALSE)&lt;0,VLOOKUP(C513,'手数料マスタ'!$A$5:$B$104,2,FALSE)&gt;1),"要確認",ROUND(E513*VLOOKUP(C513,'手数料マスタ'!$A$5:$B$104,2,FALSE),0)),"要確認"))</ns0:f>
        <ns0:v/>
      </ns0:c>
      <ns0:c r="G513" s="7" t="n"/>
      <ns0:c r="H513" s="7" t="n"/>
      <ns0:c r="I513" s="8" t="str">
        <ns0:f>IF(OR(B513="",J513&lt;&gt;"販売済み",D513="",E513="",G513="",H513=""),"",IF(ISNUMBER(F513),E513-D513-F513-G513-H513,"要確認"))</ns0:f>
        <ns0:v/>
      </ns0:c>
      <ns0:c r="J513" s="6" t="n"/>
      <ns0:c r="K513" s="5" t="n"/>
      <ns0:c r="L513" s="9" t="str">
        <ns0:f>IF(AND(B513&lt;&gt;"",J513="在庫"),COUNTIFS($J$5:J513,"在庫",$B$5:B513,"&lt;&gt;"),"")</ns0:f>
        <ns0:v/>
      </ns0:c>
    </ns0:row>
    <ns0:row r="514">
      <ns0:c r="A514" s="5" t="n"/>
      <ns0:c r="B514" s="6" t="n"/>
      <ns0:c r="C514" s="6" t="n"/>
      <ns0:c r="D514" s="7" t="n"/>
      <ns0:c r="E514" s="7" t="n"/>
      <ns0:c r="F514" s="8" t="str">
        <ns0:f>IF(OR(B514="",J514&lt;&gt;"販売済み",E514="",C514=""),"",IFERROR(IF(OR(COUNTIF('手数料マスタ'!$A$5:$A$104,C514)&lt;&gt;1,COUNTIFS('手数料マスタ'!$A$5:$A$104,C514,'手数料マスタ'!$B$5:$B$104,"&lt;&gt;")&lt;&gt;1,NOT(ISNUMBER(VLOOKUP(C514,'手数料マスタ'!$A$5:$B$104,2,FALSE))),VLOOKUP(C514,'手数料マスタ'!$A$5:$B$104,2,FALSE)&lt;0,VLOOKUP(C514,'手数料マスタ'!$A$5:$B$104,2,FALSE)&gt;1),"要確認",ROUND(E514*VLOOKUP(C514,'手数料マスタ'!$A$5:$B$104,2,FALSE),0)),"要確認"))</ns0:f>
        <ns0:v/>
      </ns0:c>
      <ns0:c r="G514" s="7" t="n"/>
      <ns0:c r="H514" s="7" t="n"/>
      <ns0:c r="I514" s="8" t="str">
        <ns0:f>IF(OR(B514="",J514&lt;&gt;"販売済み",D514="",E514="",G514="",H514=""),"",IF(ISNUMBER(F514),E514-D514-F514-G514-H514,"要確認"))</ns0:f>
        <ns0:v/>
      </ns0:c>
      <ns0:c r="J514" s="6" t="n"/>
      <ns0:c r="K514" s="5" t="n"/>
      <ns0:c r="L514" s="9" t="str">
        <ns0:f>IF(AND(B514&lt;&gt;"",J514="在庫"),COUNTIFS($J$5:J514,"在庫",$B$5:B514,"&lt;&gt;"),"")</ns0:f>
        <ns0:v/>
      </ns0:c>
    </ns0:row>
    <ns0:row r="515">
      <ns0:c r="A515" s="5" t="n"/>
      <ns0:c r="B515" s="6" t="n"/>
      <ns0:c r="C515" s="6" t="n"/>
      <ns0:c r="D515" s="7" t="n"/>
      <ns0:c r="E515" s="7" t="n"/>
      <ns0:c r="F515" s="8" t="str">
        <ns0:f>IF(OR(B515="",J515&lt;&gt;"販売済み",E515="",C515=""),"",IFERROR(IF(OR(COUNTIF('手数料マスタ'!$A$5:$A$104,C515)&lt;&gt;1,COUNTIFS('手数料マスタ'!$A$5:$A$104,C515,'手数料マスタ'!$B$5:$B$104,"&lt;&gt;")&lt;&gt;1,NOT(ISNUMBER(VLOOKUP(C515,'手数料マスタ'!$A$5:$B$104,2,FALSE))),VLOOKUP(C515,'手数料マスタ'!$A$5:$B$104,2,FALSE)&lt;0,VLOOKUP(C515,'手数料マスタ'!$A$5:$B$104,2,FALSE)&gt;1),"要確認",ROUND(E515*VLOOKUP(C515,'手数料マスタ'!$A$5:$B$104,2,FALSE),0)),"要確認"))</ns0:f>
        <ns0:v/>
      </ns0:c>
      <ns0:c r="G515" s="7" t="n"/>
      <ns0:c r="H515" s="7" t="n"/>
      <ns0:c r="I515" s="8" t="str">
        <ns0:f>IF(OR(B515="",J515&lt;&gt;"販売済み",D515="",E515="",G515="",H515=""),"",IF(ISNUMBER(F515),E515-D515-F515-G515-H515,"要確認"))</ns0:f>
        <ns0:v/>
      </ns0:c>
      <ns0:c r="J515" s="6" t="n"/>
      <ns0:c r="K515" s="5" t="n"/>
      <ns0:c r="L515" s="9" t="str">
        <ns0:f>IF(AND(B515&lt;&gt;"",J515="在庫"),COUNTIFS($J$5:J515,"在庫",$B$5:B515,"&lt;&gt;"),"")</ns0:f>
        <ns0:v/>
      </ns0:c>
    </ns0:row>
    <ns0:row r="516">
      <ns0:c r="A516" s="5" t="n"/>
      <ns0:c r="B516" s="6" t="n"/>
      <ns0:c r="C516" s="6" t="n"/>
      <ns0:c r="D516" s="7" t="n"/>
      <ns0:c r="E516" s="7" t="n"/>
      <ns0:c r="F516" s="8" t="str">
        <ns0:f>IF(OR(B516="",J516&lt;&gt;"販売済み",E516="",C516=""),"",IFERROR(IF(OR(COUNTIF('手数料マスタ'!$A$5:$A$104,C516)&lt;&gt;1,COUNTIFS('手数料マスタ'!$A$5:$A$104,C516,'手数料マスタ'!$B$5:$B$104,"&lt;&gt;")&lt;&gt;1,NOT(ISNUMBER(VLOOKUP(C516,'手数料マスタ'!$A$5:$B$104,2,FALSE))),VLOOKUP(C516,'手数料マスタ'!$A$5:$B$104,2,FALSE)&lt;0,VLOOKUP(C516,'手数料マスタ'!$A$5:$B$104,2,FALSE)&gt;1),"要確認",ROUND(E516*VLOOKUP(C516,'手数料マスタ'!$A$5:$B$104,2,FALSE),0)),"要確認"))</ns0:f>
        <ns0:v/>
      </ns0:c>
      <ns0:c r="G516" s="7" t="n"/>
      <ns0:c r="H516" s="7" t="n"/>
      <ns0:c r="I516" s="8" t="str">
        <ns0:f>IF(OR(B516="",J516&lt;&gt;"販売済み",D516="",E516="",G516="",H516=""),"",IF(ISNUMBER(F516),E516-D516-F516-G516-H516,"要確認"))</ns0:f>
        <ns0:v/>
      </ns0:c>
      <ns0:c r="J516" s="6" t="n"/>
      <ns0:c r="K516" s="5" t="n"/>
      <ns0:c r="L516" s="9" t="str">
        <ns0:f>IF(AND(B516&lt;&gt;"",J516="在庫"),COUNTIFS($J$5:J516,"在庫",$B$5:B516,"&lt;&gt;"),"")</ns0:f>
        <ns0:v/>
      </ns0:c>
    </ns0:row>
    <ns0:row r="517">
      <ns0:c r="A517" s="5" t="n"/>
      <ns0:c r="B517" s="6" t="n"/>
      <ns0:c r="C517" s="6" t="n"/>
      <ns0:c r="D517" s="7" t="n"/>
      <ns0:c r="E517" s="7" t="n"/>
      <ns0:c r="F517" s="8" t="str">
        <ns0:f>IF(OR(B517="",J517&lt;&gt;"販売済み",E517="",C517=""),"",IFERROR(IF(OR(COUNTIF('手数料マスタ'!$A$5:$A$104,C517)&lt;&gt;1,COUNTIFS('手数料マスタ'!$A$5:$A$104,C517,'手数料マスタ'!$B$5:$B$104,"&lt;&gt;")&lt;&gt;1,NOT(ISNUMBER(VLOOKUP(C517,'手数料マスタ'!$A$5:$B$104,2,FALSE))),VLOOKUP(C517,'手数料マスタ'!$A$5:$B$104,2,FALSE)&lt;0,VLOOKUP(C517,'手数料マスタ'!$A$5:$B$104,2,FALSE)&gt;1),"要確認",ROUND(E517*VLOOKUP(C517,'手数料マスタ'!$A$5:$B$104,2,FALSE),0)),"要確認"))</ns0:f>
        <ns0:v/>
      </ns0:c>
      <ns0:c r="G517" s="7" t="n"/>
      <ns0:c r="H517" s="7" t="n"/>
      <ns0:c r="I517" s="8" t="str">
        <ns0:f>IF(OR(B517="",J517&lt;&gt;"販売済み",D517="",E517="",G517="",H517=""),"",IF(ISNUMBER(F517),E517-D517-F517-G517-H517,"要確認"))</ns0:f>
        <ns0:v/>
      </ns0:c>
      <ns0:c r="J517" s="6" t="n"/>
      <ns0:c r="K517" s="5" t="n"/>
      <ns0:c r="L517" s="9" t="str">
        <ns0:f>IF(AND(B517&lt;&gt;"",J517="在庫"),COUNTIFS($J$5:J517,"在庫",$B$5:B517,"&lt;&gt;"),"")</ns0:f>
        <ns0:v/>
      </ns0:c>
    </ns0:row>
    <ns0:row r="518">
      <ns0:c r="A518" s="5" t="n"/>
      <ns0:c r="B518" s="6" t="n"/>
      <ns0:c r="C518" s="6" t="n"/>
      <ns0:c r="D518" s="7" t="n"/>
      <ns0:c r="E518" s="7" t="n"/>
      <ns0:c r="F518" s="8" t="str">
        <ns0:f>IF(OR(B518="",J518&lt;&gt;"販売済み",E518="",C518=""),"",IFERROR(IF(OR(COUNTIF('手数料マスタ'!$A$5:$A$104,C518)&lt;&gt;1,COUNTIFS('手数料マスタ'!$A$5:$A$104,C518,'手数料マスタ'!$B$5:$B$104,"&lt;&gt;")&lt;&gt;1,NOT(ISNUMBER(VLOOKUP(C518,'手数料マスタ'!$A$5:$B$104,2,FALSE))),VLOOKUP(C518,'手数料マスタ'!$A$5:$B$104,2,FALSE)&lt;0,VLOOKUP(C518,'手数料マスタ'!$A$5:$B$104,2,FALSE)&gt;1),"要確認",ROUND(E518*VLOOKUP(C518,'手数料マスタ'!$A$5:$B$104,2,FALSE),0)),"要確認"))</ns0:f>
        <ns0:v/>
      </ns0:c>
      <ns0:c r="G518" s="7" t="n"/>
      <ns0:c r="H518" s="7" t="n"/>
      <ns0:c r="I518" s="8" t="str">
        <ns0:f>IF(OR(B518="",J518&lt;&gt;"販売済み",D518="",E518="",G518="",H518=""),"",IF(ISNUMBER(F518),E518-D518-F518-G518-H518,"要確認"))</ns0:f>
        <ns0:v/>
      </ns0:c>
      <ns0:c r="J518" s="6" t="n"/>
      <ns0:c r="K518" s="5" t="n"/>
      <ns0:c r="L518" s="9" t="str">
        <ns0:f>IF(AND(B518&lt;&gt;"",J518="在庫"),COUNTIFS($J$5:J518,"在庫",$B$5:B518,"&lt;&gt;"),"")</ns0:f>
        <ns0:v/>
      </ns0:c>
    </ns0:row>
    <ns0:row r="519">
      <ns0:c r="A519" s="5" t="n"/>
      <ns0:c r="B519" s="6" t="n"/>
      <ns0:c r="C519" s="6" t="n"/>
      <ns0:c r="D519" s="7" t="n"/>
      <ns0:c r="E519" s="7" t="n"/>
      <ns0:c r="F519" s="8" t="str">
        <ns0:f>IF(OR(B519="",J519&lt;&gt;"販売済み",E519="",C519=""),"",IFERROR(IF(OR(COUNTIF('手数料マスタ'!$A$5:$A$104,C519)&lt;&gt;1,COUNTIFS('手数料マスタ'!$A$5:$A$104,C519,'手数料マスタ'!$B$5:$B$104,"&lt;&gt;")&lt;&gt;1,NOT(ISNUMBER(VLOOKUP(C519,'手数料マスタ'!$A$5:$B$104,2,FALSE))),VLOOKUP(C519,'手数料マスタ'!$A$5:$B$104,2,FALSE)&lt;0,VLOOKUP(C519,'手数料マスタ'!$A$5:$B$104,2,FALSE)&gt;1),"要確認",ROUND(E519*VLOOKUP(C519,'手数料マスタ'!$A$5:$B$104,2,FALSE),0)),"要確認"))</ns0:f>
        <ns0:v/>
      </ns0:c>
      <ns0:c r="G519" s="7" t="n"/>
      <ns0:c r="H519" s="7" t="n"/>
      <ns0:c r="I519" s="8" t="str">
        <ns0:f>IF(OR(B519="",J519&lt;&gt;"販売済み",D519="",E519="",G519="",H519=""),"",IF(ISNUMBER(F519),E519-D519-F519-G519-H519,"要確認"))</ns0:f>
        <ns0:v/>
      </ns0:c>
      <ns0:c r="J519" s="6" t="n"/>
      <ns0:c r="K519" s="5" t="n"/>
      <ns0:c r="L519" s="9" t="str">
        <ns0:f>IF(AND(B519&lt;&gt;"",J519="在庫"),COUNTIFS($J$5:J519,"在庫",$B$5:B519,"&lt;&gt;"),"")</ns0:f>
        <ns0:v/>
      </ns0:c>
    </ns0:row>
    <ns0:row r="520">
      <ns0:c r="A520" s="5" t="n"/>
      <ns0:c r="B520" s="6" t="n"/>
      <ns0:c r="C520" s="6" t="n"/>
      <ns0:c r="D520" s="7" t="n"/>
      <ns0:c r="E520" s="7" t="n"/>
      <ns0:c r="F520" s="8" t="str">
        <ns0:f>IF(OR(B520="",J520&lt;&gt;"販売済み",E520="",C520=""),"",IFERROR(IF(OR(COUNTIF('手数料マスタ'!$A$5:$A$104,C520)&lt;&gt;1,COUNTIFS('手数料マスタ'!$A$5:$A$104,C520,'手数料マスタ'!$B$5:$B$104,"&lt;&gt;")&lt;&gt;1,NOT(ISNUMBER(VLOOKUP(C520,'手数料マスタ'!$A$5:$B$104,2,FALSE))),VLOOKUP(C520,'手数料マスタ'!$A$5:$B$104,2,FALSE)&lt;0,VLOOKUP(C520,'手数料マスタ'!$A$5:$B$104,2,FALSE)&gt;1),"要確認",ROUND(E520*VLOOKUP(C520,'手数料マスタ'!$A$5:$B$104,2,FALSE),0)),"要確認"))</ns0:f>
        <ns0:v/>
      </ns0:c>
      <ns0:c r="G520" s="7" t="n"/>
      <ns0:c r="H520" s="7" t="n"/>
      <ns0:c r="I520" s="8" t="str">
        <ns0:f>IF(OR(B520="",J520&lt;&gt;"販売済み",D520="",E520="",G520="",H520=""),"",IF(ISNUMBER(F520),E520-D520-F520-G520-H520,"要確認"))</ns0:f>
        <ns0:v/>
      </ns0:c>
      <ns0:c r="J520" s="6" t="n"/>
      <ns0:c r="K520" s="5" t="n"/>
      <ns0:c r="L520" s="9" t="str">
        <ns0:f>IF(AND(B520&lt;&gt;"",J520="在庫"),COUNTIFS($J$5:J520,"在庫",$B$5:B520,"&lt;&gt;"),"")</ns0:f>
        <ns0:v/>
      </ns0:c>
    </ns0:row>
    <ns0:row r="521">
      <ns0:c r="A521" s="5" t="n"/>
      <ns0:c r="B521" s="6" t="n"/>
      <ns0:c r="C521" s="6" t="n"/>
      <ns0:c r="D521" s="7" t="n"/>
      <ns0:c r="E521" s="7" t="n"/>
      <ns0:c r="F521" s="8" t="str">
        <ns0:f>IF(OR(B521="",J521&lt;&gt;"販売済み",E521="",C521=""),"",IFERROR(IF(OR(COUNTIF('手数料マスタ'!$A$5:$A$104,C521)&lt;&gt;1,COUNTIFS('手数料マスタ'!$A$5:$A$104,C521,'手数料マスタ'!$B$5:$B$104,"&lt;&gt;")&lt;&gt;1,NOT(ISNUMBER(VLOOKUP(C521,'手数料マスタ'!$A$5:$B$104,2,FALSE))),VLOOKUP(C521,'手数料マスタ'!$A$5:$B$104,2,FALSE)&lt;0,VLOOKUP(C521,'手数料マスタ'!$A$5:$B$104,2,FALSE)&gt;1),"要確認",ROUND(E521*VLOOKUP(C521,'手数料マスタ'!$A$5:$B$104,2,FALSE),0)),"要確認"))</ns0:f>
        <ns0:v/>
      </ns0:c>
      <ns0:c r="G521" s="7" t="n"/>
      <ns0:c r="H521" s="7" t="n"/>
      <ns0:c r="I521" s="8" t="str">
        <ns0:f>IF(OR(B521="",J521&lt;&gt;"販売済み",D521="",E521="",G521="",H521=""),"",IF(ISNUMBER(F521),E521-D521-F521-G521-H521,"要確認"))</ns0:f>
        <ns0:v/>
      </ns0:c>
      <ns0:c r="J521" s="6" t="n"/>
      <ns0:c r="K521" s="5" t="n"/>
      <ns0:c r="L521" s="9" t="str">
        <ns0:f>IF(AND(B521&lt;&gt;"",J521="在庫"),COUNTIFS($J$5:J521,"在庫",$B$5:B521,"&lt;&gt;"),"")</ns0:f>
        <ns0:v/>
      </ns0:c>
    </ns0:row>
    <ns0:row r="522">
      <ns0:c r="A522" s="5" t="n"/>
      <ns0:c r="B522" s="6" t="n"/>
      <ns0:c r="C522" s="6" t="n"/>
      <ns0:c r="D522" s="7" t="n"/>
      <ns0:c r="E522" s="7" t="n"/>
      <ns0:c r="F522" s="8" t="str">
        <ns0:f>IF(OR(B522="",J522&lt;&gt;"販売済み",E522="",C522=""),"",IFERROR(IF(OR(COUNTIF('手数料マスタ'!$A$5:$A$104,C522)&lt;&gt;1,COUNTIFS('手数料マスタ'!$A$5:$A$104,C522,'手数料マスタ'!$B$5:$B$104,"&lt;&gt;")&lt;&gt;1,NOT(ISNUMBER(VLOOKUP(C522,'手数料マスタ'!$A$5:$B$104,2,FALSE))),VLOOKUP(C522,'手数料マスタ'!$A$5:$B$104,2,FALSE)&lt;0,VLOOKUP(C522,'手数料マスタ'!$A$5:$B$104,2,FALSE)&gt;1),"要確認",ROUND(E522*VLOOKUP(C522,'手数料マスタ'!$A$5:$B$104,2,FALSE),0)),"要確認"))</ns0:f>
        <ns0:v/>
      </ns0:c>
      <ns0:c r="G522" s="7" t="n"/>
      <ns0:c r="H522" s="7" t="n"/>
      <ns0:c r="I522" s="8" t="str">
        <ns0:f>IF(OR(B522="",J522&lt;&gt;"販売済み",D522="",E522="",G522="",H522=""),"",IF(ISNUMBER(F522),E522-D522-F522-G522-H522,"要確認"))</ns0:f>
        <ns0:v/>
      </ns0:c>
      <ns0:c r="J522" s="6" t="n"/>
      <ns0:c r="K522" s="5" t="n"/>
      <ns0:c r="L522" s="9" t="str">
        <ns0:f>IF(AND(B522&lt;&gt;"",J522="在庫"),COUNTIFS($J$5:J522,"在庫",$B$5:B522,"&lt;&gt;"),"")</ns0:f>
        <ns0:v/>
      </ns0:c>
    </ns0:row>
    <ns0:row r="523">
      <ns0:c r="A523" s="5" t="n"/>
      <ns0:c r="B523" s="6" t="n"/>
      <ns0:c r="C523" s="6" t="n"/>
      <ns0:c r="D523" s="7" t="n"/>
      <ns0:c r="E523" s="7" t="n"/>
      <ns0:c r="F523" s="8" t="str">
        <ns0:f>IF(OR(B523="",J523&lt;&gt;"販売済み",E523="",C523=""),"",IFERROR(IF(OR(COUNTIF('手数料マスタ'!$A$5:$A$104,C523)&lt;&gt;1,COUNTIFS('手数料マスタ'!$A$5:$A$104,C523,'手数料マスタ'!$B$5:$B$104,"&lt;&gt;")&lt;&gt;1,NOT(ISNUMBER(VLOOKUP(C523,'手数料マスタ'!$A$5:$B$104,2,FALSE))),VLOOKUP(C523,'手数料マスタ'!$A$5:$B$104,2,FALSE)&lt;0,VLOOKUP(C523,'手数料マスタ'!$A$5:$B$104,2,FALSE)&gt;1),"要確認",ROUND(E523*VLOOKUP(C523,'手数料マスタ'!$A$5:$B$104,2,FALSE),0)),"要確認"))</ns0:f>
        <ns0:v/>
      </ns0:c>
      <ns0:c r="G523" s="7" t="n"/>
      <ns0:c r="H523" s="7" t="n"/>
      <ns0:c r="I523" s="8" t="str">
        <ns0:f>IF(OR(B523="",J523&lt;&gt;"販売済み",D523="",E523="",G523="",H523=""),"",IF(ISNUMBER(F523),E523-D523-F523-G523-H523,"要確認"))</ns0:f>
        <ns0:v/>
      </ns0:c>
      <ns0:c r="J523" s="6" t="n"/>
      <ns0:c r="K523" s="5" t="n"/>
      <ns0:c r="L523" s="9" t="str">
        <ns0:f>IF(AND(B523&lt;&gt;"",J523="在庫"),COUNTIFS($J$5:J523,"在庫",$B$5:B523,"&lt;&gt;"),"")</ns0:f>
        <ns0:v/>
      </ns0:c>
    </ns0:row>
    <ns0:row r="524">
      <ns0:c r="A524" s="5" t="n"/>
      <ns0:c r="B524" s="6" t="n"/>
      <ns0:c r="C524" s="6" t="n"/>
      <ns0:c r="D524" s="7" t="n"/>
      <ns0:c r="E524" s="7" t="n"/>
      <ns0:c r="F524" s="8" t="str">
        <ns0:f>IF(OR(B524="",J524&lt;&gt;"販売済み",E524="",C524=""),"",IFERROR(IF(OR(COUNTIF('手数料マスタ'!$A$5:$A$104,C524)&lt;&gt;1,COUNTIFS('手数料マスタ'!$A$5:$A$104,C524,'手数料マスタ'!$B$5:$B$104,"&lt;&gt;")&lt;&gt;1,NOT(ISNUMBER(VLOOKUP(C524,'手数料マスタ'!$A$5:$B$104,2,FALSE))),VLOOKUP(C524,'手数料マスタ'!$A$5:$B$104,2,FALSE)&lt;0,VLOOKUP(C524,'手数料マスタ'!$A$5:$B$104,2,FALSE)&gt;1),"要確認",ROUND(E524*VLOOKUP(C524,'手数料マスタ'!$A$5:$B$104,2,FALSE),0)),"要確認"))</ns0:f>
        <ns0:v/>
      </ns0:c>
      <ns0:c r="G524" s="7" t="n"/>
      <ns0:c r="H524" s="7" t="n"/>
      <ns0:c r="I524" s="8" t="str">
        <ns0:f>IF(OR(B524="",J524&lt;&gt;"販売済み",D524="",E524="",G524="",H524=""),"",IF(ISNUMBER(F524),E524-D524-F524-G524-H524,"要確認"))</ns0:f>
        <ns0:v/>
      </ns0:c>
      <ns0:c r="J524" s="6" t="n"/>
      <ns0:c r="K524" s="5" t="n"/>
      <ns0:c r="L524" s="9" t="str">
        <ns0:f>IF(AND(B524&lt;&gt;"",J524="在庫"),COUNTIFS($J$5:J524,"在庫",$B$5:B524,"&lt;&gt;"),"")</ns0:f>
        <ns0:v/>
      </ns0:c>
    </ns0:row>
    <ns0:row r="525">
      <ns0:c r="A525" s="5" t="n"/>
      <ns0:c r="B525" s="6" t="n"/>
      <ns0:c r="C525" s="6" t="n"/>
      <ns0:c r="D525" s="7" t="n"/>
      <ns0:c r="E525" s="7" t="n"/>
      <ns0:c r="F525" s="8" t="str">
        <ns0:f>IF(OR(B525="",J525&lt;&gt;"販売済み",E525="",C525=""),"",IFERROR(IF(OR(COUNTIF('手数料マスタ'!$A$5:$A$104,C525)&lt;&gt;1,COUNTIFS('手数料マスタ'!$A$5:$A$104,C525,'手数料マスタ'!$B$5:$B$104,"&lt;&gt;")&lt;&gt;1,NOT(ISNUMBER(VLOOKUP(C525,'手数料マスタ'!$A$5:$B$104,2,FALSE))),VLOOKUP(C525,'手数料マスタ'!$A$5:$B$104,2,FALSE)&lt;0,VLOOKUP(C525,'手数料マスタ'!$A$5:$B$104,2,FALSE)&gt;1),"要確認",ROUND(E525*VLOOKUP(C525,'手数料マスタ'!$A$5:$B$104,2,FALSE),0)),"要確認"))</ns0:f>
        <ns0:v/>
      </ns0:c>
      <ns0:c r="G525" s="7" t="n"/>
      <ns0:c r="H525" s="7" t="n"/>
      <ns0:c r="I525" s="8" t="str">
        <ns0:f>IF(OR(B525="",J525&lt;&gt;"販売済み",D525="",E525="",G525="",H525=""),"",IF(ISNUMBER(F525),E525-D525-F525-G525-H525,"要確認"))</ns0:f>
        <ns0:v/>
      </ns0:c>
      <ns0:c r="J525" s="6" t="n"/>
      <ns0:c r="K525" s="5" t="n"/>
      <ns0:c r="L525" s="9" t="str">
        <ns0:f>IF(AND(B525&lt;&gt;"",J525="在庫"),COUNTIFS($J$5:J525,"在庫",$B$5:B525,"&lt;&gt;"),"")</ns0:f>
        <ns0:v/>
      </ns0:c>
    </ns0:row>
    <ns0:row r="526">
      <ns0:c r="A526" s="5" t="n"/>
      <ns0:c r="B526" s="6" t="n"/>
      <ns0:c r="C526" s="6" t="n"/>
      <ns0:c r="D526" s="7" t="n"/>
      <ns0:c r="E526" s="7" t="n"/>
      <ns0:c r="F526" s="8" t="str">
        <ns0:f>IF(OR(B526="",J526&lt;&gt;"販売済み",E526="",C526=""),"",IFERROR(IF(OR(COUNTIF('手数料マスタ'!$A$5:$A$104,C526)&lt;&gt;1,COUNTIFS('手数料マスタ'!$A$5:$A$104,C526,'手数料マスタ'!$B$5:$B$104,"&lt;&gt;")&lt;&gt;1,NOT(ISNUMBER(VLOOKUP(C526,'手数料マスタ'!$A$5:$B$104,2,FALSE))),VLOOKUP(C526,'手数料マスタ'!$A$5:$B$104,2,FALSE)&lt;0,VLOOKUP(C526,'手数料マスタ'!$A$5:$B$104,2,FALSE)&gt;1),"要確認",ROUND(E526*VLOOKUP(C526,'手数料マスタ'!$A$5:$B$104,2,FALSE),0)),"要確認"))</ns0:f>
        <ns0:v/>
      </ns0:c>
      <ns0:c r="G526" s="7" t="n"/>
      <ns0:c r="H526" s="7" t="n"/>
      <ns0:c r="I526" s="8" t="str">
        <ns0:f>IF(OR(B526="",J526&lt;&gt;"販売済み",D526="",E526="",G526="",H526=""),"",IF(ISNUMBER(F526),E526-D526-F526-G526-H526,"要確認"))</ns0:f>
        <ns0:v/>
      </ns0:c>
      <ns0:c r="J526" s="6" t="n"/>
      <ns0:c r="K526" s="5" t="n"/>
      <ns0:c r="L526" s="9" t="str">
        <ns0:f>IF(AND(B526&lt;&gt;"",J526="在庫"),COUNTIFS($J$5:J526,"在庫",$B$5:B526,"&lt;&gt;"),"")</ns0:f>
        <ns0:v/>
      </ns0:c>
    </ns0:row>
    <ns0:row r="527">
      <ns0:c r="A527" s="5" t="n"/>
      <ns0:c r="B527" s="6" t="n"/>
      <ns0:c r="C527" s="6" t="n"/>
      <ns0:c r="D527" s="7" t="n"/>
      <ns0:c r="E527" s="7" t="n"/>
      <ns0:c r="F527" s="8" t="str">
        <ns0:f>IF(OR(B527="",J527&lt;&gt;"販売済み",E527="",C527=""),"",IFERROR(IF(OR(COUNTIF('手数料マスタ'!$A$5:$A$104,C527)&lt;&gt;1,COUNTIFS('手数料マスタ'!$A$5:$A$104,C527,'手数料マスタ'!$B$5:$B$104,"&lt;&gt;")&lt;&gt;1,NOT(ISNUMBER(VLOOKUP(C527,'手数料マスタ'!$A$5:$B$104,2,FALSE))),VLOOKUP(C527,'手数料マスタ'!$A$5:$B$104,2,FALSE)&lt;0,VLOOKUP(C527,'手数料マスタ'!$A$5:$B$104,2,FALSE)&gt;1),"要確認",ROUND(E527*VLOOKUP(C527,'手数料マスタ'!$A$5:$B$104,2,FALSE),0)),"要確認"))</ns0:f>
        <ns0:v/>
      </ns0:c>
      <ns0:c r="G527" s="7" t="n"/>
      <ns0:c r="H527" s="7" t="n"/>
      <ns0:c r="I527" s="8" t="str">
        <ns0:f>IF(OR(B527="",J527&lt;&gt;"販売済み",D527="",E527="",G527="",H527=""),"",IF(ISNUMBER(F527),E527-D527-F527-G527-H527,"要確認"))</ns0:f>
        <ns0:v/>
      </ns0:c>
      <ns0:c r="J527" s="6" t="n"/>
      <ns0:c r="K527" s="5" t="n"/>
      <ns0:c r="L527" s="9" t="str">
        <ns0:f>IF(AND(B527&lt;&gt;"",J527="在庫"),COUNTIFS($J$5:J527,"在庫",$B$5:B527,"&lt;&gt;"),"")</ns0:f>
        <ns0:v/>
      </ns0:c>
    </ns0:row>
    <ns0:row r="528">
      <ns0:c r="A528" s="5" t="n"/>
      <ns0:c r="B528" s="6" t="n"/>
      <ns0:c r="C528" s="6" t="n"/>
      <ns0:c r="D528" s="7" t="n"/>
      <ns0:c r="E528" s="7" t="n"/>
      <ns0:c r="F528" s="8" t="str">
        <ns0:f>IF(OR(B528="",J528&lt;&gt;"販売済み",E528="",C528=""),"",IFERROR(IF(OR(COUNTIF('手数料マスタ'!$A$5:$A$104,C528)&lt;&gt;1,COUNTIFS('手数料マスタ'!$A$5:$A$104,C528,'手数料マスタ'!$B$5:$B$104,"&lt;&gt;")&lt;&gt;1,NOT(ISNUMBER(VLOOKUP(C528,'手数料マスタ'!$A$5:$B$104,2,FALSE))),VLOOKUP(C528,'手数料マスタ'!$A$5:$B$104,2,FALSE)&lt;0,VLOOKUP(C528,'手数料マスタ'!$A$5:$B$104,2,FALSE)&gt;1),"要確認",ROUND(E528*VLOOKUP(C528,'手数料マスタ'!$A$5:$B$104,2,FALSE),0)),"要確認"))</ns0:f>
        <ns0:v/>
      </ns0:c>
      <ns0:c r="G528" s="7" t="n"/>
      <ns0:c r="H528" s="7" t="n"/>
      <ns0:c r="I528" s="8" t="str">
        <ns0:f>IF(OR(B528="",J528&lt;&gt;"販売済み",D528="",E528="",G528="",H528=""),"",IF(ISNUMBER(F528),E528-D528-F528-G528-H528,"要確認"))</ns0:f>
        <ns0:v/>
      </ns0:c>
      <ns0:c r="J528" s="6" t="n"/>
      <ns0:c r="K528" s="5" t="n"/>
      <ns0:c r="L528" s="9" t="str">
        <ns0:f>IF(AND(B528&lt;&gt;"",J528="在庫"),COUNTIFS($J$5:J528,"在庫",$B$5:B528,"&lt;&gt;"),"")</ns0:f>
        <ns0:v/>
      </ns0:c>
    </ns0:row>
    <ns0:row r="529">
      <ns0:c r="A529" s="5" t="n"/>
      <ns0:c r="B529" s="6" t="n"/>
      <ns0:c r="C529" s="6" t="n"/>
      <ns0:c r="D529" s="7" t="n"/>
      <ns0:c r="E529" s="7" t="n"/>
      <ns0:c r="F529" s="8" t="str">
        <ns0:f>IF(OR(B529="",J529&lt;&gt;"販売済み",E529="",C529=""),"",IFERROR(IF(OR(COUNTIF('手数料マスタ'!$A$5:$A$104,C529)&lt;&gt;1,COUNTIFS('手数料マスタ'!$A$5:$A$104,C529,'手数料マスタ'!$B$5:$B$104,"&lt;&gt;")&lt;&gt;1,NOT(ISNUMBER(VLOOKUP(C529,'手数料マスタ'!$A$5:$B$104,2,FALSE))),VLOOKUP(C529,'手数料マスタ'!$A$5:$B$104,2,FALSE)&lt;0,VLOOKUP(C529,'手数料マスタ'!$A$5:$B$104,2,FALSE)&gt;1),"要確認",ROUND(E529*VLOOKUP(C529,'手数料マスタ'!$A$5:$B$104,2,FALSE),0)),"要確認"))</ns0:f>
        <ns0:v/>
      </ns0:c>
      <ns0:c r="G529" s="7" t="n"/>
      <ns0:c r="H529" s="7" t="n"/>
      <ns0:c r="I529" s="8" t="str">
        <ns0:f>IF(OR(B529="",J529&lt;&gt;"販売済み",D529="",E529="",G529="",H529=""),"",IF(ISNUMBER(F529),E529-D529-F529-G529-H529,"要確認"))</ns0:f>
        <ns0:v/>
      </ns0:c>
      <ns0:c r="J529" s="6" t="n"/>
      <ns0:c r="K529" s="5" t="n"/>
      <ns0:c r="L529" s="9" t="str">
        <ns0:f>IF(AND(B529&lt;&gt;"",J529="在庫"),COUNTIFS($J$5:J529,"在庫",$B$5:B529,"&lt;&gt;"),"")</ns0:f>
        <ns0:v/>
      </ns0:c>
    </ns0:row>
    <ns0:row r="530">
      <ns0:c r="A530" s="5" t="n"/>
      <ns0:c r="B530" s="6" t="n"/>
      <ns0:c r="C530" s="6" t="n"/>
      <ns0:c r="D530" s="7" t="n"/>
      <ns0:c r="E530" s="7" t="n"/>
      <ns0:c r="F530" s="8" t="str">
        <ns0:f>IF(OR(B530="",J530&lt;&gt;"販売済み",E530="",C530=""),"",IFERROR(IF(OR(COUNTIF('手数料マスタ'!$A$5:$A$104,C530)&lt;&gt;1,COUNTIFS('手数料マスタ'!$A$5:$A$104,C530,'手数料マスタ'!$B$5:$B$104,"&lt;&gt;")&lt;&gt;1,NOT(ISNUMBER(VLOOKUP(C530,'手数料マスタ'!$A$5:$B$104,2,FALSE))),VLOOKUP(C530,'手数料マスタ'!$A$5:$B$104,2,FALSE)&lt;0,VLOOKUP(C530,'手数料マスタ'!$A$5:$B$104,2,FALSE)&gt;1),"要確認",ROUND(E530*VLOOKUP(C530,'手数料マスタ'!$A$5:$B$104,2,FALSE),0)),"要確認"))</ns0:f>
        <ns0:v/>
      </ns0:c>
      <ns0:c r="G530" s="7" t="n"/>
      <ns0:c r="H530" s="7" t="n"/>
      <ns0:c r="I530" s="8" t="str">
        <ns0:f>IF(OR(B530="",J530&lt;&gt;"販売済み",D530="",E530="",G530="",H530=""),"",IF(ISNUMBER(F530),E530-D530-F530-G530-H530,"要確認"))</ns0:f>
        <ns0:v/>
      </ns0:c>
      <ns0:c r="J530" s="6" t="n"/>
      <ns0:c r="K530" s="5" t="n"/>
      <ns0:c r="L530" s="9" t="str">
        <ns0:f>IF(AND(B530&lt;&gt;"",J530="在庫"),COUNTIFS($J$5:J530,"在庫",$B$5:B530,"&lt;&gt;"),"")</ns0:f>
        <ns0:v/>
      </ns0:c>
    </ns0:row>
    <ns0:row r="531">
      <ns0:c r="A531" s="5" t="n"/>
      <ns0:c r="B531" s="6" t="n"/>
      <ns0:c r="C531" s="6" t="n"/>
      <ns0:c r="D531" s="7" t="n"/>
      <ns0:c r="E531" s="7" t="n"/>
      <ns0:c r="F531" s="8" t="str">
        <ns0:f>IF(OR(B531="",J531&lt;&gt;"販売済み",E531="",C531=""),"",IFERROR(IF(OR(COUNTIF('手数料マスタ'!$A$5:$A$104,C531)&lt;&gt;1,COUNTIFS('手数料マスタ'!$A$5:$A$104,C531,'手数料マスタ'!$B$5:$B$104,"&lt;&gt;")&lt;&gt;1,NOT(ISNUMBER(VLOOKUP(C531,'手数料マスタ'!$A$5:$B$104,2,FALSE))),VLOOKUP(C531,'手数料マスタ'!$A$5:$B$104,2,FALSE)&lt;0,VLOOKUP(C531,'手数料マスタ'!$A$5:$B$104,2,FALSE)&gt;1),"要確認",ROUND(E531*VLOOKUP(C531,'手数料マスタ'!$A$5:$B$104,2,FALSE),0)),"要確認"))</ns0:f>
        <ns0:v/>
      </ns0:c>
      <ns0:c r="G531" s="7" t="n"/>
      <ns0:c r="H531" s="7" t="n"/>
      <ns0:c r="I531" s="8" t="str">
        <ns0:f>IF(OR(B531="",J531&lt;&gt;"販売済み",D531="",E531="",G531="",H531=""),"",IF(ISNUMBER(F531),E531-D531-F531-G531-H531,"要確認"))</ns0:f>
        <ns0:v/>
      </ns0:c>
      <ns0:c r="J531" s="6" t="n"/>
      <ns0:c r="K531" s="5" t="n"/>
      <ns0:c r="L531" s="9" t="str">
        <ns0:f>IF(AND(B531&lt;&gt;"",J531="在庫"),COUNTIFS($J$5:J531,"在庫",$B$5:B531,"&lt;&gt;"),"")</ns0:f>
        <ns0:v/>
      </ns0:c>
    </ns0:row>
    <ns0:row r="532">
      <ns0:c r="A532" s="5" t="n"/>
      <ns0:c r="B532" s="6" t="n"/>
      <ns0:c r="C532" s="6" t="n"/>
      <ns0:c r="D532" s="7" t="n"/>
      <ns0:c r="E532" s="7" t="n"/>
      <ns0:c r="F532" s="8" t="str">
        <ns0:f>IF(OR(B532="",J532&lt;&gt;"販売済み",E532="",C532=""),"",IFERROR(IF(OR(COUNTIF('手数料マスタ'!$A$5:$A$104,C532)&lt;&gt;1,COUNTIFS('手数料マスタ'!$A$5:$A$104,C532,'手数料マスタ'!$B$5:$B$104,"&lt;&gt;")&lt;&gt;1,NOT(ISNUMBER(VLOOKUP(C532,'手数料マスタ'!$A$5:$B$104,2,FALSE))),VLOOKUP(C532,'手数料マスタ'!$A$5:$B$104,2,FALSE)&lt;0,VLOOKUP(C532,'手数料マスタ'!$A$5:$B$104,2,FALSE)&gt;1),"要確認",ROUND(E532*VLOOKUP(C532,'手数料マスタ'!$A$5:$B$104,2,FALSE),0)),"要確認"))</ns0:f>
        <ns0:v/>
      </ns0:c>
      <ns0:c r="G532" s="7" t="n"/>
      <ns0:c r="H532" s="7" t="n"/>
      <ns0:c r="I532" s="8" t="str">
        <ns0:f>IF(OR(B532="",J532&lt;&gt;"販売済み",D532="",E532="",G532="",H532=""),"",IF(ISNUMBER(F532),E532-D532-F532-G532-H532,"要確認"))</ns0:f>
        <ns0:v/>
      </ns0:c>
      <ns0:c r="J532" s="6" t="n"/>
      <ns0:c r="K532" s="5" t="n"/>
      <ns0:c r="L532" s="9" t="str">
        <ns0:f>IF(AND(B532&lt;&gt;"",J532="在庫"),COUNTIFS($J$5:J532,"在庫",$B$5:B532,"&lt;&gt;"),"")</ns0:f>
        <ns0:v/>
      </ns0:c>
    </ns0:row>
    <ns0:row r="533">
      <ns0:c r="A533" s="5" t="n"/>
      <ns0:c r="B533" s="6" t="n"/>
      <ns0:c r="C533" s="6" t="n"/>
      <ns0:c r="D533" s="7" t="n"/>
      <ns0:c r="E533" s="7" t="n"/>
      <ns0:c r="F533" s="8" t="str">
        <ns0:f>IF(OR(B533="",J533&lt;&gt;"販売済み",E533="",C533=""),"",IFERROR(IF(OR(COUNTIF('手数料マスタ'!$A$5:$A$104,C533)&lt;&gt;1,COUNTIFS('手数料マスタ'!$A$5:$A$104,C533,'手数料マスタ'!$B$5:$B$104,"&lt;&gt;")&lt;&gt;1,NOT(ISNUMBER(VLOOKUP(C533,'手数料マスタ'!$A$5:$B$104,2,FALSE))),VLOOKUP(C533,'手数料マスタ'!$A$5:$B$104,2,FALSE)&lt;0,VLOOKUP(C533,'手数料マスタ'!$A$5:$B$104,2,FALSE)&gt;1),"要確認",ROUND(E533*VLOOKUP(C533,'手数料マスタ'!$A$5:$B$104,2,FALSE),0)),"要確認"))</ns0:f>
        <ns0:v/>
      </ns0:c>
      <ns0:c r="G533" s="7" t="n"/>
      <ns0:c r="H533" s="7" t="n"/>
      <ns0:c r="I533" s="8" t="str">
        <ns0:f>IF(OR(B533="",J533&lt;&gt;"販売済み",D533="",E533="",G533="",H533=""),"",IF(ISNUMBER(F533),E533-D533-F533-G533-H533,"要確認"))</ns0:f>
        <ns0:v/>
      </ns0:c>
      <ns0:c r="J533" s="6" t="n"/>
      <ns0:c r="K533" s="5" t="n"/>
      <ns0:c r="L533" s="9" t="str">
        <ns0:f>IF(AND(B533&lt;&gt;"",J533="在庫"),COUNTIFS($J$5:J533,"在庫",$B$5:B533,"&lt;&gt;"),"")</ns0:f>
        <ns0:v/>
      </ns0:c>
    </ns0:row>
    <ns0:row r="534">
      <ns0:c r="A534" s="5" t="n"/>
      <ns0:c r="B534" s="6" t="n"/>
      <ns0:c r="C534" s="6" t="n"/>
      <ns0:c r="D534" s="7" t="n"/>
      <ns0:c r="E534" s="7" t="n"/>
      <ns0:c r="F534" s="8" t="str">
        <ns0:f>IF(OR(B534="",J534&lt;&gt;"販売済み",E534="",C534=""),"",IFERROR(IF(OR(COUNTIF('手数料マスタ'!$A$5:$A$104,C534)&lt;&gt;1,COUNTIFS('手数料マスタ'!$A$5:$A$104,C534,'手数料マスタ'!$B$5:$B$104,"&lt;&gt;")&lt;&gt;1,NOT(ISNUMBER(VLOOKUP(C534,'手数料マスタ'!$A$5:$B$104,2,FALSE))),VLOOKUP(C534,'手数料マスタ'!$A$5:$B$104,2,FALSE)&lt;0,VLOOKUP(C534,'手数料マスタ'!$A$5:$B$104,2,FALSE)&gt;1),"要確認",ROUND(E534*VLOOKUP(C534,'手数料マスタ'!$A$5:$B$104,2,FALSE),0)),"要確認"))</ns0:f>
        <ns0:v/>
      </ns0:c>
      <ns0:c r="G534" s="7" t="n"/>
      <ns0:c r="H534" s="7" t="n"/>
      <ns0:c r="I534" s="8" t="str">
        <ns0:f>IF(OR(B534="",J534&lt;&gt;"販売済み",D534="",E534="",G534="",H534=""),"",IF(ISNUMBER(F534),E534-D534-F534-G534-H534,"要確認"))</ns0:f>
        <ns0:v/>
      </ns0:c>
      <ns0:c r="J534" s="6" t="n"/>
      <ns0:c r="K534" s="5" t="n"/>
      <ns0:c r="L534" s="9" t="str">
        <ns0:f>IF(AND(B534&lt;&gt;"",J534="在庫"),COUNTIFS($J$5:J534,"在庫",$B$5:B534,"&lt;&gt;"),"")</ns0:f>
        <ns0:v/>
      </ns0:c>
    </ns0:row>
    <ns0:row r="535">
      <ns0:c r="A535" s="5" t="n"/>
      <ns0:c r="B535" s="6" t="n"/>
      <ns0:c r="C535" s="6" t="n"/>
      <ns0:c r="D535" s="7" t="n"/>
      <ns0:c r="E535" s="7" t="n"/>
      <ns0:c r="F535" s="8" t="str">
        <ns0:f>IF(OR(B535="",J535&lt;&gt;"販売済み",E535="",C535=""),"",IFERROR(IF(OR(COUNTIF('手数料マスタ'!$A$5:$A$104,C535)&lt;&gt;1,COUNTIFS('手数料マスタ'!$A$5:$A$104,C535,'手数料マスタ'!$B$5:$B$104,"&lt;&gt;")&lt;&gt;1,NOT(ISNUMBER(VLOOKUP(C535,'手数料マスタ'!$A$5:$B$104,2,FALSE))),VLOOKUP(C535,'手数料マスタ'!$A$5:$B$104,2,FALSE)&lt;0,VLOOKUP(C535,'手数料マスタ'!$A$5:$B$104,2,FALSE)&gt;1),"要確認",ROUND(E535*VLOOKUP(C535,'手数料マスタ'!$A$5:$B$104,2,FALSE),0)),"要確認"))</ns0:f>
        <ns0:v/>
      </ns0:c>
      <ns0:c r="G535" s="7" t="n"/>
      <ns0:c r="H535" s="7" t="n"/>
      <ns0:c r="I535" s="8" t="str">
        <ns0:f>IF(OR(B535="",J535&lt;&gt;"販売済み",D535="",E535="",G535="",H535=""),"",IF(ISNUMBER(F535),E535-D535-F535-G535-H535,"要確認"))</ns0:f>
        <ns0:v/>
      </ns0:c>
      <ns0:c r="J535" s="6" t="n"/>
      <ns0:c r="K535" s="5" t="n"/>
      <ns0:c r="L535" s="9" t="str">
        <ns0:f>IF(AND(B535&lt;&gt;"",J535="在庫"),COUNTIFS($J$5:J535,"在庫",$B$5:B535,"&lt;&gt;"),"")</ns0:f>
        <ns0:v/>
      </ns0:c>
    </ns0:row>
    <ns0:row r="536">
      <ns0:c r="A536" s="5" t="n"/>
      <ns0:c r="B536" s="6" t="n"/>
      <ns0:c r="C536" s="6" t="n"/>
      <ns0:c r="D536" s="7" t="n"/>
      <ns0:c r="E536" s="7" t="n"/>
      <ns0:c r="F536" s="8" t="str">
        <ns0:f>IF(OR(B536="",J536&lt;&gt;"販売済み",E536="",C536=""),"",IFERROR(IF(OR(COUNTIF('手数料マスタ'!$A$5:$A$104,C536)&lt;&gt;1,COUNTIFS('手数料マスタ'!$A$5:$A$104,C536,'手数料マスタ'!$B$5:$B$104,"&lt;&gt;")&lt;&gt;1,NOT(ISNUMBER(VLOOKUP(C536,'手数料マスタ'!$A$5:$B$104,2,FALSE))),VLOOKUP(C536,'手数料マスタ'!$A$5:$B$104,2,FALSE)&lt;0,VLOOKUP(C536,'手数料マスタ'!$A$5:$B$104,2,FALSE)&gt;1),"要確認",ROUND(E536*VLOOKUP(C536,'手数料マスタ'!$A$5:$B$104,2,FALSE),0)),"要確認"))</ns0:f>
        <ns0:v/>
      </ns0:c>
      <ns0:c r="G536" s="7" t="n"/>
      <ns0:c r="H536" s="7" t="n"/>
      <ns0:c r="I536" s="8" t="str">
        <ns0:f>IF(OR(B536="",J536&lt;&gt;"販売済み",D536="",E536="",G536="",H536=""),"",IF(ISNUMBER(F536),E536-D536-F536-G536-H536,"要確認"))</ns0:f>
        <ns0:v/>
      </ns0:c>
      <ns0:c r="J536" s="6" t="n"/>
      <ns0:c r="K536" s="5" t="n"/>
      <ns0:c r="L536" s="9" t="str">
        <ns0:f>IF(AND(B536&lt;&gt;"",J536="在庫"),COUNTIFS($J$5:J536,"在庫",$B$5:B536,"&lt;&gt;"),"")</ns0:f>
        <ns0:v/>
      </ns0:c>
    </ns0:row>
    <ns0:row r="537">
      <ns0:c r="A537" s="5" t="n"/>
      <ns0:c r="B537" s="6" t="n"/>
      <ns0:c r="C537" s="6" t="n"/>
      <ns0:c r="D537" s="7" t="n"/>
      <ns0:c r="E537" s="7" t="n"/>
      <ns0:c r="F537" s="8" t="str">
        <ns0:f>IF(OR(B537="",J537&lt;&gt;"販売済み",E537="",C537=""),"",IFERROR(IF(OR(COUNTIF('手数料マスタ'!$A$5:$A$104,C537)&lt;&gt;1,COUNTIFS('手数料マスタ'!$A$5:$A$104,C537,'手数料マスタ'!$B$5:$B$104,"&lt;&gt;")&lt;&gt;1,NOT(ISNUMBER(VLOOKUP(C537,'手数料マスタ'!$A$5:$B$104,2,FALSE))),VLOOKUP(C537,'手数料マスタ'!$A$5:$B$104,2,FALSE)&lt;0,VLOOKUP(C537,'手数料マスタ'!$A$5:$B$104,2,FALSE)&gt;1),"要確認",ROUND(E537*VLOOKUP(C537,'手数料マスタ'!$A$5:$B$104,2,FALSE),0)),"要確認"))</ns0:f>
        <ns0:v/>
      </ns0:c>
      <ns0:c r="G537" s="7" t="n"/>
      <ns0:c r="H537" s="7" t="n"/>
      <ns0:c r="I537" s="8" t="str">
        <ns0:f>IF(OR(B537="",J537&lt;&gt;"販売済み",D537="",E537="",G537="",H537=""),"",IF(ISNUMBER(F537),E537-D537-F537-G537-H537,"要確認"))</ns0:f>
        <ns0:v/>
      </ns0:c>
      <ns0:c r="J537" s="6" t="n"/>
      <ns0:c r="K537" s="5" t="n"/>
      <ns0:c r="L537" s="9" t="str">
        <ns0:f>IF(AND(B537&lt;&gt;"",J537="在庫"),COUNTIFS($J$5:J537,"在庫",$B$5:B537,"&lt;&gt;"),"")</ns0:f>
        <ns0:v/>
      </ns0:c>
    </ns0:row>
    <ns0:row r="538">
      <ns0:c r="A538" s="5" t="n"/>
      <ns0:c r="B538" s="6" t="n"/>
      <ns0:c r="C538" s="6" t="n"/>
      <ns0:c r="D538" s="7" t="n"/>
      <ns0:c r="E538" s="7" t="n"/>
      <ns0:c r="F538" s="8" t="str">
        <ns0:f>IF(OR(B538="",J538&lt;&gt;"販売済み",E538="",C538=""),"",IFERROR(IF(OR(COUNTIF('手数料マスタ'!$A$5:$A$104,C538)&lt;&gt;1,COUNTIFS('手数料マスタ'!$A$5:$A$104,C538,'手数料マスタ'!$B$5:$B$104,"&lt;&gt;")&lt;&gt;1,NOT(ISNUMBER(VLOOKUP(C538,'手数料マスタ'!$A$5:$B$104,2,FALSE))),VLOOKUP(C538,'手数料マスタ'!$A$5:$B$104,2,FALSE)&lt;0,VLOOKUP(C538,'手数料マスタ'!$A$5:$B$104,2,FALSE)&gt;1),"要確認",ROUND(E538*VLOOKUP(C538,'手数料マスタ'!$A$5:$B$104,2,FALSE),0)),"要確認"))</ns0:f>
        <ns0:v/>
      </ns0:c>
      <ns0:c r="G538" s="7" t="n"/>
      <ns0:c r="H538" s="7" t="n"/>
      <ns0:c r="I538" s="8" t="str">
        <ns0:f>IF(OR(B538="",J538&lt;&gt;"販売済み",D538="",E538="",G538="",H538=""),"",IF(ISNUMBER(F538),E538-D538-F538-G538-H538,"要確認"))</ns0:f>
        <ns0:v/>
      </ns0:c>
      <ns0:c r="J538" s="6" t="n"/>
      <ns0:c r="K538" s="5" t="n"/>
      <ns0:c r="L538" s="9" t="str">
        <ns0:f>IF(AND(B538&lt;&gt;"",J538="在庫"),COUNTIFS($J$5:J538,"在庫",$B$5:B538,"&lt;&gt;"),"")</ns0:f>
        <ns0:v/>
      </ns0:c>
    </ns0:row>
    <ns0:row r="539">
      <ns0:c r="A539" s="5" t="n"/>
      <ns0:c r="B539" s="6" t="n"/>
      <ns0:c r="C539" s="6" t="n"/>
      <ns0:c r="D539" s="7" t="n"/>
      <ns0:c r="E539" s="7" t="n"/>
      <ns0:c r="F539" s="8" t="str">
        <ns0:f>IF(OR(B539="",J539&lt;&gt;"販売済み",E539="",C539=""),"",IFERROR(IF(OR(COUNTIF('手数料マスタ'!$A$5:$A$104,C539)&lt;&gt;1,COUNTIFS('手数料マスタ'!$A$5:$A$104,C539,'手数料マスタ'!$B$5:$B$104,"&lt;&gt;")&lt;&gt;1,NOT(ISNUMBER(VLOOKUP(C539,'手数料マスタ'!$A$5:$B$104,2,FALSE))),VLOOKUP(C539,'手数料マスタ'!$A$5:$B$104,2,FALSE)&lt;0,VLOOKUP(C539,'手数料マスタ'!$A$5:$B$104,2,FALSE)&gt;1),"要確認",ROUND(E539*VLOOKUP(C539,'手数料マスタ'!$A$5:$B$104,2,FALSE),0)),"要確認"))</ns0:f>
        <ns0:v/>
      </ns0:c>
      <ns0:c r="G539" s="7" t="n"/>
      <ns0:c r="H539" s="7" t="n"/>
      <ns0:c r="I539" s="8" t="str">
        <ns0:f>IF(OR(B539="",J539&lt;&gt;"販売済み",D539="",E539="",G539="",H539=""),"",IF(ISNUMBER(F539),E539-D539-F539-G539-H539,"要確認"))</ns0:f>
        <ns0:v/>
      </ns0:c>
      <ns0:c r="J539" s="6" t="n"/>
      <ns0:c r="K539" s="5" t="n"/>
      <ns0:c r="L539" s="9" t="str">
        <ns0:f>IF(AND(B539&lt;&gt;"",J539="在庫"),COUNTIFS($J$5:J539,"在庫",$B$5:B539,"&lt;&gt;"),"")</ns0:f>
        <ns0:v/>
      </ns0:c>
    </ns0:row>
    <ns0:row r="540">
      <ns0:c r="A540" s="5" t="n"/>
      <ns0:c r="B540" s="6" t="n"/>
      <ns0:c r="C540" s="6" t="n"/>
      <ns0:c r="D540" s="7" t="n"/>
      <ns0:c r="E540" s="7" t="n"/>
      <ns0:c r="F540" s="8" t="str">
        <ns0:f>IF(OR(B540="",J540&lt;&gt;"販売済み",E540="",C540=""),"",IFERROR(IF(OR(COUNTIF('手数料マスタ'!$A$5:$A$104,C540)&lt;&gt;1,COUNTIFS('手数料マスタ'!$A$5:$A$104,C540,'手数料マスタ'!$B$5:$B$104,"&lt;&gt;")&lt;&gt;1,NOT(ISNUMBER(VLOOKUP(C540,'手数料マスタ'!$A$5:$B$104,2,FALSE))),VLOOKUP(C540,'手数料マスタ'!$A$5:$B$104,2,FALSE)&lt;0,VLOOKUP(C540,'手数料マスタ'!$A$5:$B$104,2,FALSE)&gt;1),"要確認",ROUND(E540*VLOOKUP(C540,'手数料マスタ'!$A$5:$B$104,2,FALSE),0)),"要確認"))</ns0:f>
        <ns0:v/>
      </ns0:c>
      <ns0:c r="G540" s="7" t="n"/>
      <ns0:c r="H540" s="7" t="n"/>
      <ns0:c r="I540" s="8" t="str">
        <ns0:f>IF(OR(B540="",J540&lt;&gt;"販売済み",D540="",E540="",G540="",H540=""),"",IF(ISNUMBER(F540),E540-D540-F540-G540-H540,"要確認"))</ns0:f>
        <ns0:v/>
      </ns0:c>
      <ns0:c r="J540" s="6" t="n"/>
      <ns0:c r="K540" s="5" t="n"/>
      <ns0:c r="L540" s="9" t="str">
        <ns0:f>IF(AND(B540&lt;&gt;"",J540="在庫"),COUNTIFS($J$5:J540,"在庫",$B$5:B540,"&lt;&gt;"),"")</ns0:f>
        <ns0:v/>
      </ns0:c>
    </ns0:row>
    <ns0:row r="541">
      <ns0:c r="A541" s="5" t="n"/>
      <ns0:c r="B541" s="6" t="n"/>
      <ns0:c r="C541" s="6" t="n"/>
      <ns0:c r="D541" s="7" t="n"/>
      <ns0:c r="E541" s="7" t="n"/>
      <ns0:c r="F541" s="8" t="str">
        <ns0:f>IF(OR(B541="",J541&lt;&gt;"販売済み",E541="",C541=""),"",IFERROR(IF(OR(COUNTIF('手数料マスタ'!$A$5:$A$104,C541)&lt;&gt;1,COUNTIFS('手数料マスタ'!$A$5:$A$104,C541,'手数料マスタ'!$B$5:$B$104,"&lt;&gt;")&lt;&gt;1,NOT(ISNUMBER(VLOOKUP(C541,'手数料マスタ'!$A$5:$B$104,2,FALSE))),VLOOKUP(C541,'手数料マスタ'!$A$5:$B$104,2,FALSE)&lt;0,VLOOKUP(C541,'手数料マスタ'!$A$5:$B$104,2,FALSE)&gt;1),"要確認",ROUND(E541*VLOOKUP(C541,'手数料マスタ'!$A$5:$B$104,2,FALSE),0)),"要確認"))</ns0:f>
        <ns0:v/>
      </ns0:c>
      <ns0:c r="G541" s="7" t="n"/>
      <ns0:c r="H541" s="7" t="n"/>
      <ns0:c r="I541" s="8" t="str">
        <ns0:f>IF(OR(B541="",J541&lt;&gt;"販売済み",D541="",E541="",G541="",H541=""),"",IF(ISNUMBER(F541),E541-D541-F541-G541-H541,"要確認"))</ns0:f>
        <ns0:v/>
      </ns0:c>
      <ns0:c r="J541" s="6" t="n"/>
      <ns0:c r="K541" s="5" t="n"/>
      <ns0:c r="L541" s="9" t="str">
        <ns0:f>IF(AND(B541&lt;&gt;"",J541="在庫"),COUNTIFS($J$5:J541,"在庫",$B$5:B541,"&lt;&gt;"),"")</ns0:f>
        <ns0:v/>
      </ns0:c>
    </ns0:row>
    <ns0:row r="542">
      <ns0:c r="A542" s="5" t="n"/>
      <ns0:c r="B542" s="6" t="n"/>
      <ns0:c r="C542" s="6" t="n"/>
      <ns0:c r="D542" s="7" t="n"/>
      <ns0:c r="E542" s="7" t="n"/>
      <ns0:c r="F542" s="8" t="str">
        <ns0:f>IF(OR(B542="",J542&lt;&gt;"販売済み",E542="",C542=""),"",IFERROR(IF(OR(COUNTIF('手数料マスタ'!$A$5:$A$104,C542)&lt;&gt;1,COUNTIFS('手数料マスタ'!$A$5:$A$104,C542,'手数料マスタ'!$B$5:$B$104,"&lt;&gt;")&lt;&gt;1,NOT(ISNUMBER(VLOOKUP(C542,'手数料マスタ'!$A$5:$B$104,2,FALSE))),VLOOKUP(C542,'手数料マスタ'!$A$5:$B$104,2,FALSE)&lt;0,VLOOKUP(C542,'手数料マスタ'!$A$5:$B$104,2,FALSE)&gt;1),"要確認",ROUND(E542*VLOOKUP(C542,'手数料マスタ'!$A$5:$B$104,2,FALSE),0)),"要確認"))</ns0:f>
        <ns0:v/>
      </ns0:c>
      <ns0:c r="G542" s="7" t="n"/>
      <ns0:c r="H542" s="7" t="n"/>
      <ns0:c r="I542" s="8" t="str">
        <ns0:f>IF(OR(B542="",J542&lt;&gt;"販売済み",D542="",E542="",G542="",H542=""),"",IF(ISNUMBER(F542),E542-D542-F542-G542-H542,"要確認"))</ns0:f>
        <ns0:v/>
      </ns0:c>
      <ns0:c r="J542" s="6" t="n"/>
      <ns0:c r="K542" s="5" t="n"/>
      <ns0:c r="L542" s="9" t="str">
        <ns0:f>IF(AND(B542&lt;&gt;"",J542="在庫"),COUNTIFS($J$5:J542,"在庫",$B$5:B542,"&lt;&gt;"),"")</ns0:f>
        <ns0:v/>
      </ns0:c>
    </ns0:row>
    <ns0:row r="543">
      <ns0:c r="A543" s="5" t="n"/>
      <ns0:c r="B543" s="6" t="n"/>
      <ns0:c r="C543" s="6" t="n"/>
      <ns0:c r="D543" s="7" t="n"/>
      <ns0:c r="E543" s="7" t="n"/>
      <ns0:c r="F543" s="8" t="str">
        <ns0:f>IF(OR(B543="",J543&lt;&gt;"販売済み",E543="",C543=""),"",IFERROR(IF(OR(COUNTIF('手数料マスタ'!$A$5:$A$104,C543)&lt;&gt;1,COUNTIFS('手数料マスタ'!$A$5:$A$104,C543,'手数料マスタ'!$B$5:$B$104,"&lt;&gt;")&lt;&gt;1,NOT(ISNUMBER(VLOOKUP(C543,'手数料マスタ'!$A$5:$B$104,2,FALSE))),VLOOKUP(C543,'手数料マスタ'!$A$5:$B$104,2,FALSE)&lt;0,VLOOKUP(C543,'手数料マスタ'!$A$5:$B$104,2,FALSE)&gt;1),"要確認",ROUND(E543*VLOOKUP(C543,'手数料マスタ'!$A$5:$B$104,2,FALSE),0)),"要確認"))</ns0:f>
        <ns0:v/>
      </ns0:c>
      <ns0:c r="G543" s="7" t="n"/>
      <ns0:c r="H543" s="7" t="n"/>
      <ns0:c r="I543" s="8" t="str">
        <ns0:f>IF(OR(B543="",J543&lt;&gt;"販売済み",D543="",E543="",G543="",H543=""),"",IF(ISNUMBER(F543),E543-D543-F543-G543-H543,"要確認"))</ns0:f>
        <ns0:v/>
      </ns0:c>
      <ns0:c r="J543" s="6" t="n"/>
      <ns0:c r="K543" s="5" t="n"/>
      <ns0:c r="L543" s="9" t="str">
        <ns0:f>IF(AND(B543&lt;&gt;"",J543="在庫"),COUNTIFS($J$5:J543,"在庫",$B$5:B543,"&lt;&gt;"),"")</ns0:f>
        <ns0:v/>
      </ns0:c>
    </ns0:row>
    <ns0:row r="544">
      <ns0:c r="A544" s="5" t="n"/>
      <ns0:c r="B544" s="6" t="n"/>
      <ns0:c r="C544" s="6" t="n"/>
      <ns0:c r="D544" s="7" t="n"/>
      <ns0:c r="E544" s="7" t="n"/>
      <ns0:c r="F544" s="8" t="str">
        <ns0:f>IF(OR(B544="",J544&lt;&gt;"販売済み",E544="",C544=""),"",IFERROR(IF(OR(COUNTIF('手数料マスタ'!$A$5:$A$104,C544)&lt;&gt;1,COUNTIFS('手数料マスタ'!$A$5:$A$104,C544,'手数料マスタ'!$B$5:$B$104,"&lt;&gt;")&lt;&gt;1,NOT(ISNUMBER(VLOOKUP(C544,'手数料マスタ'!$A$5:$B$104,2,FALSE))),VLOOKUP(C544,'手数料マスタ'!$A$5:$B$104,2,FALSE)&lt;0,VLOOKUP(C544,'手数料マスタ'!$A$5:$B$104,2,FALSE)&gt;1),"要確認",ROUND(E544*VLOOKUP(C544,'手数料マスタ'!$A$5:$B$104,2,FALSE),0)),"要確認"))</ns0:f>
        <ns0:v/>
      </ns0:c>
      <ns0:c r="G544" s="7" t="n"/>
      <ns0:c r="H544" s="7" t="n"/>
      <ns0:c r="I544" s="8" t="str">
        <ns0:f>IF(OR(B544="",J544&lt;&gt;"販売済み",D544="",E544="",G544="",H544=""),"",IF(ISNUMBER(F544),E544-D544-F544-G544-H544,"要確認"))</ns0:f>
        <ns0:v/>
      </ns0:c>
      <ns0:c r="J544" s="6" t="n"/>
      <ns0:c r="K544" s="5" t="n"/>
      <ns0:c r="L544" s="9" t="str">
        <ns0:f>IF(AND(B544&lt;&gt;"",J544="在庫"),COUNTIFS($J$5:J544,"在庫",$B$5:B544,"&lt;&gt;"),"")</ns0:f>
        <ns0:v/>
      </ns0:c>
    </ns0:row>
    <ns0:row r="545">
      <ns0:c r="A545" s="5" t="n"/>
      <ns0:c r="B545" s="6" t="n"/>
      <ns0:c r="C545" s="6" t="n"/>
      <ns0:c r="D545" s="7" t="n"/>
      <ns0:c r="E545" s="7" t="n"/>
      <ns0:c r="F545" s="8" t="str">
        <ns0:f>IF(OR(B545="",J545&lt;&gt;"販売済み",E545="",C545=""),"",IFERROR(IF(OR(COUNTIF('手数料マスタ'!$A$5:$A$104,C545)&lt;&gt;1,COUNTIFS('手数料マスタ'!$A$5:$A$104,C545,'手数料マスタ'!$B$5:$B$104,"&lt;&gt;")&lt;&gt;1,NOT(ISNUMBER(VLOOKUP(C545,'手数料マスタ'!$A$5:$B$104,2,FALSE))),VLOOKUP(C545,'手数料マスタ'!$A$5:$B$104,2,FALSE)&lt;0,VLOOKUP(C545,'手数料マスタ'!$A$5:$B$104,2,FALSE)&gt;1),"要確認",ROUND(E545*VLOOKUP(C545,'手数料マスタ'!$A$5:$B$104,2,FALSE),0)),"要確認"))</ns0:f>
        <ns0:v/>
      </ns0:c>
      <ns0:c r="G545" s="7" t="n"/>
      <ns0:c r="H545" s="7" t="n"/>
      <ns0:c r="I545" s="8" t="str">
        <ns0:f>IF(OR(B545="",J545&lt;&gt;"販売済み",D545="",E545="",G545="",H545=""),"",IF(ISNUMBER(F545),E545-D545-F545-G545-H545,"要確認"))</ns0:f>
        <ns0:v/>
      </ns0:c>
      <ns0:c r="J545" s="6" t="n"/>
      <ns0:c r="K545" s="5" t="n"/>
      <ns0:c r="L545" s="9" t="str">
        <ns0:f>IF(AND(B545&lt;&gt;"",J545="在庫"),COUNTIFS($J$5:J545,"在庫",$B$5:B545,"&lt;&gt;"),"")</ns0:f>
        <ns0:v/>
      </ns0:c>
    </ns0:row>
    <ns0:row r="546">
      <ns0:c r="A546" s="5" t="n"/>
      <ns0:c r="B546" s="6" t="n"/>
      <ns0:c r="C546" s="6" t="n"/>
      <ns0:c r="D546" s="7" t="n"/>
      <ns0:c r="E546" s="7" t="n"/>
      <ns0:c r="F546" s="8" t="str">
        <ns0:f>IF(OR(B546="",J546&lt;&gt;"販売済み",E546="",C546=""),"",IFERROR(IF(OR(COUNTIF('手数料マスタ'!$A$5:$A$104,C546)&lt;&gt;1,COUNTIFS('手数料マスタ'!$A$5:$A$104,C546,'手数料マスタ'!$B$5:$B$104,"&lt;&gt;")&lt;&gt;1,NOT(ISNUMBER(VLOOKUP(C546,'手数料マスタ'!$A$5:$B$104,2,FALSE))),VLOOKUP(C546,'手数料マスタ'!$A$5:$B$104,2,FALSE)&lt;0,VLOOKUP(C546,'手数料マスタ'!$A$5:$B$104,2,FALSE)&gt;1),"要確認",ROUND(E546*VLOOKUP(C546,'手数料マスタ'!$A$5:$B$104,2,FALSE),0)),"要確認"))</ns0:f>
        <ns0:v/>
      </ns0:c>
      <ns0:c r="G546" s="7" t="n"/>
      <ns0:c r="H546" s="7" t="n"/>
      <ns0:c r="I546" s="8" t="str">
        <ns0:f>IF(OR(B546="",J546&lt;&gt;"販売済み",D546="",E546="",G546="",H546=""),"",IF(ISNUMBER(F546),E546-D546-F546-G546-H546,"要確認"))</ns0:f>
        <ns0:v/>
      </ns0:c>
      <ns0:c r="J546" s="6" t="n"/>
      <ns0:c r="K546" s="5" t="n"/>
      <ns0:c r="L546" s="9" t="str">
        <ns0:f>IF(AND(B546&lt;&gt;"",J546="在庫"),COUNTIFS($J$5:J546,"在庫",$B$5:B546,"&lt;&gt;"),"")</ns0:f>
        <ns0:v/>
      </ns0:c>
    </ns0:row>
    <ns0:row r="547">
      <ns0:c r="A547" s="5" t="n"/>
      <ns0:c r="B547" s="6" t="n"/>
      <ns0:c r="C547" s="6" t="n"/>
      <ns0:c r="D547" s="7" t="n"/>
      <ns0:c r="E547" s="7" t="n"/>
      <ns0:c r="F547" s="8" t="str">
        <ns0:f>IF(OR(B547="",J547&lt;&gt;"販売済み",E547="",C547=""),"",IFERROR(IF(OR(COUNTIF('手数料マスタ'!$A$5:$A$104,C547)&lt;&gt;1,COUNTIFS('手数料マスタ'!$A$5:$A$104,C547,'手数料マスタ'!$B$5:$B$104,"&lt;&gt;")&lt;&gt;1,NOT(ISNUMBER(VLOOKUP(C547,'手数料マスタ'!$A$5:$B$104,2,FALSE))),VLOOKUP(C547,'手数料マスタ'!$A$5:$B$104,2,FALSE)&lt;0,VLOOKUP(C547,'手数料マスタ'!$A$5:$B$104,2,FALSE)&gt;1),"要確認",ROUND(E547*VLOOKUP(C547,'手数料マスタ'!$A$5:$B$104,2,FALSE),0)),"要確認"))</ns0:f>
        <ns0:v/>
      </ns0:c>
      <ns0:c r="G547" s="7" t="n"/>
      <ns0:c r="H547" s="7" t="n"/>
      <ns0:c r="I547" s="8" t="str">
        <ns0:f>IF(OR(B547="",J547&lt;&gt;"販売済み",D547="",E547="",G547="",H547=""),"",IF(ISNUMBER(F547),E547-D547-F547-G547-H547,"要確認"))</ns0:f>
        <ns0:v/>
      </ns0:c>
      <ns0:c r="J547" s="6" t="n"/>
      <ns0:c r="K547" s="5" t="n"/>
      <ns0:c r="L547" s="9" t="str">
        <ns0:f>IF(AND(B547&lt;&gt;"",J547="在庫"),COUNTIFS($J$5:J547,"在庫",$B$5:B547,"&lt;&gt;"),"")</ns0:f>
        <ns0:v/>
      </ns0:c>
    </ns0:row>
    <ns0:row r="548">
      <ns0:c r="A548" s="5" t="n"/>
      <ns0:c r="B548" s="6" t="n"/>
      <ns0:c r="C548" s="6" t="n"/>
      <ns0:c r="D548" s="7" t="n"/>
      <ns0:c r="E548" s="7" t="n"/>
      <ns0:c r="F548" s="8" t="str">
        <ns0:f>IF(OR(B548="",J548&lt;&gt;"販売済み",E548="",C548=""),"",IFERROR(IF(OR(COUNTIF('手数料マスタ'!$A$5:$A$104,C548)&lt;&gt;1,COUNTIFS('手数料マスタ'!$A$5:$A$104,C548,'手数料マスタ'!$B$5:$B$104,"&lt;&gt;")&lt;&gt;1,NOT(ISNUMBER(VLOOKUP(C548,'手数料マスタ'!$A$5:$B$104,2,FALSE))),VLOOKUP(C548,'手数料マスタ'!$A$5:$B$104,2,FALSE)&lt;0,VLOOKUP(C548,'手数料マスタ'!$A$5:$B$104,2,FALSE)&gt;1),"要確認",ROUND(E548*VLOOKUP(C548,'手数料マスタ'!$A$5:$B$104,2,FALSE),0)),"要確認"))</ns0:f>
        <ns0:v/>
      </ns0:c>
      <ns0:c r="G548" s="7" t="n"/>
      <ns0:c r="H548" s="7" t="n"/>
      <ns0:c r="I548" s="8" t="str">
        <ns0:f>IF(OR(B548="",J548&lt;&gt;"販売済み",D548="",E548="",G548="",H548=""),"",IF(ISNUMBER(F548),E548-D548-F548-G548-H548,"要確認"))</ns0:f>
        <ns0:v/>
      </ns0:c>
      <ns0:c r="J548" s="6" t="n"/>
      <ns0:c r="K548" s="5" t="n"/>
      <ns0:c r="L548" s="9" t="str">
        <ns0:f>IF(AND(B548&lt;&gt;"",J548="在庫"),COUNTIFS($J$5:J548,"在庫",$B$5:B548,"&lt;&gt;"),"")</ns0:f>
        <ns0:v/>
      </ns0:c>
    </ns0:row>
    <ns0:row r="549">
      <ns0:c r="A549" s="5" t="n"/>
      <ns0:c r="B549" s="6" t="n"/>
      <ns0:c r="C549" s="6" t="n"/>
      <ns0:c r="D549" s="7" t="n"/>
      <ns0:c r="E549" s="7" t="n"/>
      <ns0:c r="F549" s="8" t="str">
        <ns0:f>IF(OR(B549="",J549&lt;&gt;"販売済み",E549="",C549=""),"",IFERROR(IF(OR(COUNTIF('手数料マスタ'!$A$5:$A$104,C549)&lt;&gt;1,COUNTIFS('手数料マスタ'!$A$5:$A$104,C549,'手数料マスタ'!$B$5:$B$104,"&lt;&gt;")&lt;&gt;1,NOT(ISNUMBER(VLOOKUP(C549,'手数料マスタ'!$A$5:$B$104,2,FALSE))),VLOOKUP(C549,'手数料マスタ'!$A$5:$B$104,2,FALSE)&lt;0,VLOOKUP(C549,'手数料マスタ'!$A$5:$B$104,2,FALSE)&gt;1),"要確認",ROUND(E549*VLOOKUP(C549,'手数料マスタ'!$A$5:$B$104,2,FALSE),0)),"要確認"))</ns0:f>
        <ns0:v/>
      </ns0:c>
      <ns0:c r="G549" s="7" t="n"/>
      <ns0:c r="H549" s="7" t="n"/>
      <ns0:c r="I549" s="8" t="str">
        <ns0:f>IF(OR(B549="",J549&lt;&gt;"販売済み",D549="",E549="",G549="",H549=""),"",IF(ISNUMBER(F549),E549-D549-F549-G549-H549,"要確認"))</ns0:f>
        <ns0:v/>
      </ns0:c>
      <ns0:c r="J549" s="6" t="n"/>
      <ns0:c r="K549" s="5" t="n"/>
      <ns0:c r="L549" s="9" t="str">
        <ns0:f>IF(AND(B549&lt;&gt;"",J549="在庫"),COUNTIFS($J$5:J549,"在庫",$B$5:B549,"&lt;&gt;"),"")</ns0:f>
        <ns0:v/>
      </ns0:c>
    </ns0:row>
    <ns0:row r="550">
      <ns0:c r="A550" s="5" t="n"/>
      <ns0:c r="B550" s="6" t="n"/>
      <ns0:c r="C550" s="6" t="n"/>
      <ns0:c r="D550" s="7" t="n"/>
      <ns0:c r="E550" s="7" t="n"/>
      <ns0:c r="F550" s="8" t="str">
        <ns0:f>IF(OR(B550="",J550&lt;&gt;"販売済み",E550="",C550=""),"",IFERROR(IF(OR(COUNTIF('手数料マスタ'!$A$5:$A$104,C550)&lt;&gt;1,COUNTIFS('手数料マスタ'!$A$5:$A$104,C550,'手数料マスタ'!$B$5:$B$104,"&lt;&gt;")&lt;&gt;1,NOT(ISNUMBER(VLOOKUP(C550,'手数料マスタ'!$A$5:$B$104,2,FALSE))),VLOOKUP(C550,'手数料マスタ'!$A$5:$B$104,2,FALSE)&lt;0,VLOOKUP(C550,'手数料マスタ'!$A$5:$B$104,2,FALSE)&gt;1),"要確認",ROUND(E550*VLOOKUP(C550,'手数料マスタ'!$A$5:$B$104,2,FALSE),0)),"要確認"))</ns0:f>
        <ns0:v/>
      </ns0:c>
      <ns0:c r="G550" s="7" t="n"/>
      <ns0:c r="H550" s="7" t="n"/>
      <ns0:c r="I550" s="8" t="str">
        <ns0:f>IF(OR(B550="",J550&lt;&gt;"販売済み",D550="",E550="",G550="",H550=""),"",IF(ISNUMBER(F550),E550-D550-F550-G550-H550,"要確認"))</ns0:f>
        <ns0:v/>
      </ns0:c>
      <ns0:c r="J550" s="6" t="n"/>
      <ns0:c r="K550" s="5" t="n"/>
      <ns0:c r="L550" s="9" t="str">
        <ns0:f>IF(AND(B550&lt;&gt;"",J550="在庫"),COUNTIFS($J$5:J550,"在庫",$B$5:B550,"&lt;&gt;"),"")</ns0:f>
        <ns0:v/>
      </ns0:c>
    </ns0:row>
    <ns0:row r="551">
      <ns0:c r="A551" s="5" t="n"/>
      <ns0:c r="B551" s="6" t="n"/>
      <ns0:c r="C551" s="6" t="n"/>
      <ns0:c r="D551" s="7" t="n"/>
      <ns0:c r="E551" s="7" t="n"/>
      <ns0:c r="F551" s="8" t="str">
        <ns0:f>IF(OR(B551="",J551&lt;&gt;"販売済み",E551="",C551=""),"",IFERROR(IF(OR(COUNTIF('手数料マスタ'!$A$5:$A$104,C551)&lt;&gt;1,COUNTIFS('手数料マスタ'!$A$5:$A$104,C551,'手数料マスタ'!$B$5:$B$104,"&lt;&gt;")&lt;&gt;1,NOT(ISNUMBER(VLOOKUP(C551,'手数料マスタ'!$A$5:$B$104,2,FALSE))),VLOOKUP(C551,'手数料マスタ'!$A$5:$B$104,2,FALSE)&lt;0,VLOOKUP(C551,'手数料マスタ'!$A$5:$B$104,2,FALSE)&gt;1),"要確認",ROUND(E551*VLOOKUP(C551,'手数料マスタ'!$A$5:$B$104,2,FALSE),0)),"要確認"))</ns0:f>
        <ns0:v/>
      </ns0:c>
      <ns0:c r="G551" s="7" t="n"/>
      <ns0:c r="H551" s="7" t="n"/>
      <ns0:c r="I551" s="8" t="str">
        <ns0:f>IF(OR(B551="",J551&lt;&gt;"販売済み",D551="",E551="",G551="",H551=""),"",IF(ISNUMBER(F551),E551-D551-F551-G551-H551,"要確認"))</ns0:f>
        <ns0:v/>
      </ns0:c>
      <ns0:c r="J551" s="6" t="n"/>
      <ns0:c r="K551" s="5" t="n"/>
      <ns0:c r="L551" s="9" t="str">
        <ns0:f>IF(AND(B551&lt;&gt;"",J551="在庫"),COUNTIFS($J$5:J551,"在庫",$B$5:B551,"&lt;&gt;"),"")</ns0:f>
        <ns0:v/>
      </ns0:c>
    </ns0:row>
    <ns0:row r="552">
      <ns0:c r="A552" s="5" t="n"/>
      <ns0:c r="B552" s="6" t="n"/>
      <ns0:c r="C552" s="6" t="n"/>
      <ns0:c r="D552" s="7" t="n"/>
      <ns0:c r="E552" s="7" t="n"/>
      <ns0:c r="F552" s="8" t="str">
        <ns0:f>IF(OR(B552="",J552&lt;&gt;"販売済み",E552="",C552=""),"",IFERROR(IF(OR(COUNTIF('手数料マスタ'!$A$5:$A$104,C552)&lt;&gt;1,COUNTIFS('手数料マスタ'!$A$5:$A$104,C552,'手数料マスタ'!$B$5:$B$104,"&lt;&gt;")&lt;&gt;1,NOT(ISNUMBER(VLOOKUP(C552,'手数料マスタ'!$A$5:$B$104,2,FALSE))),VLOOKUP(C552,'手数料マスタ'!$A$5:$B$104,2,FALSE)&lt;0,VLOOKUP(C552,'手数料マスタ'!$A$5:$B$104,2,FALSE)&gt;1),"要確認",ROUND(E552*VLOOKUP(C552,'手数料マスタ'!$A$5:$B$104,2,FALSE),0)),"要確認"))</ns0:f>
        <ns0:v/>
      </ns0:c>
      <ns0:c r="G552" s="7" t="n"/>
      <ns0:c r="H552" s="7" t="n"/>
      <ns0:c r="I552" s="8" t="str">
        <ns0:f>IF(OR(B552="",J552&lt;&gt;"販売済み",D552="",E552="",G552="",H552=""),"",IF(ISNUMBER(F552),E552-D552-F552-G552-H552,"要確認"))</ns0:f>
        <ns0:v/>
      </ns0:c>
      <ns0:c r="J552" s="6" t="n"/>
      <ns0:c r="K552" s="5" t="n"/>
      <ns0:c r="L552" s="9" t="str">
        <ns0:f>IF(AND(B552&lt;&gt;"",J552="在庫"),COUNTIFS($J$5:J552,"在庫",$B$5:B552,"&lt;&gt;"),"")</ns0:f>
        <ns0:v/>
      </ns0:c>
    </ns0:row>
    <ns0:row r="553">
      <ns0:c r="A553" s="5" t="n"/>
      <ns0:c r="B553" s="6" t="n"/>
      <ns0:c r="C553" s="6" t="n"/>
      <ns0:c r="D553" s="7" t="n"/>
      <ns0:c r="E553" s="7" t="n"/>
      <ns0:c r="F553" s="8" t="str">
        <ns0:f>IF(OR(B553="",J553&lt;&gt;"販売済み",E553="",C553=""),"",IFERROR(IF(OR(COUNTIF('手数料マスタ'!$A$5:$A$104,C553)&lt;&gt;1,COUNTIFS('手数料マスタ'!$A$5:$A$104,C553,'手数料マスタ'!$B$5:$B$104,"&lt;&gt;")&lt;&gt;1,NOT(ISNUMBER(VLOOKUP(C553,'手数料マスタ'!$A$5:$B$104,2,FALSE))),VLOOKUP(C553,'手数料マスタ'!$A$5:$B$104,2,FALSE)&lt;0,VLOOKUP(C553,'手数料マスタ'!$A$5:$B$104,2,FALSE)&gt;1),"要確認",ROUND(E553*VLOOKUP(C553,'手数料マスタ'!$A$5:$B$104,2,FALSE),0)),"要確認"))</ns0:f>
        <ns0:v/>
      </ns0:c>
      <ns0:c r="G553" s="7" t="n"/>
      <ns0:c r="H553" s="7" t="n"/>
      <ns0:c r="I553" s="8" t="str">
        <ns0:f>IF(OR(B553="",J553&lt;&gt;"販売済み",D553="",E553="",G553="",H553=""),"",IF(ISNUMBER(F553),E553-D553-F553-G553-H553,"要確認"))</ns0:f>
        <ns0:v/>
      </ns0:c>
      <ns0:c r="J553" s="6" t="n"/>
      <ns0:c r="K553" s="5" t="n"/>
      <ns0:c r="L553" s="9" t="str">
        <ns0:f>IF(AND(B553&lt;&gt;"",J553="在庫"),COUNTIFS($J$5:J553,"在庫",$B$5:B553,"&lt;&gt;"),"")</ns0:f>
        <ns0:v/>
      </ns0:c>
    </ns0:row>
    <ns0:row r="554">
      <ns0:c r="A554" s="5" t="n"/>
      <ns0:c r="B554" s="6" t="n"/>
      <ns0:c r="C554" s="6" t="n"/>
      <ns0:c r="D554" s="7" t="n"/>
      <ns0:c r="E554" s="7" t="n"/>
      <ns0:c r="F554" s="8" t="str">
        <ns0:f>IF(OR(B554="",J554&lt;&gt;"販売済み",E554="",C554=""),"",IFERROR(IF(OR(COUNTIF('手数料マスタ'!$A$5:$A$104,C554)&lt;&gt;1,COUNTIFS('手数料マスタ'!$A$5:$A$104,C554,'手数料マスタ'!$B$5:$B$104,"&lt;&gt;")&lt;&gt;1,NOT(ISNUMBER(VLOOKUP(C554,'手数料マスタ'!$A$5:$B$104,2,FALSE))),VLOOKUP(C554,'手数料マスタ'!$A$5:$B$104,2,FALSE)&lt;0,VLOOKUP(C554,'手数料マスタ'!$A$5:$B$104,2,FALSE)&gt;1),"要確認",ROUND(E554*VLOOKUP(C554,'手数料マスタ'!$A$5:$B$104,2,FALSE),0)),"要確認"))</ns0:f>
        <ns0:v/>
      </ns0:c>
      <ns0:c r="G554" s="7" t="n"/>
      <ns0:c r="H554" s="7" t="n"/>
      <ns0:c r="I554" s="8" t="str">
        <ns0:f>IF(OR(B554="",J554&lt;&gt;"販売済み",D554="",E554="",G554="",H554=""),"",IF(ISNUMBER(F554),E554-D554-F554-G554-H554,"要確認"))</ns0:f>
        <ns0:v/>
      </ns0:c>
      <ns0:c r="J554" s="6" t="n"/>
      <ns0:c r="K554" s="5" t="n"/>
      <ns0:c r="L554" s="9" t="str">
        <ns0:f>IF(AND(B554&lt;&gt;"",J554="在庫"),COUNTIFS($J$5:J554,"在庫",$B$5:B554,"&lt;&gt;"),"")</ns0:f>
        <ns0:v/>
      </ns0:c>
    </ns0:row>
    <ns0:row r="555">
      <ns0:c r="A555" s="5" t="n"/>
      <ns0:c r="B555" s="6" t="n"/>
      <ns0:c r="C555" s="6" t="n"/>
      <ns0:c r="D555" s="7" t="n"/>
      <ns0:c r="E555" s="7" t="n"/>
      <ns0:c r="F555" s="8" t="str">
        <ns0:f>IF(OR(B555="",J555&lt;&gt;"販売済み",E555="",C555=""),"",IFERROR(IF(OR(COUNTIF('手数料マスタ'!$A$5:$A$104,C555)&lt;&gt;1,COUNTIFS('手数料マスタ'!$A$5:$A$104,C555,'手数料マスタ'!$B$5:$B$104,"&lt;&gt;")&lt;&gt;1,NOT(ISNUMBER(VLOOKUP(C555,'手数料マスタ'!$A$5:$B$104,2,FALSE))),VLOOKUP(C555,'手数料マスタ'!$A$5:$B$104,2,FALSE)&lt;0,VLOOKUP(C555,'手数料マスタ'!$A$5:$B$104,2,FALSE)&gt;1),"要確認",ROUND(E555*VLOOKUP(C555,'手数料マスタ'!$A$5:$B$104,2,FALSE),0)),"要確認"))</ns0:f>
        <ns0:v/>
      </ns0:c>
      <ns0:c r="G555" s="7" t="n"/>
      <ns0:c r="H555" s="7" t="n"/>
      <ns0:c r="I555" s="8" t="str">
        <ns0:f>IF(OR(B555="",J555&lt;&gt;"販売済み",D555="",E555="",G555="",H555=""),"",IF(ISNUMBER(F555),E555-D555-F555-G555-H555,"要確認"))</ns0:f>
        <ns0:v/>
      </ns0:c>
      <ns0:c r="J555" s="6" t="n"/>
      <ns0:c r="K555" s="5" t="n"/>
      <ns0:c r="L555" s="9" t="str">
        <ns0:f>IF(AND(B555&lt;&gt;"",J555="在庫"),COUNTIFS($J$5:J555,"在庫",$B$5:B555,"&lt;&gt;"),"")</ns0:f>
        <ns0:v/>
      </ns0:c>
    </ns0:row>
    <ns0:row r="556">
      <ns0:c r="A556" s="5" t="n"/>
      <ns0:c r="B556" s="6" t="n"/>
      <ns0:c r="C556" s="6" t="n"/>
      <ns0:c r="D556" s="7" t="n"/>
      <ns0:c r="E556" s="7" t="n"/>
      <ns0:c r="F556" s="8" t="str">
        <ns0:f>IF(OR(B556="",J556&lt;&gt;"販売済み",E556="",C556=""),"",IFERROR(IF(OR(COUNTIF('手数料マスタ'!$A$5:$A$104,C556)&lt;&gt;1,COUNTIFS('手数料マスタ'!$A$5:$A$104,C556,'手数料マスタ'!$B$5:$B$104,"&lt;&gt;")&lt;&gt;1,NOT(ISNUMBER(VLOOKUP(C556,'手数料マスタ'!$A$5:$B$104,2,FALSE))),VLOOKUP(C556,'手数料マスタ'!$A$5:$B$104,2,FALSE)&lt;0,VLOOKUP(C556,'手数料マスタ'!$A$5:$B$104,2,FALSE)&gt;1),"要確認",ROUND(E556*VLOOKUP(C556,'手数料マスタ'!$A$5:$B$104,2,FALSE),0)),"要確認"))</ns0:f>
        <ns0:v/>
      </ns0:c>
      <ns0:c r="G556" s="7" t="n"/>
      <ns0:c r="H556" s="7" t="n"/>
      <ns0:c r="I556" s="8" t="str">
        <ns0:f>IF(OR(B556="",J556&lt;&gt;"販売済み",D556="",E556="",G556="",H556=""),"",IF(ISNUMBER(F556),E556-D556-F556-G556-H556,"要確認"))</ns0:f>
        <ns0:v/>
      </ns0:c>
      <ns0:c r="J556" s="6" t="n"/>
      <ns0:c r="K556" s="5" t="n"/>
      <ns0:c r="L556" s="9" t="str">
        <ns0:f>IF(AND(B556&lt;&gt;"",J556="在庫"),COUNTIFS($J$5:J556,"在庫",$B$5:B556,"&lt;&gt;"),"")</ns0:f>
        <ns0:v/>
      </ns0:c>
    </ns0:row>
    <ns0:row r="557">
      <ns0:c r="A557" s="5" t="n"/>
      <ns0:c r="B557" s="6" t="n"/>
      <ns0:c r="C557" s="6" t="n"/>
      <ns0:c r="D557" s="7" t="n"/>
      <ns0:c r="E557" s="7" t="n"/>
      <ns0:c r="F557" s="8" t="str">
        <ns0:f>IF(OR(B557="",J557&lt;&gt;"販売済み",E557="",C557=""),"",IFERROR(IF(OR(COUNTIF('手数料マスタ'!$A$5:$A$104,C557)&lt;&gt;1,COUNTIFS('手数料マスタ'!$A$5:$A$104,C557,'手数料マスタ'!$B$5:$B$104,"&lt;&gt;")&lt;&gt;1,NOT(ISNUMBER(VLOOKUP(C557,'手数料マスタ'!$A$5:$B$104,2,FALSE))),VLOOKUP(C557,'手数料マスタ'!$A$5:$B$104,2,FALSE)&lt;0,VLOOKUP(C557,'手数料マスタ'!$A$5:$B$104,2,FALSE)&gt;1),"要確認",ROUND(E557*VLOOKUP(C557,'手数料マスタ'!$A$5:$B$104,2,FALSE),0)),"要確認"))</ns0:f>
        <ns0:v/>
      </ns0:c>
      <ns0:c r="G557" s="7" t="n"/>
      <ns0:c r="H557" s="7" t="n"/>
      <ns0:c r="I557" s="8" t="str">
        <ns0:f>IF(OR(B557="",J557&lt;&gt;"販売済み",D557="",E557="",G557="",H557=""),"",IF(ISNUMBER(F557),E557-D557-F557-G557-H557,"要確認"))</ns0:f>
        <ns0:v/>
      </ns0:c>
      <ns0:c r="J557" s="6" t="n"/>
      <ns0:c r="K557" s="5" t="n"/>
      <ns0:c r="L557" s="9" t="str">
        <ns0:f>IF(AND(B557&lt;&gt;"",J557="在庫"),COUNTIFS($J$5:J557,"在庫",$B$5:B557,"&lt;&gt;"),"")</ns0:f>
        <ns0:v/>
      </ns0:c>
    </ns0:row>
    <ns0:row r="558">
      <ns0:c r="A558" s="5" t="n"/>
      <ns0:c r="B558" s="6" t="n"/>
      <ns0:c r="C558" s="6" t="n"/>
      <ns0:c r="D558" s="7" t="n"/>
      <ns0:c r="E558" s="7" t="n"/>
      <ns0:c r="F558" s="8" t="str">
        <ns0:f>IF(OR(B558="",J558&lt;&gt;"販売済み",E558="",C558=""),"",IFERROR(IF(OR(COUNTIF('手数料マスタ'!$A$5:$A$104,C558)&lt;&gt;1,COUNTIFS('手数料マスタ'!$A$5:$A$104,C558,'手数料マスタ'!$B$5:$B$104,"&lt;&gt;")&lt;&gt;1,NOT(ISNUMBER(VLOOKUP(C558,'手数料マスタ'!$A$5:$B$104,2,FALSE))),VLOOKUP(C558,'手数料マスタ'!$A$5:$B$104,2,FALSE)&lt;0,VLOOKUP(C558,'手数料マスタ'!$A$5:$B$104,2,FALSE)&gt;1),"要確認",ROUND(E558*VLOOKUP(C558,'手数料マスタ'!$A$5:$B$104,2,FALSE),0)),"要確認"))</ns0:f>
        <ns0:v/>
      </ns0:c>
      <ns0:c r="G558" s="7" t="n"/>
      <ns0:c r="H558" s="7" t="n"/>
      <ns0:c r="I558" s="8" t="str">
        <ns0:f>IF(OR(B558="",J558&lt;&gt;"販売済み",D558="",E558="",G558="",H558=""),"",IF(ISNUMBER(F558),E558-D558-F558-G558-H558,"要確認"))</ns0:f>
        <ns0:v/>
      </ns0:c>
      <ns0:c r="J558" s="6" t="n"/>
      <ns0:c r="K558" s="5" t="n"/>
      <ns0:c r="L558" s="9" t="str">
        <ns0:f>IF(AND(B558&lt;&gt;"",J558="在庫"),COUNTIFS($J$5:J558,"在庫",$B$5:B558,"&lt;&gt;"),"")</ns0:f>
        <ns0:v/>
      </ns0:c>
    </ns0:row>
    <ns0:row r="559">
      <ns0:c r="A559" s="5" t="n"/>
      <ns0:c r="B559" s="6" t="n"/>
      <ns0:c r="C559" s="6" t="n"/>
      <ns0:c r="D559" s="7" t="n"/>
      <ns0:c r="E559" s="7" t="n"/>
      <ns0:c r="F559" s="8" t="str">
        <ns0:f>IF(OR(B559="",J559&lt;&gt;"販売済み",E559="",C559=""),"",IFERROR(IF(OR(COUNTIF('手数料マスタ'!$A$5:$A$104,C559)&lt;&gt;1,COUNTIFS('手数料マスタ'!$A$5:$A$104,C559,'手数料マスタ'!$B$5:$B$104,"&lt;&gt;")&lt;&gt;1,NOT(ISNUMBER(VLOOKUP(C559,'手数料マスタ'!$A$5:$B$104,2,FALSE))),VLOOKUP(C559,'手数料マスタ'!$A$5:$B$104,2,FALSE)&lt;0,VLOOKUP(C559,'手数料マスタ'!$A$5:$B$104,2,FALSE)&gt;1),"要確認",ROUND(E559*VLOOKUP(C559,'手数料マスタ'!$A$5:$B$104,2,FALSE),0)),"要確認"))</ns0:f>
        <ns0:v/>
      </ns0:c>
      <ns0:c r="G559" s="7" t="n"/>
      <ns0:c r="H559" s="7" t="n"/>
      <ns0:c r="I559" s="8" t="str">
        <ns0:f>IF(OR(B559="",J559&lt;&gt;"販売済み",D559="",E559="",G559="",H559=""),"",IF(ISNUMBER(F559),E559-D559-F559-G559-H559,"要確認"))</ns0:f>
        <ns0:v/>
      </ns0:c>
      <ns0:c r="J559" s="6" t="n"/>
      <ns0:c r="K559" s="5" t="n"/>
      <ns0:c r="L559" s="9" t="str">
        <ns0:f>IF(AND(B559&lt;&gt;"",J559="在庫"),COUNTIFS($J$5:J559,"在庫",$B$5:B559,"&lt;&gt;"),"")</ns0:f>
        <ns0:v/>
      </ns0:c>
    </ns0:row>
    <ns0:row r="560">
      <ns0:c r="A560" s="5" t="n"/>
      <ns0:c r="B560" s="6" t="n"/>
      <ns0:c r="C560" s="6" t="n"/>
      <ns0:c r="D560" s="7" t="n"/>
      <ns0:c r="E560" s="7" t="n"/>
      <ns0:c r="F560" s="8" t="str">
        <ns0:f>IF(OR(B560="",J560&lt;&gt;"販売済み",E560="",C560=""),"",IFERROR(IF(OR(COUNTIF('手数料マスタ'!$A$5:$A$104,C560)&lt;&gt;1,COUNTIFS('手数料マスタ'!$A$5:$A$104,C560,'手数料マスタ'!$B$5:$B$104,"&lt;&gt;")&lt;&gt;1,NOT(ISNUMBER(VLOOKUP(C560,'手数料マスタ'!$A$5:$B$104,2,FALSE))),VLOOKUP(C560,'手数料マスタ'!$A$5:$B$104,2,FALSE)&lt;0,VLOOKUP(C560,'手数料マスタ'!$A$5:$B$104,2,FALSE)&gt;1),"要確認",ROUND(E560*VLOOKUP(C560,'手数料マスタ'!$A$5:$B$104,2,FALSE),0)),"要確認"))</ns0:f>
        <ns0:v/>
      </ns0:c>
      <ns0:c r="G560" s="7" t="n"/>
      <ns0:c r="H560" s="7" t="n"/>
      <ns0:c r="I560" s="8" t="str">
        <ns0:f>IF(OR(B560="",J560&lt;&gt;"販売済み",D560="",E560="",G560="",H560=""),"",IF(ISNUMBER(F560),E560-D560-F560-G560-H560,"要確認"))</ns0:f>
        <ns0:v/>
      </ns0:c>
      <ns0:c r="J560" s="6" t="n"/>
      <ns0:c r="K560" s="5" t="n"/>
      <ns0:c r="L560" s="9" t="str">
        <ns0:f>IF(AND(B560&lt;&gt;"",J560="在庫"),COUNTIFS($J$5:J560,"在庫",$B$5:B560,"&lt;&gt;"),"")</ns0:f>
        <ns0:v/>
      </ns0:c>
    </ns0:row>
    <ns0:row r="561">
      <ns0:c r="A561" s="5" t="n"/>
      <ns0:c r="B561" s="6" t="n"/>
      <ns0:c r="C561" s="6" t="n"/>
      <ns0:c r="D561" s="7" t="n"/>
      <ns0:c r="E561" s="7" t="n"/>
      <ns0:c r="F561" s="8" t="str">
        <ns0:f>IF(OR(B561="",J561&lt;&gt;"販売済み",E561="",C561=""),"",IFERROR(IF(OR(COUNTIF('手数料マスタ'!$A$5:$A$104,C561)&lt;&gt;1,COUNTIFS('手数料マスタ'!$A$5:$A$104,C561,'手数料マスタ'!$B$5:$B$104,"&lt;&gt;")&lt;&gt;1,NOT(ISNUMBER(VLOOKUP(C561,'手数料マスタ'!$A$5:$B$104,2,FALSE))),VLOOKUP(C561,'手数料マスタ'!$A$5:$B$104,2,FALSE)&lt;0,VLOOKUP(C561,'手数料マスタ'!$A$5:$B$104,2,FALSE)&gt;1),"要確認",ROUND(E561*VLOOKUP(C561,'手数料マスタ'!$A$5:$B$104,2,FALSE),0)),"要確認"))</ns0:f>
        <ns0:v/>
      </ns0:c>
      <ns0:c r="G561" s="7" t="n"/>
      <ns0:c r="H561" s="7" t="n"/>
      <ns0:c r="I561" s="8" t="str">
        <ns0:f>IF(OR(B561="",J561&lt;&gt;"販売済み",D561="",E561="",G561="",H561=""),"",IF(ISNUMBER(F561),E561-D561-F561-G561-H561,"要確認"))</ns0:f>
        <ns0:v/>
      </ns0:c>
      <ns0:c r="J561" s="6" t="n"/>
      <ns0:c r="K561" s="5" t="n"/>
      <ns0:c r="L561" s="9" t="str">
        <ns0:f>IF(AND(B561&lt;&gt;"",J561="在庫"),COUNTIFS($J$5:J561,"在庫",$B$5:B561,"&lt;&gt;"),"")</ns0:f>
        <ns0:v/>
      </ns0:c>
    </ns0:row>
    <ns0:row r="562">
      <ns0:c r="A562" s="5" t="n"/>
      <ns0:c r="B562" s="6" t="n"/>
      <ns0:c r="C562" s="6" t="n"/>
      <ns0:c r="D562" s="7" t="n"/>
      <ns0:c r="E562" s="7" t="n"/>
      <ns0:c r="F562" s="8" t="str">
        <ns0:f>IF(OR(B562="",J562&lt;&gt;"販売済み",E562="",C562=""),"",IFERROR(IF(OR(COUNTIF('手数料マスタ'!$A$5:$A$104,C562)&lt;&gt;1,COUNTIFS('手数料マスタ'!$A$5:$A$104,C562,'手数料マスタ'!$B$5:$B$104,"&lt;&gt;")&lt;&gt;1,NOT(ISNUMBER(VLOOKUP(C562,'手数料マスタ'!$A$5:$B$104,2,FALSE))),VLOOKUP(C562,'手数料マスタ'!$A$5:$B$104,2,FALSE)&lt;0,VLOOKUP(C562,'手数料マスタ'!$A$5:$B$104,2,FALSE)&gt;1),"要確認",ROUND(E562*VLOOKUP(C562,'手数料マスタ'!$A$5:$B$104,2,FALSE),0)),"要確認"))</ns0:f>
        <ns0:v/>
      </ns0:c>
      <ns0:c r="G562" s="7" t="n"/>
      <ns0:c r="H562" s="7" t="n"/>
      <ns0:c r="I562" s="8" t="str">
        <ns0:f>IF(OR(B562="",J562&lt;&gt;"販売済み",D562="",E562="",G562="",H562=""),"",IF(ISNUMBER(F562),E562-D562-F562-G562-H562,"要確認"))</ns0:f>
        <ns0:v/>
      </ns0:c>
      <ns0:c r="J562" s="6" t="n"/>
      <ns0:c r="K562" s="5" t="n"/>
      <ns0:c r="L562" s="9" t="str">
        <ns0:f>IF(AND(B562&lt;&gt;"",J562="在庫"),COUNTIFS($J$5:J562,"在庫",$B$5:B562,"&lt;&gt;"),"")</ns0:f>
        <ns0:v/>
      </ns0:c>
    </ns0:row>
    <ns0:row r="563">
      <ns0:c r="A563" s="5" t="n"/>
      <ns0:c r="B563" s="6" t="n"/>
      <ns0:c r="C563" s="6" t="n"/>
      <ns0:c r="D563" s="7" t="n"/>
      <ns0:c r="E563" s="7" t="n"/>
      <ns0:c r="F563" s="8" t="str">
        <ns0:f>IF(OR(B563="",J563&lt;&gt;"販売済み",E563="",C563=""),"",IFERROR(IF(OR(COUNTIF('手数料マスタ'!$A$5:$A$104,C563)&lt;&gt;1,COUNTIFS('手数料マスタ'!$A$5:$A$104,C563,'手数料マスタ'!$B$5:$B$104,"&lt;&gt;")&lt;&gt;1,NOT(ISNUMBER(VLOOKUP(C563,'手数料マスタ'!$A$5:$B$104,2,FALSE))),VLOOKUP(C563,'手数料マスタ'!$A$5:$B$104,2,FALSE)&lt;0,VLOOKUP(C563,'手数料マスタ'!$A$5:$B$104,2,FALSE)&gt;1),"要確認",ROUND(E563*VLOOKUP(C563,'手数料マスタ'!$A$5:$B$104,2,FALSE),0)),"要確認"))</ns0:f>
        <ns0:v/>
      </ns0:c>
      <ns0:c r="G563" s="7" t="n"/>
      <ns0:c r="H563" s="7" t="n"/>
      <ns0:c r="I563" s="8" t="str">
        <ns0:f>IF(OR(B563="",J563&lt;&gt;"販売済み",D563="",E563="",G563="",H563=""),"",IF(ISNUMBER(F563),E563-D563-F563-G563-H563,"要確認"))</ns0:f>
        <ns0:v/>
      </ns0:c>
      <ns0:c r="J563" s="6" t="n"/>
      <ns0:c r="K563" s="5" t="n"/>
      <ns0:c r="L563" s="9" t="str">
        <ns0:f>IF(AND(B563&lt;&gt;"",J563="在庫"),COUNTIFS($J$5:J563,"在庫",$B$5:B563,"&lt;&gt;"),"")</ns0:f>
        <ns0:v/>
      </ns0:c>
    </ns0:row>
    <ns0:row r="564">
      <ns0:c r="A564" s="5" t="n"/>
      <ns0:c r="B564" s="6" t="n"/>
      <ns0:c r="C564" s="6" t="n"/>
      <ns0:c r="D564" s="7" t="n"/>
      <ns0:c r="E564" s="7" t="n"/>
      <ns0:c r="F564" s="8" t="str">
        <ns0:f>IF(OR(B564="",J564&lt;&gt;"販売済み",E564="",C564=""),"",IFERROR(IF(OR(COUNTIF('手数料マスタ'!$A$5:$A$104,C564)&lt;&gt;1,COUNTIFS('手数料マスタ'!$A$5:$A$104,C564,'手数料マスタ'!$B$5:$B$104,"&lt;&gt;")&lt;&gt;1,NOT(ISNUMBER(VLOOKUP(C564,'手数料マスタ'!$A$5:$B$104,2,FALSE))),VLOOKUP(C564,'手数料マスタ'!$A$5:$B$104,2,FALSE)&lt;0,VLOOKUP(C564,'手数料マスタ'!$A$5:$B$104,2,FALSE)&gt;1),"要確認",ROUND(E564*VLOOKUP(C564,'手数料マスタ'!$A$5:$B$104,2,FALSE),0)),"要確認"))</ns0:f>
        <ns0:v/>
      </ns0:c>
      <ns0:c r="G564" s="7" t="n"/>
      <ns0:c r="H564" s="7" t="n"/>
      <ns0:c r="I564" s="8" t="str">
        <ns0:f>IF(OR(B564="",J564&lt;&gt;"販売済み",D564="",E564="",G564="",H564=""),"",IF(ISNUMBER(F564),E564-D564-F564-G564-H564,"要確認"))</ns0:f>
        <ns0:v/>
      </ns0:c>
      <ns0:c r="J564" s="6" t="n"/>
      <ns0:c r="K564" s="5" t="n"/>
      <ns0:c r="L564" s="9" t="str">
        <ns0:f>IF(AND(B564&lt;&gt;"",J564="在庫"),COUNTIFS($J$5:J564,"在庫",$B$5:B564,"&lt;&gt;"),"")</ns0:f>
        <ns0:v/>
      </ns0:c>
    </ns0:row>
    <ns0:row r="565">
      <ns0:c r="A565" s="5" t="n"/>
      <ns0:c r="B565" s="6" t="n"/>
      <ns0:c r="C565" s="6" t="n"/>
      <ns0:c r="D565" s="7" t="n"/>
      <ns0:c r="E565" s="7" t="n"/>
      <ns0:c r="F565" s="8" t="str">
        <ns0:f>IF(OR(B565="",J565&lt;&gt;"販売済み",E565="",C565=""),"",IFERROR(IF(OR(COUNTIF('手数料マスタ'!$A$5:$A$104,C565)&lt;&gt;1,COUNTIFS('手数料マスタ'!$A$5:$A$104,C565,'手数料マスタ'!$B$5:$B$104,"&lt;&gt;")&lt;&gt;1,NOT(ISNUMBER(VLOOKUP(C565,'手数料マスタ'!$A$5:$B$104,2,FALSE))),VLOOKUP(C565,'手数料マスタ'!$A$5:$B$104,2,FALSE)&lt;0,VLOOKUP(C565,'手数料マスタ'!$A$5:$B$104,2,FALSE)&gt;1),"要確認",ROUND(E565*VLOOKUP(C565,'手数料マスタ'!$A$5:$B$104,2,FALSE),0)),"要確認"))</ns0:f>
        <ns0:v/>
      </ns0:c>
      <ns0:c r="G565" s="7" t="n"/>
      <ns0:c r="H565" s="7" t="n"/>
      <ns0:c r="I565" s="8" t="str">
        <ns0:f>IF(OR(B565="",J565&lt;&gt;"販売済み",D565="",E565="",G565="",H565=""),"",IF(ISNUMBER(F565),E565-D565-F565-G565-H565,"要確認"))</ns0:f>
        <ns0:v/>
      </ns0:c>
      <ns0:c r="J565" s="6" t="n"/>
      <ns0:c r="K565" s="5" t="n"/>
      <ns0:c r="L565" s="9" t="str">
        <ns0:f>IF(AND(B565&lt;&gt;"",J565="在庫"),COUNTIFS($J$5:J565,"在庫",$B$5:B565,"&lt;&gt;"),"")</ns0:f>
        <ns0:v/>
      </ns0:c>
    </ns0:row>
    <ns0:row r="566">
      <ns0:c r="A566" s="5" t="n"/>
      <ns0:c r="B566" s="6" t="n"/>
      <ns0:c r="C566" s="6" t="n"/>
      <ns0:c r="D566" s="7" t="n"/>
      <ns0:c r="E566" s="7" t="n"/>
      <ns0:c r="F566" s="8" t="str">
        <ns0:f>IF(OR(B566="",J566&lt;&gt;"販売済み",E566="",C566=""),"",IFERROR(IF(OR(COUNTIF('手数料マスタ'!$A$5:$A$104,C566)&lt;&gt;1,COUNTIFS('手数料マスタ'!$A$5:$A$104,C566,'手数料マスタ'!$B$5:$B$104,"&lt;&gt;")&lt;&gt;1,NOT(ISNUMBER(VLOOKUP(C566,'手数料マスタ'!$A$5:$B$104,2,FALSE))),VLOOKUP(C566,'手数料マスタ'!$A$5:$B$104,2,FALSE)&lt;0,VLOOKUP(C566,'手数料マスタ'!$A$5:$B$104,2,FALSE)&gt;1),"要確認",ROUND(E566*VLOOKUP(C566,'手数料マスタ'!$A$5:$B$104,2,FALSE),0)),"要確認"))</ns0:f>
        <ns0:v/>
      </ns0:c>
      <ns0:c r="G566" s="7" t="n"/>
      <ns0:c r="H566" s="7" t="n"/>
      <ns0:c r="I566" s="8" t="str">
        <ns0:f>IF(OR(B566="",J566&lt;&gt;"販売済み",D566="",E566="",G566="",H566=""),"",IF(ISNUMBER(F566),E566-D566-F566-G566-H566,"要確認"))</ns0:f>
        <ns0:v/>
      </ns0:c>
      <ns0:c r="J566" s="6" t="n"/>
      <ns0:c r="K566" s="5" t="n"/>
      <ns0:c r="L566" s="9" t="str">
        <ns0:f>IF(AND(B566&lt;&gt;"",J566="在庫"),COUNTIFS($J$5:J566,"在庫",$B$5:B566,"&lt;&gt;"),"")</ns0:f>
        <ns0:v/>
      </ns0:c>
    </ns0:row>
    <ns0:row r="567">
      <ns0:c r="A567" s="5" t="n"/>
      <ns0:c r="B567" s="6" t="n"/>
      <ns0:c r="C567" s="6" t="n"/>
      <ns0:c r="D567" s="7" t="n"/>
      <ns0:c r="E567" s="7" t="n"/>
      <ns0:c r="F567" s="8" t="str">
        <ns0:f>IF(OR(B567="",J567&lt;&gt;"販売済み",E567="",C567=""),"",IFERROR(IF(OR(COUNTIF('手数料マスタ'!$A$5:$A$104,C567)&lt;&gt;1,COUNTIFS('手数料マスタ'!$A$5:$A$104,C567,'手数料マスタ'!$B$5:$B$104,"&lt;&gt;")&lt;&gt;1,NOT(ISNUMBER(VLOOKUP(C567,'手数料マスタ'!$A$5:$B$104,2,FALSE))),VLOOKUP(C567,'手数料マスタ'!$A$5:$B$104,2,FALSE)&lt;0,VLOOKUP(C567,'手数料マスタ'!$A$5:$B$104,2,FALSE)&gt;1),"要確認",ROUND(E567*VLOOKUP(C567,'手数料マスタ'!$A$5:$B$104,2,FALSE),0)),"要確認"))</ns0:f>
        <ns0:v/>
      </ns0:c>
      <ns0:c r="G567" s="7" t="n"/>
      <ns0:c r="H567" s="7" t="n"/>
      <ns0:c r="I567" s="8" t="str">
        <ns0:f>IF(OR(B567="",J567&lt;&gt;"販売済み",D567="",E567="",G567="",H567=""),"",IF(ISNUMBER(F567),E567-D567-F567-G567-H567,"要確認"))</ns0:f>
        <ns0:v/>
      </ns0:c>
      <ns0:c r="J567" s="6" t="n"/>
      <ns0:c r="K567" s="5" t="n"/>
      <ns0:c r="L567" s="9" t="str">
        <ns0:f>IF(AND(B567&lt;&gt;"",J567="在庫"),COUNTIFS($J$5:J567,"在庫",$B$5:B567,"&lt;&gt;"),"")</ns0:f>
        <ns0:v/>
      </ns0:c>
    </ns0:row>
    <ns0:row r="568">
      <ns0:c r="A568" s="5" t="n"/>
      <ns0:c r="B568" s="6" t="n"/>
      <ns0:c r="C568" s="6" t="n"/>
      <ns0:c r="D568" s="7" t="n"/>
      <ns0:c r="E568" s="7" t="n"/>
      <ns0:c r="F568" s="8" t="str">
        <ns0:f>IF(OR(B568="",J568&lt;&gt;"販売済み",E568="",C568=""),"",IFERROR(IF(OR(COUNTIF('手数料マスタ'!$A$5:$A$104,C568)&lt;&gt;1,COUNTIFS('手数料マスタ'!$A$5:$A$104,C568,'手数料マスタ'!$B$5:$B$104,"&lt;&gt;")&lt;&gt;1,NOT(ISNUMBER(VLOOKUP(C568,'手数料マスタ'!$A$5:$B$104,2,FALSE))),VLOOKUP(C568,'手数料マスタ'!$A$5:$B$104,2,FALSE)&lt;0,VLOOKUP(C568,'手数料マスタ'!$A$5:$B$104,2,FALSE)&gt;1),"要確認",ROUND(E568*VLOOKUP(C568,'手数料マスタ'!$A$5:$B$104,2,FALSE),0)),"要確認"))</ns0:f>
        <ns0:v/>
      </ns0:c>
      <ns0:c r="G568" s="7" t="n"/>
      <ns0:c r="H568" s="7" t="n"/>
      <ns0:c r="I568" s="8" t="str">
        <ns0:f>IF(OR(B568="",J568&lt;&gt;"販売済み",D568="",E568="",G568="",H568=""),"",IF(ISNUMBER(F568),E568-D568-F568-G568-H568,"要確認"))</ns0:f>
        <ns0:v/>
      </ns0:c>
      <ns0:c r="J568" s="6" t="n"/>
      <ns0:c r="K568" s="5" t="n"/>
      <ns0:c r="L568" s="9" t="str">
        <ns0:f>IF(AND(B568&lt;&gt;"",J568="在庫"),COUNTIFS($J$5:J568,"在庫",$B$5:B568,"&lt;&gt;"),"")</ns0:f>
        <ns0:v/>
      </ns0:c>
    </ns0:row>
    <ns0:row r="569">
      <ns0:c r="A569" s="5" t="n"/>
      <ns0:c r="B569" s="6" t="n"/>
      <ns0:c r="C569" s="6" t="n"/>
      <ns0:c r="D569" s="7" t="n"/>
      <ns0:c r="E569" s="7" t="n"/>
      <ns0:c r="F569" s="8" t="str">
        <ns0:f>IF(OR(B569="",J569&lt;&gt;"販売済み",E569="",C569=""),"",IFERROR(IF(OR(COUNTIF('手数料マスタ'!$A$5:$A$104,C569)&lt;&gt;1,COUNTIFS('手数料マスタ'!$A$5:$A$104,C569,'手数料マスタ'!$B$5:$B$104,"&lt;&gt;")&lt;&gt;1,NOT(ISNUMBER(VLOOKUP(C569,'手数料マスタ'!$A$5:$B$104,2,FALSE))),VLOOKUP(C569,'手数料マスタ'!$A$5:$B$104,2,FALSE)&lt;0,VLOOKUP(C569,'手数料マスタ'!$A$5:$B$104,2,FALSE)&gt;1),"要確認",ROUND(E569*VLOOKUP(C569,'手数料マスタ'!$A$5:$B$104,2,FALSE),0)),"要確認"))</ns0:f>
        <ns0:v/>
      </ns0:c>
      <ns0:c r="G569" s="7" t="n"/>
      <ns0:c r="H569" s="7" t="n"/>
      <ns0:c r="I569" s="8" t="str">
        <ns0:f>IF(OR(B569="",J569&lt;&gt;"販売済み",D569="",E569="",G569="",H569=""),"",IF(ISNUMBER(F569),E569-D569-F569-G569-H569,"要確認"))</ns0:f>
        <ns0:v/>
      </ns0:c>
      <ns0:c r="J569" s="6" t="n"/>
      <ns0:c r="K569" s="5" t="n"/>
      <ns0:c r="L569" s="9" t="str">
        <ns0:f>IF(AND(B569&lt;&gt;"",J569="在庫"),COUNTIFS($J$5:J569,"在庫",$B$5:B569,"&lt;&gt;"),"")</ns0:f>
        <ns0:v/>
      </ns0:c>
    </ns0:row>
    <ns0:row r="570">
      <ns0:c r="A570" s="5" t="n"/>
      <ns0:c r="B570" s="6" t="n"/>
      <ns0:c r="C570" s="6" t="n"/>
      <ns0:c r="D570" s="7" t="n"/>
      <ns0:c r="E570" s="7" t="n"/>
      <ns0:c r="F570" s="8" t="str">
        <ns0:f>IF(OR(B570="",J570&lt;&gt;"販売済み",E570="",C570=""),"",IFERROR(IF(OR(COUNTIF('手数料マスタ'!$A$5:$A$104,C570)&lt;&gt;1,COUNTIFS('手数料マスタ'!$A$5:$A$104,C570,'手数料マスタ'!$B$5:$B$104,"&lt;&gt;")&lt;&gt;1,NOT(ISNUMBER(VLOOKUP(C570,'手数料マスタ'!$A$5:$B$104,2,FALSE))),VLOOKUP(C570,'手数料マスタ'!$A$5:$B$104,2,FALSE)&lt;0,VLOOKUP(C570,'手数料マスタ'!$A$5:$B$104,2,FALSE)&gt;1),"要確認",ROUND(E570*VLOOKUP(C570,'手数料マスタ'!$A$5:$B$104,2,FALSE),0)),"要確認"))</ns0:f>
        <ns0:v/>
      </ns0:c>
      <ns0:c r="G570" s="7" t="n"/>
      <ns0:c r="H570" s="7" t="n"/>
      <ns0:c r="I570" s="8" t="str">
        <ns0:f>IF(OR(B570="",J570&lt;&gt;"販売済み",D570="",E570="",G570="",H570=""),"",IF(ISNUMBER(F570),E570-D570-F570-G570-H570,"要確認"))</ns0:f>
        <ns0:v/>
      </ns0:c>
      <ns0:c r="J570" s="6" t="n"/>
      <ns0:c r="K570" s="5" t="n"/>
      <ns0:c r="L570" s="9" t="str">
        <ns0:f>IF(AND(B570&lt;&gt;"",J570="在庫"),COUNTIFS($J$5:J570,"在庫",$B$5:B570,"&lt;&gt;"),"")</ns0:f>
        <ns0:v/>
      </ns0:c>
    </ns0:row>
    <ns0:row r="571">
      <ns0:c r="A571" s="5" t="n"/>
      <ns0:c r="B571" s="6" t="n"/>
      <ns0:c r="C571" s="6" t="n"/>
      <ns0:c r="D571" s="7" t="n"/>
      <ns0:c r="E571" s="7" t="n"/>
      <ns0:c r="F571" s="8" t="str">
        <ns0:f>IF(OR(B571="",J571&lt;&gt;"販売済み",E571="",C571=""),"",IFERROR(IF(OR(COUNTIF('手数料マスタ'!$A$5:$A$104,C571)&lt;&gt;1,COUNTIFS('手数料マスタ'!$A$5:$A$104,C571,'手数料マスタ'!$B$5:$B$104,"&lt;&gt;")&lt;&gt;1,NOT(ISNUMBER(VLOOKUP(C571,'手数料マスタ'!$A$5:$B$104,2,FALSE))),VLOOKUP(C571,'手数料マスタ'!$A$5:$B$104,2,FALSE)&lt;0,VLOOKUP(C571,'手数料マスタ'!$A$5:$B$104,2,FALSE)&gt;1),"要確認",ROUND(E571*VLOOKUP(C571,'手数料マスタ'!$A$5:$B$104,2,FALSE),0)),"要確認"))</ns0:f>
        <ns0:v/>
      </ns0:c>
      <ns0:c r="G571" s="7" t="n"/>
      <ns0:c r="H571" s="7" t="n"/>
      <ns0:c r="I571" s="8" t="str">
        <ns0:f>IF(OR(B571="",J571&lt;&gt;"販売済み",D571="",E571="",G571="",H571=""),"",IF(ISNUMBER(F571),E571-D571-F571-G571-H571,"要確認"))</ns0:f>
        <ns0:v/>
      </ns0:c>
      <ns0:c r="J571" s="6" t="n"/>
      <ns0:c r="K571" s="5" t="n"/>
      <ns0:c r="L571" s="9" t="str">
        <ns0:f>IF(AND(B571&lt;&gt;"",J571="在庫"),COUNTIFS($J$5:J571,"在庫",$B$5:B571,"&lt;&gt;"),"")</ns0:f>
        <ns0:v/>
      </ns0:c>
    </ns0:row>
    <ns0:row r="572">
      <ns0:c r="A572" s="5" t="n"/>
      <ns0:c r="B572" s="6" t="n"/>
      <ns0:c r="C572" s="6" t="n"/>
      <ns0:c r="D572" s="7" t="n"/>
      <ns0:c r="E572" s="7" t="n"/>
      <ns0:c r="F572" s="8" t="str">
        <ns0:f>IF(OR(B572="",J572&lt;&gt;"販売済み",E572="",C572=""),"",IFERROR(IF(OR(COUNTIF('手数料マスタ'!$A$5:$A$104,C572)&lt;&gt;1,COUNTIFS('手数料マスタ'!$A$5:$A$104,C572,'手数料マスタ'!$B$5:$B$104,"&lt;&gt;")&lt;&gt;1,NOT(ISNUMBER(VLOOKUP(C572,'手数料マスタ'!$A$5:$B$104,2,FALSE))),VLOOKUP(C572,'手数料マスタ'!$A$5:$B$104,2,FALSE)&lt;0,VLOOKUP(C572,'手数料マスタ'!$A$5:$B$104,2,FALSE)&gt;1),"要確認",ROUND(E572*VLOOKUP(C572,'手数料マスタ'!$A$5:$B$104,2,FALSE),0)),"要確認"))</ns0:f>
        <ns0:v/>
      </ns0:c>
      <ns0:c r="G572" s="7" t="n"/>
      <ns0:c r="H572" s="7" t="n"/>
      <ns0:c r="I572" s="8" t="str">
        <ns0:f>IF(OR(B572="",J572&lt;&gt;"販売済み",D572="",E572="",G572="",H572=""),"",IF(ISNUMBER(F572),E572-D572-F572-G572-H572,"要確認"))</ns0:f>
        <ns0:v/>
      </ns0:c>
      <ns0:c r="J572" s="6" t="n"/>
      <ns0:c r="K572" s="5" t="n"/>
      <ns0:c r="L572" s="9" t="str">
        <ns0:f>IF(AND(B572&lt;&gt;"",J572="在庫"),COUNTIFS($J$5:J572,"在庫",$B$5:B572,"&lt;&gt;"),"")</ns0:f>
        <ns0:v/>
      </ns0:c>
    </ns0:row>
    <ns0:row r="573">
      <ns0:c r="A573" s="5" t="n"/>
      <ns0:c r="B573" s="6" t="n"/>
      <ns0:c r="C573" s="6" t="n"/>
      <ns0:c r="D573" s="7" t="n"/>
      <ns0:c r="E573" s="7" t="n"/>
      <ns0:c r="F573" s="8" t="str">
        <ns0:f>IF(OR(B573="",J573&lt;&gt;"販売済み",E573="",C573=""),"",IFERROR(IF(OR(COUNTIF('手数料マスタ'!$A$5:$A$104,C573)&lt;&gt;1,COUNTIFS('手数料マスタ'!$A$5:$A$104,C573,'手数料マスタ'!$B$5:$B$104,"&lt;&gt;")&lt;&gt;1,NOT(ISNUMBER(VLOOKUP(C573,'手数料マスタ'!$A$5:$B$104,2,FALSE))),VLOOKUP(C573,'手数料マスタ'!$A$5:$B$104,2,FALSE)&lt;0,VLOOKUP(C573,'手数料マスタ'!$A$5:$B$104,2,FALSE)&gt;1),"要確認",ROUND(E573*VLOOKUP(C573,'手数料マスタ'!$A$5:$B$104,2,FALSE),0)),"要確認"))</ns0:f>
        <ns0:v/>
      </ns0:c>
      <ns0:c r="G573" s="7" t="n"/>
      <ns0:c r="H573" s="7" t="n"/>
      <ns0:c r="I573" s="8" t="str">
        <ns0:f>IF(OR(B573="",J573&lt;&gt;"販売済み",D573="",E573="",G573="",H573=""),"",IF(ISNUMBER(F573),E573-D573-F573-G573-H573,"要確認"))</ns0:f>
        <ns0:v/>
      </ns0:c>
      <ns0:c r="J573" s="6" t="n"/>
      <ns0:c r="K573" s="5" t="n"/>
      <ns0:c r="L573" s="9" t="str">
        <ns0:f>IF(AND(B573&lt;&gt;"",J573="在庫"),COUNTIFS($J$5:J573,"在庫",$B$5:B573,"&lt;&gt;"),"")</ns0:f>
        <ns0:v/>
      </ns0:c>
    </ns0:row>
    <ns0:row r="574">
      <ns0:c r="A574" s="5" t="n"/>
      <ns0:c r="B574" s="6" t="n"/>
      <ns0:c r="C574" s="6" t="n"/>
      <ns0:c r="D574" s="7" t="n"/>
      <ns0:c r="E574" s="7" t="n"/>
      <ns0:c r="F574" s="8" t="str">
        <ns0:f>IF(OR(B574="",J574&lt;&gt;"販売済み",E574="",C574=""),"",IFERROR(IF(OR(COUNTIF('手数料マスタ'!$A$5:$A$104,C574)&lt;&gt;1,COUNTIFS('手数料マスタ'!$A$5:$A$104,C574,'手数料マスタ'!$B$5:$B$104,"&lt;&gt;")&lt;&gt;1,NOT(ISNUMBER(VLOOKUP(C574,'手数料マスタ'!$A$5:$B$104,2,FALSE))),VLOOKUP(C574,'手数料マスタ'!$A$5:$B$104,2,FALSE)&lt;0,VLOOKUP(C574,'手数料マスタ'!$A$5:$B$104,2,FALSE)&gt;1),"要確認",ROUND(E574*VLOOKUP(C574,'手数料マスタ'!$A$5:$B$104,2,FALSE),0)),"要確認"))</ns0:f>
        <ns0:v/>
      </ns0:c>
      <ns0:c r="G574" s="7" t="n"/>
      <ns0:c r="H574" s="7" t="n"/>
      <ns0:c r="I574" s="8" t="str">
        <ns0:f>IF(OR(B574="",J574&lt;&gt;"販売済み",D574="",E574="",G574="",H574=""),"",IF(ISNUMBER(F574),E574-D574-F574-G574-H574,"要確認"))</ns0:f>
        <ns0:v/>
      </ns0:c>
      <ns0:c r="J574" s="6" t="n"/>
      <ns0:c r="K574" s="5" t="n"/>
      <ns0:c r="L574" s="9" t="str">
        <ns0:f>IF(AND(B574&lt;&gt;"",J574="在庫"),COUNTIFS($J$5:J574,"在庫",$B$5:B574,"&lt;&gt;"),"")</ns0:f>
        <ns0:v/>
      </ns0:c>
    </ns0:row>
    <ns0:row r="575">
      <ns0:c r="A575" s="5" t="n"/>
      <ns0:c r="B575" s="6" t="n"/>
      <ns0:c r="C575" s="6" t="n"/>
      <ns0:c r="D575" s="7" t="n"/>
      <ns0:c r="E575" s="7" t="n"/>
      <ns0:c r="F575" s="8" t="str">
        <ns0:f>IF(OR(B575="",J575&lt;&gt;"販売済み",E575="",C575=""),"",IFERROR(IF(OR(COUNTIF('手数料マスタ'!$A$5:$A$104,C575)&lt;&gt;1,COUNTIFS('手数料マスタ'!$A$5:$A$104,C575,'手数料マスタ'!$B$5:$B$104,"&lt;&gt;")&lt;&gt;1,NOT(ISNUMBER(VLOOKUP(C575,'手数料マスタ'!$A$5:$B$104,2,FALSE))),VLOOKUP(C575,'手数料マスタ'!$A$5:$B$104,2,FALSE)&lt;0,VLOOKUP(C575,'手数料マスタ'!$A$5:$B$104,2,FALSE)&gt;1),"要確認",ROUND(E575*VLOOKUP(C575,'手数料マスタ'!$A$5:$B$104,2,FALSE),0)),"要確認"))</ns0:f>
        <ns0:v/>
      </ns0:c>
      <ns0:c r="G575" s="7" t="n"/>
      <ns0:c r="H575" s="7" t="n"/>
      <ns0:c r="I575" s="8" t="str">
        <ns0:f>IF(OR(B575="",J575&lt;&gt;"販売済み",D575="",E575="",G575="",H575=""),"",IF(ISNUMBER(F575),E575-D575-F575-G575-H575,"要確認"))</ns0:f>
        <ns0:v/>
      </ns0:c>
      <ns0:c r="J575" s="6" t="n"/>
      <ns0:c r="K575" s="5" t="n"/>
      <ns0:c r="L575" s="9" t="str">
        <ns0:f>IF(AND(B575&lt;&gt;"",J575="在庫"),COUNTIFS($J$5:J575,"在庫",$B$5:B575,"&lt;&gt;"),"")</ns0:f>
        <ns0:v/>
      </ns0:c>
    </ns0:row>
    <ns0:row r="576">
      <ns0:c r="A576" s="5" t="n"/>
      <ns0:c r="B576" s="6" t="n"/>
      <ns0:c r="C576" s="6" t="n"/>
      <ns0:c r="D576" s="7" t="n"/>
      <ns0:c r="E576" s="7" t="n"/>
      <ns0:c r="F576" s="8" t="str">
        <ns0:f>IF(OR(B576="",J576&lt;&gt;"販売済み",E576="",C576=""),"",IFERROR(IF(OR(COUNTIF('手数料マスタ'!$A$5:$A$104,C576)&lt;&gt;1,COUNTIFS('手数料マスタ'!$A$5:$A$104,C576,'手数料マスタ'!$B$5:$B$104,"&lt;&gt;")&lt;&gt;1,NOT(ISNUMBER(VLOOKUP(C576,'手数料マスタ'!$A$5:$B$104,2,FALSE))),VLOOKUP(C576,'手数料マスタ'!$A$5:$B$104,2,FALSE)&lt;0,VLOOKUP(C576,'手数料マスタ'!$A$5:$B$104,2,FALSE)&gt;1),"要確認",ROUND(E576*VLOOKUP(C576,'手数料マスタ'!$A$5:$B$104,2,FALSE),0)),"要確認"))</ns0:f>
        <ns0:v/>
      </ns0:c>
      <ns0:c r="G576" s="7" t="n"/>
      <ns0:c r="H576" s="7" t="n"/>
      <ns0:c r="I576" s="8" t="str">
        <ns0:f>IF(OR(B576="",J576&lt;&gt;"販売済み",D576="",E576="",G576="",H576=""),"",IF(ISNUMBER(F576),E576-D576-F576-G576-H576,"要確認"))</ns0:f>
        <ns0:v/>
      </ns0:c>
      <ns0:c r="J576" s="6" t="n"/>
      <ns0:c r="K576" s="5" t="n"/>
      <ns0:c r="L576" s="9" t="str">
        <ns0:f>IF(AND(B576&lt;&gt;"",J576="在庫"),COUNTIFS($J$5:J576,"在庫",$B$5:B576,"&lt;&gt;"),"")</ns0:f>
        <ns0:v/>
      </ns0:c>
    </ns0:row>
    <ns0:row r="577">
      <ns0:c r="A577" s="5" t="n"/>
      <ns0:c r="B577" s="6" t="n"/>
      <ns0:c r="C577" s="6" t="n"/>
      <ns0:c r="D577" s="7" t="n"/>
      <ns0:c r="E577" s="7" t="n"/>
      <ns0:c r="F577" s="8" t="str">
        <ns0:f>IF(OR(B577="",J577&lt;&gt;"販売済み",E577="",C577=""),"",IFERROR(IF(OR(COUNTIF('手数料マスタ'!$A$5:$A$104,C577)&lt;&gt;1,COUNTIFS('手数料マスタ'!$A$5:$A$104,C577,'手数料マスタ'!$B$5:$B$104,"&lt;&gt;")&lt;&gt;1,NOT(ISNUMBER(VLOOKUP(C577,'手数料マスタ'!$A$5:$B$104,2,FALSE))),VLOOKUP(C577,'手数料マスタ'!$A$5:$B$104,2,FALSE)&lt;0,VLOOKUP(C577,'手数料マスタ'!$A$5:$B$104,2,FALSE)&gt;1),"要確認",ROUND(E577*VLOOKUP(C577,'手数料マスタ'!$A$5:$B$104,2,FALSE),0)),"要確認"))</ns0:f>
        <ns0:v/>
      </ns0:c>
      <ns0:c r="G577" s="7" t="n"/>
      <ns0:c r="H577" s="7" t="n"/>
      <ns0:c r="I577" s="8" t="str">
        <ns0:f>IF(OR(B577="",J577&lt;&gt;"販売済み",D577="",E577="",G577="",H577=""),"",IF(ISNUMBER(F577),E577-D577-F577-G577-H577,"要確認"))</ns0:f>
        <ns0:v/>
      </ns0:c>
      <ns0:c r="J577" s="6" t="n"/>
      <ns0:c r="K577" s="5" t="n"/>
      <ns0:c r="L577" s="9" t="str">
        <ns0:f>IF(AND(B577&lt;&gt;"",J577="在庫"),COUNTIFS($J$5:J577,"在庫",$B$5:B577,"&lt;&gt;"),"")</ns0:f>
        <ns0:v/>
      </ns0:c>
    </ns0:row>
    <ns0:row r="578">
      <ns0:c r="A578" s="5" t="n"/>
      <ns0:c r="B578" s="6" t="n"/>
      <ns0:c r="C578" s="6" t="n"/>
      <ns0:c r="D578" s="7" t="n"/>
      <ns0:c r="E578" s="7" t="n"/>
      <ns0:c r="F578" s="8" t="str">
        <ns0:f>IF(OR(B578="",J578&lt;&gt;"販売済み",E578="",C578=""),"",IFERROR(IF(OR(COUNTIF('手数料マスタ'!$A$5:$A$104,C578)&lt;&gt;1,COUNTIFS('手数料マスタ'!$A$5:$A$104,C578,'手数料マスタ'!$B$5:$B$104,"&lt;&gt;")&lt;&gt;1,NOT(ISNUMBER(VLOOKUP(C578,'手数料マスタ'!$A$5:$B$104,2,FALSE))),VLOOKUP(C578,'手数料マスタ'!$A$5:$B$104,2,FALSE)&lt;0,VLOOKUP(C578,'手数料マスタ'!$A$5:$B$104,2,FALSE)&gt;1),"要確認",ROUND(E578*VLOOKUP(C578,'手数料マスタ'!$A$5:$B$104,2,FALSE),0)),"要確認"))</ns0:f>
        <ns0:v/>
      </ns0:c>
      <ns0:c r="G578" s="7" t="n"/>
      <ns0:c r="H578" s="7" t="n"/>
      <ns0:c r="I578" s="8" t="str">
        <ns0:f>IF(OR(B578="",J578&lt;&gt;"販売済み",D578="",E578="",G578="",H578=""),"",IF(ISNUMBER(F578),E578-D578-F578-G578-H578,"要確認"))</ns0:f>
        <ns0:v/>
      </ns0:c>
      <ns0:c r="J578" s="6" t="n"/>
      <ns0:c r="K578" s="5" t="n"/>
      <ns0:c r="L578" s="9" t="str">
        <ns0:f>IF(AND(B578&lt;&gt;"",J578="在庫"),COUNTIFS($J$5:J578,"在庫",$B$5:B578,"&lt;&gt;"),"")</ns0:f>
        <ns0:v/>
      </ns0:c>
    </ns0:row>
    <ns0:row r="579">
      <ns0:c r="A579" s="5" t="n"/>
      <ns0:c r="B579" s="6" t="n"/>
      <ns0:c r="C579" s="6" t="n"/>
      <ns0:c r="D579" s="7" t="n"/>
      <ns0:c r="E579" s="7" t="n"/>
      <ns0:c r="F579" s="8" t="str">
        <ns0:f>IF(OR(B579="",J579&lt;&gt;"販売済み",E579="",C579=""),"",IFERROR(IF(OR(COUNTIF('手数料マスタ'!$A$5:$A$104,C579)&lt;&gt;1,COUNTIFS('手数料マスタ'!$A$5:$A$104,C579,'手数料マスタ'!$B$5:$B$104,"&lt;&gt;")&lt;&gt;1,NOT(ISNUMBER(VLOOKUP(C579,'手数料マスタ'!$A$5:$B$104,2,FALSE))),VLOOKUP(C579,'手数料マスタ'!$A$5:$B$104,2,FALSE)&lt;0,VLOOKUP(C579,'手数料マスタ'!$A$5:$B$104,2,FALSE)&gt;1),"要確認",ROUND(E579*VLOOKUP(C579,'手数料マスタ'!$A$5:$B$104,2,FALSE),0)),"要確認"))</ns0:f>
        <ns0:v/>
      </ns0:c>
      <ns0:c r="G579" s="7" t="n"/>
      <ns0:c r="H579" s="7" t="n"/>
      <ns0:c r="I579" s="8" t="str">
        <ns0:f>IF(OR(B579="",J579&lt;&gt;"販売済み",D579="",E579="",G579="",H579=""),"",IF(ISNUMBER(F579),E579-D579-F579-G579-H579,"要確認"))</ns0:f>
        <ns0:v/>
      </ns0:c>
      <ns0:c r="J579" s="6" t="n"/>
      <ns0:c r="K579" s="5" t="n"/>
      <ns0:c r="L579" s="9" t="str">
        <ns0:f>IF(AND(B579&lt;&gt;"",J579="在庫"),COUNTIFS($J$5:J579,"在庫",$B$5:B579,"&lt;&gt;"),"")</ns0:f>
        <ns0:v/>
      </ns0:c>
    </ns0:row>
    <ns0:row r="580">
      <ns0:c r="A580" s="5" t="n"/>
      <ns0:c r="B580" s="6" t="n"/>
      <ns0:c r="C580" s="6" t="n"/>
      <ns0:c r="D580" s="7" t="n"/>
      <ns0:c r="E580" s="7" t="n"/>
      <ns0:c r="F580" s="8" t="str">
        <ns0:f>IF(OR(B580="",J580&lt;&gt;"販売済み",E580="",C580=""),"",IFERROR(IF(OR(COUNTIF('手数料マスタ'!$A$5:$A$104,C580)&lt;&gt;1,COUNTIFS('手数料マスタ'!$A$5:$A$104,C580,'手数料マスタ'!$B$5:$B$104,"&lt;&gt;")&lt;&gt;1,NOT(ISNUMBER(VLOOKUP(C580,'手数料マスタ'!$A$5:$B$104,2,FALSE))),VLOOKUP(C580,'手数料マスタ'!$A$5:$B$104,2,FALSE)&lt;0,VLOOKUP(C580,'手数料マスタ'!$A$5:$B$104,2,FALSE)&gt;1),"要確認",ROUND(E580*VLOOKUP(C580,'手数料マスタ'!$A$5:$B$104,2,FALSE),0)),"要確認"))</ns0:f>
        <ns0:v/>
      </ns0:c>
      <ns0:c r="G580" s="7" t="n"/>
      <ns0:c r="H580" s="7" t="n"/>
      <ns0:c r="I580" s="8" t="str">
        <ns0:f>IF(OR(B580="",J580&lt;&gt;"販売済み",D580="",E580="",G580="",H580=""),"",IF(ISNUMBER(F580),E580-D580-F580-G580-H580,"要確認"))</ns0:f>
        <ns0:v/>
      </ns0:c>
      <ns0:c r="J580" s="6" t="n"/>
      <ns0:c r="K580" s="5" t="n"/>
      <ns0:c r="L580" s="9" t="str">
        <ns0:f>IF(AND(B580&lt;&gt;"",J580="在庫"),COUNTIFS($J$5:J580,"在庫",$B$5:B580,"&lt;&gt;"),"")</ns0:f>
        <ns0:v/>
      </ns0:c>
    </ns0:row>
    <ns0:row r="581">
      <ns0:c r="A581" s="5" t="n"/>
      <ns0:c r="B581" s="6" t="n"/>
      <ns0:c r="C581" s="6" t="n"/>
      <ns0:c r="D581" s="7" t="n"/>
      <ns0:c r="E581" s="7" t="n"/>
      <ns0:c r="F581" s="8" t="str">
        <ns0:f>IF(OR(B581="",J581&lt;&gt;"販売済み",E581="",C581=""),"",IFERROR(IF(OR(COUNTIF('手数料マスタ'!$A$5:$A$104,C581)&lt;&gt;1,COUNTIFS('手数料マスタ'!$A$5:$A$104,C581,'手数料マスタ'!$B$5:$B$104,"&lt;&gt;")&lt;&gt;1,NOT(ISNUMBER(VLOOKUP(C581,'手数料マスタ'!$A$5:$B$104,2,FALSE))),VLOOKUP(C581,'手数料マスタ'!$A$5:$B$104,2,FALSE)&lt;0,VLOOKUP(C581,'手数料マスタ'!$A$5:$B$104,2,FALSE)&gt;1),"要確認",ROUND(E581*VLOOKUP(C581,'手数料マスタ'!$A$5:$B$104,2,FALSE),0)),"要確認"))</ns0:f>
        <ns0:v/>
      </ns0:c>
      <ns0:c r="G581" s="7" t="n"/>
      <ns0:c r="H581" s="7" t="n"/>
      <ns0:c r="I581" s="8" t="str">
        <ns0:f>IF(OR(B581="",J581&lt;&gt;"販売済み",D581="",E581="",G581="",H581=""),"",IF(ISNUMBER(F581),E581-D581-F581-G581-H581,"要確認"))</ns0:f>
        <ns0:v/>
      </ns0:c>
      <ns0:c r="J581" s="6" t="n"/>
      <ns0:c r="K581" s="5" t="n"/>
      <ns0:c r="L581" s="9" t="str">
        <ns0:f>IF(AND(B581&lt;&gt;"",J581="在庫"),COUNTIFS($J$5:J581,"在庫",$B$5:B581,"&lt;&gt;"),"")</ns0:f>
        <ns0:v/>
      </ns0:c>
    </ns0:row>
    <ns0:row r="582">
      <ns0:c r="A582" s="5" t="n"/>
      <ns0:c r="B582" s="6" t="n"/>
      <ns0:c r="C582" s="6" t="n"/>
      <ns0:c r="D582" s="7" t="n"/>
      <ns0:c r="E582" s="7" t="n"/>
      <ns0:c r="F582" s="8" t="str">
        <ns0:f>IF(OR(B582="",J582&lt;&gt;"販売済み",E582="",C582=""),"",IFERROR(IF(OR(COUNTIF('手数料マスタ'!$A$5:$A$104,C582)&lt;&gt;1,COUNTIFS('手数料マスタ'!$A$5:$A$104,C582,'手数料マスタ'!$B$5:$B$104,"&lt;&gt;")&lt;&gt;1,NOT(ISNUMBER(VLOOKUP(C582,'手数料マスタ'!$A$5:$B$104,2,FALSE))),VLOOKUP(C582,'手数料マスタ'!$A$5:$B$104,2,FALSE)&lt;0,VLOOKUP(C582,'手数料マスタ'!$A$5:$B$104,2,FALSE)&gt;1),"要確認",ROUND(E582*VLOOKUP(C582,'手数料マスタ'!$A$5:$B$104,2,FALSE),0)),"要確認"))</ns0:f>
        <ns0:v/>
      </ns0:c>
      <ns0:c r="G582" s="7" t="n"/>
      <ns0:c r="H582" s="7" t="n"/>
      <ns0:c r="I582" s="8" t="str">
        <ns0:f>IF(OR(B582="",J582&lt;&gt;"販売済み",D582="",E582="",G582="",H582=""),"",IF(ISNUMBER(F582),E582-D582-F582-G582-H582,"要確認"))</ns0:f>
        <ns0:v/>
      </ns0:c>
      <ns0:c r="J582" s="6" t="n"/>
      <ns0:c r="K582" s="5" t="n"/>
      <ns0:c r="L582" s="9" t="str">
        <ns0:f>IF(AND(B582&lt;&gt;"",J582="在庫"),COUNTIFS($J$5:J582,"在庫",$B$5:B582,"&lt;&gt;"),"")</ns0:f>
        <ns0:v/>
      </ns0:c>
    </ns0:row>
    <ns0:row r="583">
      <ns0:c r="A583" s="5" t="n"/>
      <ns0:c r="B583" s="6" t="n"/>
      <ns0:c r="C583" s="6" t="n"/>
      <ns0:c r="D583" s="7" t="n"/>
      <ns0:c r="E583" s="7" t="n"/>
      <ns0:c r="F583" s="8" t="str">
        <ns0:f>IF(OR(B583="",J583&lt;&gt;"販売済み",E583="",C583=""),"",IFERROR(IF(OR(COUNTIF('手数料マスタ'!$A$5:$A$104,C583)&lt;&gt;1,COUNTIFS('手数料マスタ'!$A$5:$A$104,C583,'手数料マスタ'!$B$5:$B$104,"&lt;&gt;")&lt;&gt;1,NOT(ISNUMBER(VLOOKUP(C583,'手数料マスタ'!$A$5:$B$104,2,FALSE))),VLOOKUP(C583,'手数料マスタ'!$A$5:$B$104,2,FALSE)&lt;0,VLOOKUP(C583,'手数料マスタ'!$A$5:$B$104,2,FALSE)&gt;1),"要確認",ROUND(E583*VLOOKUP(C583,'手数料マスタ'!$A$5:$B$104,2,FALSE),0)),"要確認"))</ns0:f>
        <ns0:v/>
      </ns0:c>
      <ns0:c r="G583" s="7" t="n"/>
      <ns0:c r="H583" s="7" t="n"/>
      <ns0:c r="I583" s="8" t="str">
        <ns0:f>IF(OR(B583="",J583&lt;&gt;"販売済み",D583="",E583="",G583="",H583=""),"",IF(ISNUMBER(F583),E583-D583-F583-G583-H583,"要確認"))</ns0:f>
        <ns0:v/>
      </ns0:c>
      <ns0:c r="J583" s="6" t="n"/>
      <ns0:c r="K583" s="5" t="n"/>
      <ns0:c r="L583" s="9" t="str">
        <ns0:f>IF(AND(B583&lt;&gt;"",J583="在庫"),COUNTIFS($J$5:J583,"在庫",$B$5:B583,"&lt;&gt;"),"")</ns0:f>
        <ns0:v/>
      </ns0:c>
    </ns0:row>
    <ns0:row r="584">
      <ns0:c r="A584" s="5" t="n"/>
      <ns0:c r="B584" s="6" t="n"/>
      <ns0:c r="C584" s="6" t="n"/>
      <ns0:c r="D584" s="7" t="n"/>
      <ns0:c r="E584" s="7" t="n"/>
      <ns0:c r="F584" s="8" t="str">
        <ns0:f>IF(OR(B584="",J584&lt;&gt;"販売済み",E584="",C584=""),"",IFERROR(IF(OR(COUNTIF('手数料マスタ'!$A$5:$A$104,C584)&lt;&gt;1,COUNTIFS('手数料マスタ'!$A$5:$A$104,C584,'手数料マスタ'!$B$5:$B$104,"&lt;&gt;")&lt;&gt;1,NOT(ISNUMBER(VLOOKUP(C584,'手数料マスタ'!$A$5:$B$104,2,FALSE))),VLOOKUP(C584,'手数料マスタ'!$A$5:$B$104,2,FALSE)&lt;0,VLOOKUP(C584,'手数料マスタ'!$A$5:$B$104,2,FALSE)&gt;1),"要確認",ROUND(E584*VLOOKUP(C584,'手数料マスタ'!$A$5:$B$104,2,FALSE),0)),"要確認"))</ns0:f>
        <ns0:v/>
      </ns0:c>
      <ns0:c r="G584" s="7" t="n"/>
      <ns0:c r="H584" s="7" t="n"/>
      <ns0:c r="I584" s="8" t="str">
        <ns0:f>IF(OR(B584="",J584&lt;&gt;"販売済み",D584="",E584="",G584="",H584=""),"",IF(ISNUMBER(F584),E584-D584-F584-G584-H584,"要確認"))</ns0:f>
        <ns0:v/>
      </ns0:c>
      <ns0:c r="J584" s="6" t="n"/>
      <ns0:c r="K584" s="5" t="n"/>
      <ns0:c r="L584" s="9" t="str">
        <ns0:f>IF(AND(B584&lt;&gt;"",J584="在庫"),COUNTIFS($J$5:J584,"在庫",$B$5:B584,"&lt;&gt;"),"")</ns0:f>
        <ns0:v/>
      </ns0:c>
    </ns0:row>
    <ns0:row r="585">
      <ns0:c r="A585" s="5" t="n"/>
      <ns0:c r="B585" s="6" t="n"/>
      <ns0:c r="C585" s="6" t="n"/>
      <ns0:c r="D585" s="7" t="n"/>
      <ns0:c r="E585" s="7" t="n"/>
      <ns0:c r="F585" s="8" t="str">
        <ns0:f>IF(OR(B585="",J585&lt;&gt;"販売済み",E585="",C585=""),"",IFERROR(IF(OR(COUNTIF('手数料マスタ'!$A$5:$A$104,C585)&lt;&gt;1,COUNTIFS('手数料マスタ'!$A$5:$A$104,C585,'手数料マスタ'!$B$5:$B$104,"&lt;&gt;")&lt;&gt;1,NOT(ISNUMBER(VLOOKUP(C585,'手数料マスタ'!$A$5:$B$104,2,FALSE))),VLOOKUP(C585,'手数料マスタ'!$A$5:$B$104,2,FALSE)&lt;0,VLOOKUP(C585,'手数料マスタ'!$A$5:$B$104,2,FALSE)&gt;1),"要確認",ROUND(E585*VLOOKUP(C585,'手数料マスタ'!$A$5:$B$104,2,FALSE),0)),"要確認"))</ns0:f>
        <ns0:v/>
      </ns0:c>
      <ns0:c r="G585" s="7" t="n"/>
      <ns0:c r="H585" s="7" t="n"/>
      <ns0:c r="I585" s="8" t="str">
        <ns0:f>IF(OR(B585="",J585&lt;&gt;"販売済み",D585="",E585="",G585="",H585=""),"",IF(ISNUMBER(F585),E585-D585-F585-G585-H585,"要確認"))</ns0:f>
        <ns0:v/>
      </ns0:c>
      <ns0:c r="J585" s="6" t="n"/>
      <ns0:c r="K585" s="5" t="n"/>
      <ns0:c r="L585" s="9" t="str">
        <ns0:f>IF(AND(B585&lt;&gt;"",J585="在庫"),COUNTIFS($J$5:J585,"在庫",$B$5:B585,"&lt;&gt;"),"")</ns0:f>
        <ns0:v/>
      </ns0:c>
    </ns0:row>
    <ns0:row r="586">
      <ns0:c r="A586" s="5" t="n"/>
      <ns0:c r="B586" s="6" t="n"/>
      <ns0:c r="C586" s="6" t="n"/>
      <ns0:c r="D586" s="7" t="n"/>
      <ns0:c r="E586" s="7" t="n"/>
      <ns0:c r="F586" s="8" t="str">
        <ns0:f>IF(OR(B586="",J586&lt;&gt;"販売済み",E586="",C586=""),"",IFERROR(IF(OR(COUNTIF('手数料マスタ'!$A$5:$A$104,C586)&lt;&gt;1,COUNTIFS('手数料マスタ'!$A$5:$A$104,C586,'手数料マスタ'!$B$5:$B$104,"&lt;&gt;")&lt;&gt;1,NOT(ISNUMBER(VLOOKUP(C586,'手数料マスタ'!$A$5:$B$104,2,FALSE))),VLOOKUP(C586,'手数料マスタ'!$A$5:$B$104,2,FALSE)&lt;0,VLOOKUP(C586,'手数料マスタ'!$A$5:$B$104,2,FALSE)&gt;1),"要確認",ROUND(E586*VLOOKUP(C586,'手数料マスタ'!$A$5:$B$104,2,FALSE),0)),"要確認"))</ns0:f>
        <ns0:v/>
      </ns0:c>
      <ns0:c r="G586" s="7" t="n"/>
      <ns0:c r="H586" s="7" t="n"/>
      <ns0:c r="I586" s="8" t="str">
        <ns0:f>IF(OR(B586="",J586&lt;&gt;"販売済み",D586="",E586="",G586="",H586=""),"",IF(ISNUMBER(F586),E586-D586-F586-G586-H586,"要確認"))</ns0:f>
        <ns0:v/>
      </ns0:c>
      <ns0:c r="J586" s="6" t="n"/>
      <ns0:c r="K586" s="5" t="n"/>
      <ns0:c r="L586" s="9" t="str">
        <ns0:f>IF(AND(B586&lt;&gt;"",J586="在庫"),COUNTIFS($J$5:J586,"在庫",$B$5:B586,"&lt;&gt;"),"")</ns0:f>
        <ns0:v/>
      </ns0:c>
    </ns0:row>
    <ns0:row r="587">
      <ns0:c r="A587" s="5" t="n"/>
      <ns0:c r="B587" s="6" t="n"/>
      <ns0:c r="C587" s="6" t="n"/>
      <ns0:c r="D587" s="7" t="n"/>
      <ns0:c r="E587" s="7" t="n"/>
      <ns0:c r="F587" s="8" t="str">
        <ns0:f>IF(OR(B587="",J587&lt;&gt;"販売済み",E587="",C587=""),"",IFERROR(IF(OR(COUNTIF('手数料マスタ'!$A$5:$A$104,C587)&lt;&gt;1,COUNTIFS('手数料マスタ'!$A$5:$A$104,C587,'手数料マスタ'!$B$5:$B$104,"&lt;&gt;")&lt;&gt;1,NOT(ISNUMBER(VLOOKUP(C587,'手数料マスタ'!$A$5:$B$104,2,FALSE))),VLOOKUP(C587,'手数料マスタ'!$A$5:$B$104,2,FALSE)&lt;0,VLOOKUP(C587,'手数料マスタ'!$A$5:$B$104,2,FALSE)&gt;1),"要確認",ROUND(E587*VLOOKUP(C587,'手数料マスタ'!$A$5:$B$104,2,FALSE),0)),"要確認"))</ns0:f>
        <ns0:v/>
      </ns0:c>
      <ns0:c r="G587" s="7" t="n"/>
      <ns0:c r="H587" s="7" t="n"/>
      <ns0:c r="I587" s="8" t="str">
        <ns0:f>IF(OR(B587="",J587&lt;&gt;"販売済み",D587="",E587="",G587="",H587=""),"",IF(ISNUMBER(F587),E587-D587-F587-G587-H587,"要確認"))</ns0:f>
        <ns0:v/>
      </ns0:c>
      <ns0:c r="J587" s="6" t="n"/>
      <ns0:c r="K587" s="5" t="n"/>
      <ns0:c r="L587" s="9" t="str">
        <ns0:f>IF(AND(B587&lt;&gt;"",J587="在庫"),COUNTIFS($J$5:J587,"在庫",$B$5:B587,"&lt;&gt;"),"")</ns0:f>
        <ns0:v/>
      </ns0:c>
    </ns0:row>
    <ns0:row r="588">
      <ns0:c r="A588" s="5" t="n"/>
      <ns0:c r="B588" s="6" t="n"/>
      <ns0:c r="C588" s="6" t="n"/>
      <ns0:c r="D588" s="7" t="n"/>
      <ns0:c r="E588" s="7" t="n"/>
      <ns0:c r="F588" s="8" t="str">
        <ns0:f>IF(OR(B588="",J588&lt;&gt;"販売済み",E588="",C588=""),"",IFERROR(IF(OR(COUNTIF('手数料マスタ'!$A$5:$A$104,C588)&lt;&gt;1,COUNTIFS('手数料マスタ'!$A$5:$A$104,C588,'手数料マスタ'!$B$5:$B$104,"&lt;&gt;")&lt;&gt;1,NOT(ISNUMBER(VLOOKUP(C588,'手数料マスタ'!$A$5:$B$104,2,FALSE))),VLOOKUP(C588,'手数料マスタ'!$A$5:$B$104,2,FALSE)&lt;0,VLOOKUP(C588,'手数料マスタ'!$A$5:$B$104,2,FALSE)&gt;1),"要確認",ROUND(E588*VLOOKUP(C588,'手数料マスタ'!$A$5:$B$104,2,FALSE),0)),"要確認"))</ns0:f>
        <ns0:v/>
      </ns0:c>
      <ns0:c r="G588" s="7" t="n"/>
      <ns0:c r="H588" s="7" t="n"/>
      <ns0:c r="I588" s="8" t="str">
        <ns0:f>IF(OR(B588="",J588&lt;&gt;"販売済み",D588="",E588="",G588="",H588=""),"",IF(ISNUMBER(F588),E588-D588-F588-G588-H588,"要確認"))</ns0:f>
        <ns0:v/>
      </ns0:c>
      <ns0:c r="J588" s="6" t="n"/>
      <ns0:c r="K588" s="5" t="n"/>
      <ns0:c r="L588" s="9" t="str">
        <ns0:f>IF(AND(B588&lt;&gt;"",J588="在庫"),COUNTIFS($J$5:J588,"在庫",$B$5:B588,"&lt;&gt;"),"")</ns0:f>
        <ns0:v/>
      </ns0:c>
    </ns0:row>
    <ns0:row r="589">
      <ns0:c r="A589" s="5" t="n"/>
      <ns0:c r="B589" s="6" t="n"/>
      <ns0:c r="C589" s="6" t="n"/>
      <ns0:c r="D589" s="7" t="n"/>
      <ns0:c r="E589" s="7" t="n"/>
      <ns0:c r="F589" s="8" t="str">
        <ns0:f>IF(OR(B589="",J589&lt;&gt;"販売済み",E589="",C589=""),"",IFERROR(IF(OR(COUNTIF('手数料マスタ'!$A$5:$A$104,C589)&lt;&gt;1,COUNTIFS('手数料マスタ'!$A$5:$A$104,C589,'手数料マスタ'!$B$5:$B$104,"&lt;&gt;")&lt;&gt;1,NOT(ISNUMBER(VLOOKUP(C589,'手数料マスタ'!$A$5:$B$104,2,FALSE))),VLOOKUP(C589,'手数料マスタ'!$A$5:$B$104,2,FALSE)&lt;0,VLOOKUP(C589,'手数料マスタ'!$A$5:$B$104,2,FALSE)&gt;1),"要確認",ROUND(E589*VLOOKUP(C589,'手数料マスタ'!$A$5:$B$104,2,FALSE),0)),"要確認"))</ns0:f>
        <ns0:v/>
      </ns0:c>
      <ns0:c r="G589" s="7" t="n"/>
      <ns0:c r="H589" s="7" t="n"/>
      <ns0:c r="I589" s="8" t="str">
        <ns0:f>IF(OR(B589="",J589&lt;&gt;"販売済み",D589="",E589="",G589="",H589=""),"",IF(ISNUMBER(F589),E589-D589-F589-G589-H589,"要確認"))</ns0:f>
        <ns0:v/>
      </ns0:c>
      <ns0:c r="J589" s="6" t="n"/>
      <ns0:c r="K589" s="5" t="n"/>
      <ns0:c r="L589" s="9" t="str">
        <ns0:f>IF(AND(B589&lt;&gt;"",J589="在庫"),COUNTIFS($J$5:J589,"在庫",$B$5:B589,"&lt;&gt;"),"")</ns0:f>
        <ns0:v/>
      </ns0:c>
    </ns0:row>
    <ns0:row r="590">
      <ns0:c r="A590" s="5" t="n"/>
      <ns0:c r="B590" s="6" t="n"/>
      <ns0:c r="C590" s="6" t="n"/>
      <ns0:c r="D590" s="7" t="n"/>
      <ns0:c r="E590" s="7" t="n"/>
      <ns0:c r="F590" s="8" t="str">
        <ns0:f>IF(OR(B590="",J590&lt;&gt;"販売済み",E590="",C590=""),"",IFERROR(IF(OR(COUNTIF('手数料マスタ'!$A$5:$A$104,C590)&lt;&gt;1,COUNTIFS('手数料マスタ'!$A$5:$A$104,C590,'手数料マスタ'!$B$5:$B$104,"&lt;&gt;")&lt;&gt;1,NOT(ISNUMBER(VLOOKUP(C590,'手数料マスタ'!$A$5:$B$104,2,FALSE))),VLOOKUP(C590,'手数料マスタ'!$A$5:$B$104,2,FALSE)&lt;0,VLOOKUP(C590,'手数料マスタ'!$A$5:$B$104,2,FALSE)&gt;1),"要確認",ROUND(E590*VLOOKUP(C590,'手数料マスタ'!$A$5:$B$104,2,FALSE),0)),"要確認"))</ns0:f>
        <ns0:v/>
      </ns0:c>
      <ns0:c r="G590" s="7" t="n"/>
      <ns0:c r="H590" s="7" t="n"/>
      <ns0:c r="I590" s="8" t="str">
        <ns0:f>IF(OR(B590="",J590&lt;&gt;"販売済み",D590="",E590="",G590="",H590=""),"",IF(ISNUMBER(F590),E590-D590-F590-G590-H590,"要確認"))</ns0:f>
        <ns0:v/>
      </ns0:c>
      <ns0:c r="J590" s="6" t="n"/>
      <ns0:c r="K590" s="5" t="n"/>
      <ns0:c r="L590" s="9" t="str">
        <ns0:f>IF(AND(B590&lt;&gt;"",J590="在庫"),COUNTIFS($J$5:J590,"在庫",$B$5:B590,"&lt;&gt;"),"")</ns0:f>
        <ns0:v/>
      </ns0:c>
    </ns0:row>
    <ns0:row r="591">
      <ns0:c r="A591" s="5" t="n"/>
      <ns0:c r="B591" s="6" t="n"/>
      <ns0:c r="C591" s="6" t="n"/>
      <ns0:c r="D591" s="7" t="n"/>
      <ns0:c r="E591" s="7" t="n"/>
      <ns0:c r="F591" s="8" t="str">
        <ns0:f>IF(OR(B591="",J591&lt;&gt;"販売済み",E591="",C591=""),"",IFERROR(IF(OR(COUNTIF('手数料マスタ'!$A$5:$A$104,C591)&lt;&gt;1,COUNTIFS('手数料マスタ'!$A$5:$A$104,C591,'手数料マスタ'!$B$5:$B$104,"&lt;&gt;")&lt;&gt;1,NOT(ISNUMBER(VLOOKUP(C591,'手数料マスタ'!$A$5:$B$104,2,FALSE))),VLOOKUP(C591,'手数料マスタ'!$A$5:$B$104,2,FALSE)&lt;0,VLOOKUP(C591,'手数料マスタ'!$A$5:$B$104,2,FALSE)&gt;1),"要確認",ROUND(E591*VLOOKUP(C591,'手数料マスタ'!$A$5:$B$104,2,FALSE),0)),"要確認"))</ns0:f>
        <ns0:v/>
      </ns0:c>
      <ns0:c r="G591" s="7" t="n"/>
      <ns0:c r="H591" s="7" t="n"/>
      <ns0:c r="I591" s="8" t="str">
        <ns0:f>IF(OR(B591="",J591&lt;&gt;"販売済み",D591="",E591="",G591="",H591=""),"",IF(ISNUMBER(F591),E591-D591-F591-G591-H591,"要確認"))</ns0:f>
        <ns0:v/>
      </ns0:c>
      <ns0:c r="J591" s="6" t="n"/>
      <ns0:c r="K591" s="5" t="n"/>
      <ns0:c r="L591" s="9" t="str">
        <ns0:f>IF(AND(B591&lt;&gt;"",J591="在庫"),COUNTIFS($J$5:J591,"在庫",$B$5:B591,"&lt;&gt;"),"")</ns0:f>
        <ns0:v/>
      </ns0:c>
    </ns0:row>
    <ns0:row r="592">
      <ns0:c r="A592" s="5" t="n"/>
      <ns0:c r="B592" s="6" t="n"/>
      <ns0:c r="C592" s="6" t="n"/>
      <ns0:c r="D592" s="7" t="n"/>
      <ns0:c r="E592" s="7" t="n"/>
      <ns0:c r="F592" s="8" t="str">
        <ns0:f>IF(OR(B592="",J592&lt;&gt;"販売済み",E592="",C592=""),"",IFERROR(IF(OR(COUNTIF('手数料マスタ'!$A$5:$A$104,C592)&lt;&gt;1,COUNTIFS('手数料マスタ'!$A$5:$A$104,C592,'手数料マスタ'!$B$5:$B$104,"&lt;&gt;")&lt;&gt;1,NOT(ISNUMBER(VLOOKUP(C592,'手数料マスタ'!$A$5:$B$104,2,FALSE))),VLOOKUP(C592,'手数料マスタ'!$A$5:$B$104,2,FALSE)&lt;0,VLOOKUP(C592,'手数料マスタ'!$A$5:$B$104,2,FALSE)&gt;1),"要確認",ROUND(E592*VLOOKUP(C592,'手数料マスタ'!$A$5:$B$104,2,FALSE),0)),"要確認"))</ns0:f>
        <ns0:v/>
      </ns0:c>
      <ns0:c r="G592" s="7" t="n"/>
      <ns0:c r="H592" s="7" t="n"/>
      <ns0:c r="I592" s="8" t="str">
        <ns0:f>IF(OR(B592="",J592&lt;&gt;"販売済み",D592="",E592="",G592="",H592=""),"",IF(ISNUMBER(F592),E592-D592-F592-G592-H592,"要確認"))</ns0:f>
        <ns0:v/>
      </ns0:c>
      <ns0:c r="J592" s="6" t="n"/>
      <ns0:c r="K592" s="5" t="n"/>
      <ns0:c r="L592" s="9" t="str">
        <ns0:f>IF(AND(B592&lt;&gt;"",J592="在庫"),COUNTIFS($J$5:J592,"在庫",$B$5:B592,"&lt;&gt;"),"")</ns0:f>
        <ns0:v/>
      </ns0:c>
    </ns0:row>
    <ns0:row r="593">
      <ns0:c r="A593" s="5" t="n"/>
      <ns0:c r="B593" s="6" t="n"/>
      <ns0:c r="C593" s="6" t="n"/>
      <ns0:c r="D593" s="7" t="n"/>
      <ns0:c r="E593" s="7" t="n"/>
      <ns0:c r="F593" s="8" t="str">
        <ns0:f>IF(OR(B593="",J593&lt;&gt;"販売済み",E593="",C593=""),"",IFERROR(IF(OR(COUNTIF('手数料マスタ'!$A$5:$A$104,C593)&lt;&gt;1,COUNTIFS('手数料マスタ'!$A$5:$A$104,C593,'手数料マスタ'!$B$5:$B$104,"&lt;&gt;")&lt;&gt;1,NOT(ISNUMBER(VLOOKUP(C593,'手数料マスタ'!$A$5:$B$104,2,FALSE))),VLOOKUP(C593,'手数料マスタ'!$A$5:$B$104,2,FALSE)&lt;0,VLOOKUP(C593,'手数料マスタ'!$A$5:$B$104,2,FALSE)&gt;1),"要確認",ROUND(E593*VLOOKUP(C593,'手数料マスタ'!$A$5:$B$104,2,FALSE),0)),"要確認"))</ns0:f>
        <ns0:v/>
      </ns0:c>
      <ns0:c r="G593" s="7" t="n"/>
      <ns0:c r="H593" s="7" t="n"/>
      <ns0:c r="I593" s="8" t="str">
        <ns0:f>IF(OR(B593="",J593&lt;&gt;"販売済み",D593="",E593="",G593="",H593=""),"",IF(ISNUMBER(F593),E593-D593-F593-G593-H593,"要確認"))</ns0:f>
        <ns0:v/>
      </ns0:c>
      <ns0:c r="J593" s="6" t="n"/>
      <ns0:c r="K593" s="5" t="n"/>
      <ns0:c r="L593" s="9" t="str">
        <ns0:f>IF(AND(B593&lt;&gt;"",J593="在庫"),COUNTIFS($J$5:J593,"在庫",$B$5:B593,"&lt;&gt;"),"")</ns0:f>
        <ns0:v/>
      </ns0:c>
    </ns0:row>
    <ns0:row r="594">
      <ns0:c r="A594" s="5" t="n"/>
      <ns0:c r="B594" s="6" t="n"/>
      <ns0:c r="C594" s="6" t="n"/>
      <ns0:c r="D594" s="7" t="n"/>
      <ns0:c r="E594" s="7" t="n"/>
      <ns0:c r="F594" s="8" t="str">
        <ns0:f>IF(OR(B594="",J594&lt;&gt;"販売済み",E594="",C594=""),"",IFERROR(IF(OR(COUNTIF('手数料マスタ'!$A$5:$A$104,C594)&lt;&gt;1,COUNTIFS('手数料マスタ'!$A$5:$A$104,C594,'手数料マスタ'!$B$5:$B$104,"&lt;&gt;")&lt;&gt;1,NOT(ISNUMBER(VLOOKUP(C594,'手数料マスタ'!$A$5:$B$104,2,FALSE))),VLOOKUP(C594,'手数料マスタ'!$A$5:$B$104,2,FALSE)&lt;0,VLOOKUP(C594,'手数料マスタ'!$A$5:$B$104,2,FALSE)&gt;1),"要確認",ROUND(E594*VLOOKUP(C594,'手数料マスタ'!$A$5:$B$104,2,FALSE),0)),"要確認"))</ns0:f>
        <ns0:v/>
      </ns0:c>
      <ns0:c r="G594" s="7" t="n"/>
      <ns0:c r="H594" s="7" t="n"/>
      <ns0:c r="I594" s="8" t="str">
        <ns0:f>IF(OR(B594="",J594&lt;&gt;"販売済み",D594="",E594="",G594="",H594=""),"",IF(ISNUMBER(F594),E594-D594-F594-G594-H594,"要確認"))</ns0:f>
        <ns0:v/>
      </ns0:c>
      <ns0:c r="J594" s="6" t="n"/>
      <ns0:c r="K594" s="5" t="n"/>
      <ns0:c r="L594" s="9" t="str">
        <ns0:f>IF(AND(B594&lt;&gt;"",J594="在庫"),COUNTIFS($J$5:J594,"在庫",$B$5:B594,"&lt;&gt;"),"")</ns0:f>
        <ns0:v/>
      </ns0:c>
    </ns0:row>
    <ns0:row r="595">
      <ns0:c r="A595" s="5" t="n"/>
      <ns0:c r="B595" s="6" t="n"/>
      <ns0:c r="C595" s="6" t="n"/>
      <ns0:c r="D595" s="7" t="n"/>
      <ns0:c r="E595" s="7" t="n"/>
      <ns0:c r="F595" s="8" t="str">
        <ns0:f>IF(OR(B595="",J595&lt;&gt;"販売済み",E595="",C595=""),"",IFERROR(IF(OR(COUNTIF('手数料マスタ'!$A$5:$A$104,C595)&lt;&gt;1,COUNTIFS('手数料マスタ'!$A$5:$A$104,C595,'手数料マスタ'!$B$5:$B$104,"&lt;&gt;")&lt;&gt;1,NOT(ISNUMBER(VLOOKUP(C595,'手数料マスタ'!$A$5:$B$104,2,FALSE))),VLOOKUP(C595,'手数料マスタ'!$A$5:$B$104,2,FALSE)&lt;0,VLOOKUP(C595,'手数料マスタ'!$A$5:$B$104,2,FALSE)&gt;1),"要確認",ROUND(E595*VLOOKUP(C595,'手数料マスタ'!$A$5:$B$104,2,FALSE),0)),"要確認"))</ns0:f>
        <ns0:v/>
      </ns0:c>
      <ns0:c r="G595" s="7" t="n"/>
      <ns0:c r="H595" s="7" t="n"/>
      <ns0:c r="I595" s="8" t="str">
        <ns0:f>IF(OR(B595="",J595&lt;&gt;"販売済み",D595="",E595="",G595="",H595=""),"",IF(ISNUMBER(F595),E595-D595-F595-G595-H595,"要確認"))</ns0:f>
        <ns0:v/>
      </ns0:c>
      <ns0:c r="J595" s="6" t="n"/>
      <ns0:c r="K595" s="5" t="n"/>
      <ns0:c r="L595" s="9" t="str">
        <ns0:f>IF(AND(B595&lt;&gt;"",J595="在庫"),COUNTIFS($J$5:J595,"在庫",$B$5:B595,"&lt;&gt;"),"")</ns0:f>
        <ns0:v/>
      </ns0:c>
    </ns0:row>
    <ns0:row r="596">
      <ns0:c r="A596" s="5" t="n"/>
      <ns0:c r="B596" s="6" t="n"/>
      <ns0:c r="C596" s="6" t="n"/>
      <ns0:c r="D596" s="7" t="n"/>
      <ns0:c r="E596" s="7" t="n"/>
      <ns0:c r="F596" s="8" t="str">
        <ns0:f>IF(OR(B596="",J596&lt;&gt;"販売済み",E596="",C596=""),"",IFERROR(IF(OR(COUNTIF('手数料マスタ'!$A$5:$A$104,C596)&lt;&gt;1,COUNTIFS('手数料マスタ'!$A$5:$A$104,C596,'手数料マスタ'!$B$5:$B$104,"&lt;&gt;")&lt;&gt;1,NOT(ISNUMBER(VLOOKUP(C596,'手数料マスタ'!$A$5:$B$104,2,FALSE))),VLOOKUP(C596,'手数料マスタ'!$A$5:$B$104,2,FALSE)&lt;0,VLOOKUP(C596,'手数料マスタ'!$A$5:$B$104,2,FALSE)&gt;1),"要確認",ROUND(E596*VLOOKUP(C596,'手数料マスタ'!$A$5:$B$104,2,FALSE),0)),"要確認"))</ns0:f>
        <ns0:v/>
      </ns0:c>
      <ns0:c r="G596" s="7" t="n"/>
      <ns0:c r="H596" s="7" t="n"/>
      <ns0:c r="I596" s="8" t="str">
        <ns0:f>IF(OR(B596="",J596&lt;&gt;"販売済み",D596="",E596="",G596="",H596=""),"",IF(ISNUMBER(F596),E596-D596-F596-G596-H596,"要確認"))</ns0:f>
        <ns0:v/>
      </ns0:c>
      <ns0:c r="J596" s="6" t="n"/>
      <ns0:c r="K596" s="5" t="n"/>
      <ns0:c r="L596" s="9" t="str">
        <ns0:f>IF(AND(B596&lt;&gt;"",J596="在庫"),COUNTIFS($J$5:J596,"在庫",$B$5:B596,"&lt;&gt;"),"")</ns0:f>
        <ns0:v/>
      </ns0:c>
    </ns0:row>
    <ns0:row r="597">
      <ns0:c r="A597" s="5" t="n"/>
      <ns0:c r="B597" s="6" t="n"/>
      <ns0:c r="C597" s="6" t="n"/>
      <ns0:c r="D597" s="7" t="n"/>
      <ns0:c r="E597" s="7" t="n"/>
      <ns0:c r="F597" s="8" t="str">
        <ns0:f>IF(OR(B597="",J597&lt;&gt;"販売済み",E597="",C597=""),"",IFERROR(IF(OR(COUNTIF('手数料マスタ'!$A$5:$A$104,C597)&lt;&gt;1,COUNTIFS('手数料マスタ'!$A$5:$A$104,C597,'手数料マスタ'!$B$5:$B$104,"&lt;&gt;")&lt;&gt;1,NOT(ISNUMBER(VLOOKUP(C597,'手数料マスタ'!$A$5:$B$104,2,FALSE))),VLOOKUP(C597,'手数料マスタ'!$A$5:$B$104,2,FALSE)&lt;0,VLOOKUP(C597,'手数料マスタ'!$A$5:$B$104,2,FALSE)&gt;1),"要確認",ROUND(E597*VLOOKUP(C597,'手数料マスタ'!$A$5:$B$104,2,FALSE),0)),"要確認"))</ns0:f>
        <ns0:v/>
      </ns0:c>
      <ns0:c r="G597" s="7" t="n"/>
      <ns0:c r="H597" s="7" t="n"/>
      <ns0:c r="I597" s="8" t="str">
        <ns0:f>IF(OR(B597="",J597&lt;&gt;"販売済み",D597="",E597="",G597="",H597=""),"",IF(ISNUMBER(F597),E597-D597-F597-G597-H597,"要確認"))</ns0:f>
        <ns0:v/>
      </ns0:c>
      <ns0:c r="J597" s="6" t="n"/>
      <ns0:c r="K597" s="5" t="n"/>
      <ns0:c r="L597" s="9" t="str">
        <ns0:f>IF(AND(B597&lt;&gt;"",J597="在庫"),COUNTIFS($J$5:J597,"在庫",$B$5:B597,"&lt;&gt;"),"")</ns0:f>
        <ns0:v/>
      </ns0:c>
    </ns0:row>
    <ns0:row r="598">
      <ns0:c r="A598" s="5" t="n"/>
      <ns0:c r="B598" s="6" t="n"/>
      <ns0:c r="C598" s="6" t="n"/>
      <ns0:c r="D598" s="7" t="n"/>
      <ns0:c r="E598" s="7" t="n"/>
      <ns0:c r="F598" s="8" t="str">
        <ns0:f>IF(OR(B598="",J598&lt;&gt;"販売済み",E598="",C598=""),"",IFERROR(IF(OR(COUNTIF('手数料マスタ'!$A$5:$A$104,C598)&lt;&gt;1,COUNTIFS('手数料マスタ'!$A$5:$A$104,C598,'手数料マスタ'!$B$5:$B$104,"&lt;&gt;")&lt;&gt;1,NOT(ISNUMBER(VLOOKUP(C598,'手数料マスタ'!$A$5:$B$104,2,FALSE))),VLOOKUP(C598,'手数料マスタ'!$A$5:$B$104,2,FALSE)&lt;0,VLOOKUP(C598,'手数料マスタ'!$A$5:$B$104,2,FALSE)&gt;1),"要確認",ROUND(E598*VLOOKUP(C598,'手数料マスタ'!$A$5:$B$104,2,FALSE),0)),"要確認"))</ns0:f>
        <ns0:v/>
      </ns0:c>
      <ns0:c r="G598" s="7" t="n"/>
      <ns0:c r="H598" s="7" t="n"/>
      <ns0:c r="I598" s="8" t="str">
        <ns0:f>IF(OR(B598="",J598&lt;&gt;"販売済み",D598="",E598="",G598="",H598=""),"",IF(ISNUMBER(F598),E598-D598-F598-G598-H598,"要確認"))</ns0:f>
        <ns0:v/>
      </ns0:c>
      <ns0:c r="J598" s="6" t="n"/>
      <ns0:c r="K598" s="5" t="n"/>
      <ns0:c r="L598" s="9" t="str">
        <ns0:f>IF(AND(B598&lt;&gt;"",J598="在庫"),COUNTIFS($J$5:J598,"在庫",$B$5:B598,"&lt;&gt;"),"")</ns0:f>
        <ns0:v/>
      </ns0:c>
    </ns0:row>
    <ns0:row r="599">
      <ns0:c r="A599" s="5" t="n"/>
      <ns0:c r="B599" s="6" t="n"/>
      <ns0:c r="C599" s="6" t="n"/>
      <ns0:c r="D599" s="7" t="n"/>
      <ns0:c r="E599" s="7" t="n"/>
      <ns0:c r="F599" s="8" t="str">
        <ns0:f>IF(OR(B599="",J599&lt;&gt;"販売済み",E599="",C599=""),"",IFERROR(IF(OR(COUNTIF('手数料マスタ'!$A$5:$A$104,C599)&lt;&gt;1,COUNTIFS('手数料マスタ'!$A$5:$A$104,C599,'手数料マスタ'!$B$5:$B$104,"&lt;&gt;")&lt;&gt;1,NOT(ISNUMBER(VLOOKUP(C599,'手数料マスタ'!$A$5:$B$104,2,FALSE))),VLOOKUP(C599,'手数料マスタ'!$A$5:$B$104,2,FALSE)&lt;0,VLOOKUP(C599,'手数料マスタ'!$A$5:$B$104,2,FALSE)&gt;1),"要確認",ROUND(E599*VLOOKUP(C599,'手数料マスタ'!$A$5:$B$104,2,FALSE),0)),"要確認"))</ns0:f>
        <ns0:v/>
      </ns0:c>
      <ns0:c r="G599" s="7" t="n"/>
      <ns0:c r="H599" s="7" t="n"/>
      <ns0:c r="I599" s="8" t="str">
        <ns0:f>IF(OR(B599="",J599&lt;&gt;"販売済み",D599="",E599="",G599="",H599=""),"",IF(ISNUMBER(F599),E599-D599-F599-G599-H599,"要確認"))</ns0:f>
        <ns0:v/>
      </ns0:c>
      <ns0:c r="J599" s="6" t="n"/>
      <ns0:c r="K599" s="5" t="n"/>
      <ns0:c r="L599" s="9" t="str">
        <ns0:f>IF(AND(B599&lt;&gt;"",J599="在庫"),COUNTIFS($J$5:J599,"在庫",$B$5:B599,"&lt;&gt;"),"")</ns0:f>
        <ns0:v/>
      </ns0:c>
    </ns0:row>
    <ns0:row r="600">
      <ns0:c r="A600" s="5" t="n"/>
      <ns0:c r="B600" s="6" t="n"/>
      <ns0:c r="C600" s="6" t="n"/>
      <ns0:c r="D600" s="7" t="n"/>
      <ns0:c r="E600" s="7" t="n"/>
      <ns0:c r="F600" s="8" t="str">
        <ns0:f>IF(OR(B600="",J600&lt;&gt;"販売済み",E600="",C600=""),"",IFERROR(IF(OR(COUNTIF('手数料マスタ'!$A$5:$A$104,C600)&lt;&gt;1,COUNTIFS('手数料マスタ'!$A$5:$A$104,C600,'手数料マスタ'!$B$5:$B$104,"&lt;&gt;")&lt;&gt;1,NOT(ISNUMBER(VLOOKUP(C600,'手数料マスタ'!$A$5:$B$104,2,FALSE))),VLOOKUP(C600,'手数料マスタ'!$A$5:$B$104,2,FALSE)&lt;0,VLOOKUP(C600,'手数料マスタ'!$A$5:$B$104,2,FALSE)&gt;1),"要確認",ROUND(E600*VLOOKUP(C600,'手数料マスタ'!$A$5:$B$104,2,FALSE),0)),"要確認"))</ns0:f>
        <ns0:v/>
      </ns0:c>
      <ns0:c r="G600" s="7" t="n"/>
      <ns0:c r="H600" s="7" t="n"/>
      <ns0:c r="I600" s="8" t="str">
        <ns0:f>IF(OR(B600="",J600&lt;&gt;"販売済み",D600="",E600="",G600="",H600=""),"",IF(ISNUMBER(F600),E600-D600-F600-G600-H600,"要確認"))</ns0:f>
        <ns0:v/>
      </ns0:c>
      <ns0:c r="J600" s="6" t="n"/>
      <ns0:c r="K600" s="5" t="n"/>
      <ns0:c r="L600" s="9" t="str">
        <ns0:f>IF(AND(B600&lt;&gt;"",J600="在庫"),COUNTIFS($J$5:J600,"在庫",$B$5:B600,"&lt;&gt;"),"")</ns0:f>
        <ns0:v/>
      </ns0:c>
    </ns0:row>
    <ns0:row r="601">
      <ns0:c r="A601" s="5" t="n"/>
      <ns0:c r="B601" s="6" t="n"/>
      <ns0:c r="C601" s="6" t="n"/>
      <ns0:c r="D601" s="7" t="n"/>
      <ns0:c r="E601" s="7" t="n"/>
      <ns0:c r="F601" s="8" t="str">
        <ns0:f>IF(OR(B601="",J601&lt;&gt;"販売済み",E601="",C601=""),"",IFERROR(IF(OR(COUNTIF('手数料マスタ'!$A$5:$A$104,C601)&lt;&gt;1,COUNTIFS('手数料マスタ'!$A$5:$A$104,C601,'手数料マスタ'!$B$5:$B$104,"&lt;&gt;")&lt;&gt;1,NOT(ISNUMBER(VLOOKUP(C601,'手数料マスタ'!$A$5:$B$104,2,FALSE))),VLOOKUP(C601,'手数料マスタ'!$A$5:$B$104,2,FALSE)&lt;0,VLOOKUP(C601,'手数料マスタ'!$A$5:$B$104,2,FALSE)&gt;1),"要確認",ROUND(E601*VLOOKUP(C601,'手数料マスタ'!$A$5:$B$104,2,FALSE),0)),"要確認"))</ns0:f>
        <ns0:v/>
      </ns0:c>
      <ns0:c r="G601" s="7" t="n"/>
      <ns0:c r="H601" s="7" t="n"/>
      <ns0:c r="I601" s="8" t="str">
        <ns0:f>IF(OR(B601="",J601&lt;&gt;"販売済み",D601="",E601="",G601="",H601=""),"",IF(ISNUMBER(F601),E601-D601-F601-G601-H601,"要確認"))</ns0:f>
        <ns0:v/>
      </ns0:c>
      <ns0:c r="J601" s="6" t="n"/>
      <ns0:c r="K601" s="5" t="n"/>
      <ns0:c r="L601" s="9" t="str">
        <ns0:f>IF(AND(B601&lt;&gt;"",J601="在庫"),COUNTIFS($J$5:J601,"在庫",$B$5:B601,"&lt;&gt;"),"")</ns0:f>
        <ns0:v/>
      </ns0:c>
    </ns0:row>
    <ns0:row r="602">
      <ns0:c r="A602" s="5" t="n"/>
      <ns0:c r="B602" s="6" t="n"/>
      <ns0:c r="C602" s="6" t="n"/>
      <ns0:c r="D602" s="7" t="n"/>
      <ns0:c r="E602" s="7" t="n"/>
      <ns0:c r="F602" s="8" t="str">
        <ns0:f>IF(OR(B602="",J602&lt;&gt;"販売済み",E602="",C602=""),"",IFERROR(IF(OR(COUNTIF('手数料マスタ'!$A$5:$A$104,C602)&lt;&gt;1,COUNTIFS('手数料マスタ'!$A$5:$A$104,C602,'手数料マスタ'!$B$5:$B$104,"&lt;&gt;")&lt;&gt;1,NOT(ISNUMBER(VLOOKUP(C602,'手数料マスタ'!$A$5:$B$104,2,FALSE))),VLOOKUP(C602,'手数料マスタ'!$A$5:$B$104,2,FALSE)&lt;0,VLOOKUP(C602,'手数料マスタ'!$A$5:$B$104,2,FALSE)&gt;1),"要確認",ROUND(E602*VLOOKUP(C602,'手数料マスタ'!$A$5:$B$104,2,FALSE),0)),"要確認"))</ns0:f>
        <ns0:v/>
      </ns0:c>
      <ns0:c r="G602" s="7" t="n"/>
      <ns0:c r="H602" s="7" t="n"/>
      <ns0:c r="I602" s="8" t="str">
        <ns0:f>IF(OR(B602="",J602&lt;&gt;"販売済み",D602="",E602="",G602="",H602=""),"",IF(ISNUMBER(F602),E602-D602-F602-G602-H602,"要確認"))</ns0:f>
        <ns0:v/>
      </ns0:c>
      <ns0:c r="J602" s="6" t="n"/>
      <ns0:c r="K602" s="5" t="n"/>
      <ns0:c r="L602" s="9" t="str">
        <ns0:f>IF(AND(B602&lt;&gt;"",J602="在庫"),COUNTIFS($J$5:J602,"在庫",$B$5:B602,"&lt;&gt;"),"")</ns0:f>
        <ns0:v/>
      </ns0:c>
    </ns0:row>
    <ns0:row r="603">
      <ns0:c r="A603" s="5" t="n"/>
      <ns0:c r="B603" s="6" t="n"/>
      <ns0:c r="C603" s="6" t="n"/>
      <ns0:c r="D603" s="7" t="n"/>
      <ns0:c r="E603" s="7" t="n"/>
      <ns0:c r="F603" s="8" t="str">
        <ns0:f>IF(OR(B603="",J603&lt;&gt;"販売済み",E603="",C603=""),"",IFERROR(IF(OR(COUNTIF('手数料マスタ'!$A$5:$A$104,C603)&lt;&gt;1,COUNTIFS('手数料マスタ'!$A$5:$A$104,C603,'手数料マスタ'!$B$5:$B$104,"&lt;&gt;")&lt;&gt;1,NOT(ISNUMBER(VLOOKUP(C603,'手数料マスタ'!$A$5:$B$104,2,FALSE))),VLOOKUP(C603,'手数料マスタ'!$A$5:$B$104,2,FALSE)&lt;0,VLOOKUP(C603,'手数料マスタ'!$A$5:$B$104,2,FALSE)&gt;1),"要確認",ROUND(E603*VLOOKUP(C603,'手数料マスタ'!$A$5:$B$104,2,FALSE),0)),"要確認"))</ns0:f>
        <ns0:v/>
      </ns0:c>
      <ns0:c r="G603" s="7" t="n"/>
      <ns0:c r="H603" s="7" t="n"/>
      <ns0:c r="I603" s="8" t="str">
        <ns0:f>IF(OR(B603="",J603&lt;&gt;"販売済み",D603="",E603="",G603="",H603=""),"",IF(ISNUMBER(F603),E603-D603-F603-G603-H603,"要確認"))</ns0:f>
        <ns0:v/>
      </ns0:c>
      <ns0:c r="J603" s="6" t="n"/>
      <ns0:c r="K603" s="5" t="n"/>
      <ns0:c r="L603" s="9" t="str">
        <ns0:f>IF(AND(B603&lt;&gt;"",J603="在庫"),COUNTIFS($J$5:J603,"在庫",$B$5:B603,"&lt;&gt;"),"")</ns0:f>
        <ns0:v/>
      </ns0:c>
    </ns0:row>
    <ns0:row r="604">
      <ns0:c r="A604" s="5" t="n"/>
      <ns0:c r="B604" s="6" t="n"/>
      <ns0:c r="C604" s="6" t="n"/>
      <ns0:c r="D604" s="7" t="n"/>
      <ns0:c r="E604" s="7" t="n"/>
      <ns0:c r="F604" s="8" t="str">
        <ns0:f>IF(OR(B604="",J604&lt;&gt;"販売済み",E604="",C604=""),"",IFERROR(IF(OR(COUNTIF('手数料マスタ'!$A$5:$A$104,C604)&lt;&gt;1,COUNTIFS('手数料マスタ'!$A$5:$A$104,C604,'手数料マスタ'!$B$5:$B$104,"&lt;&gt;")&lt;&gt;1,NOT(ISNUMBER(VLOOKUP(C604,'手数料マスタ'!$A$5:$B$104,2,FALSE))),VLOOKUP(C604,'手数料マスタ'!$A$5:$B$104,2,FALSE)&lt;0,VLOOKUP(C604,'手数料マスタ'!$A$5:$B$104,2,FALSE)&gt;1),"要確認",ROUND(E604*VLOOKUP(C604,'手数料マスタ'!$A$5:$B$104,2,FALSE),0)),"要確認"))</ns0:f>
        <ns0:v/>
      </ns0:c>
      <ns0:c r="G604" s="7" t="n"/>
      <ns0:c r="H604" s="7" t="n"/>
      <ns0:c r="I604" s="8" t="str">
        <ns0:f>IF(OR(B604="",J604&lt;&gt;"販売済み",D604="",E604="",G604="",H604=""),"",IF(ISNUMBER(F604),E604-D604-F604-G604-H604,"要確認"))</ns0:f>
        <ns0:v/>
      </ns0:c>
      <ns0:c r="J604" s="6" t="n"/>
      <ns0:c r="K604" s="5" t="n"/>
      <ns0:c r="L604" s="9" t="str">
        <ns0:f>IF(AND(B604&lt;&gt;"",J604="在庫"),COUNTIFS($J$5:J604,"在庫",$B$5:B604,"&lt;&gt;"),"")</ns0:f>
        <ns0:v/>
      </ns0:c>
    </ns0:row>
    <ns0:row r="605">
      <ns0:c r="A605" s="5" t="n"/>
      <ns0:c r="B605" s="6" t="n"/>
      <ns0:c r="C605" s="6" t="n"/>
      <ns0:c r="D605" s="7" t="n"/>
      <ns0:c r="E605" s="7" t="n"/>
      <ns0:c r="F605" s="8" t="str">
        <ns0:f>IF(OR(B605="",J605&lt;&gt;"販売済み",E605="",C605=""),"",IFERROR(IF(OR(COUNTIF('手数料マスタ'!$A$5:$A$104,C605)&lt;&gt;1,COUNTIFS('手数料マスタ'!$A$5:$A$104,C605,'手数料マスタ'!$B$5:$B$104,"&lt;&gt;")&lt;&gt;1,NOT(ISNUMBER(VLOOKUP(C605,'手数料マスタ'!$A$5:$B$104,2,FALSE))),VLOOKUP(C605,'手数料マスタ'!$A$5:$B$104,2,FALSE)&lt;0,VLOOKUP(C605,'手数料マスタ'!$A$5:$B$104,2,FALSE)&gt;1),"要確認",ROUND(E605*VLOOKUP(C605,'手数料マスタ'!$A$5:$B$104,2,FALSE),0)),"要確認"))</ns0:f>
        <ns0:v/>
      </ns0:c>
      <ns0:c r="G605" s="7" t="n"/>
      <ns0:c r="H605" s="7" t="n"/>
      <ns0:c r="I605" s="8" t="str">
        <ns0:f>IF(OR(B605="",J605&lt;&gt;"販売済み",D605="",E605="",G605="",H605=""),"",IF(ISNUMBER(F605),E605-D605-F605-G605-H605,"要確認"))</ns0:f>
        <ns0:v/>
      </ns0:c>
      <ns0:c r="J605" s="6" t="n"/>
      <ns0:c r="K605" s="5" t="n"/>
      <ns0:c r="L605" s="9" t="str">
        <ns0:f>IF(AND(B605&lt;&gt;"",J605="在庫"),COUNTIFS($J$5:J605,"在庫",$B$5:B605,"&lt;&gt;"),"")</ns0:f>
        <ns0:v/>
      </ns0:c>
    </ns0:row>
    <ns0:row r="606">
      <ns0:c r="A606" s="5" t="n"/>
      <ns0:c r="B606" s="6" t="n"/>
      <ns0:c r="C606" s="6" t="n"/>
      <ns0:c r="D606" s="7" t="n"/>
      <ns0:c r="E606" s="7" t="n"/>
      <ns0:c r="F606" s="8" t="str">
        <ns0:f>IF(OR(B606="",J606&lt;&gt;"販売済み",E606="",C606=""),"",IFERROR(IF(OR(COUNTIF('手数料マスタ'!$A$5:$A$104,C606)&lt;&gt;1,COUNTIFS('手数料マスタ'!$A$5:$A$104,C606,'手数料マスタ'!$B$5:$B$104,"&lt;&gt;")&lt;&gt;1,NOT(ISNUMBER(VLOOKUP(C606,'手数料マスタ'!$A$5:$B$104,2,FALSE))),VLOOKUP(C606,'手数料マスタ'!$A$5:$B$104,2,FALSE)&lt;0,VLOOKUP(C606,'手数料マスタ'!$A$5:$B$104,2,FALSE)&gt;1),"要確認",ROUND(E606*VLOOKUP(C606,'手数料マスタ'!$A$5:$B$104,2,FALSE),0)),"要確認"))</ns0:f>
        <ns0:v/>
      </ns0:c>
      <ns0:c r="G606" s="7" t="n"/>
      <ns0:c r="H606" s="7" t="n"/>
      <ns0:c r="I606" s="8" t="str">
        <ns0:f>IF(OR(B606="",J606&lt;&gt;"販売済み",D606="",E606="",G606="",H606=""),"",IF(ISNUMBER(F606),E606-D606-F606-G606-H606,"要確認"))</ns0:f>
        <ns0:v/>
      </ns0:c>
      <ns0:c r="J606" s="6" t="n"/>
      <ns0:c r="K606" s="5" t="n"/>
      <ns0:c r="L606" s="9" t="str">
        <ns0:f>IF(AND(B606&lt;&gt;"",J606="在庫"),COUNTIFS($J$5:J606,"在庫",$B$5:B606,"&lt;&gt;"),"")</ns0:f>
        <ns0:v/>
      </ns0:c>
    </ns0:row>
    <ns0:row r="607">
      <ns0:c r="A607" s="5" t="n"/>
      <ns0:c r="B607" s="6" t="n"/>
      <ns0:c r="C607" s="6" t="n"/>
      <ns0:c r="D607" s="7" t="n"/>
      <ns0:c r="E607" s="7" t="n"/>
      <ns0:c r="F607" s="8" t="str">
        <ns0:f>IF(OR(B607="",J607&lt;&gt;"販売済み",E607="",C607=""),"",IFERROR(IF(OR(COUNTIF('手数料マスタ'!$A$5:$A$104,C607)&lt;&gt;1,COUNTIFS('手数料マスタ'!$A$5:$A$104,C607,'手数料マスタ'!$B$5:$B$104,"&lt;&gt;")&lt;&gt;1,NOT(ISNUMBER(VLOOKUP(C607,'手数料マスタ'!$A$5:$B$104,2,FALSE))),VLOOKUP(C607,'手数料マスタ'!$A$5:$B$104,2,FALSE)&lt;0,VLOOKUP(C607,'手数料マスタ'!$A$5:$B$104,2,FALSE)&gt;1),"要確認",ROUND(E607*VLOOKUP(C607,'手数料マスタ'!$A$5:$B$104,2,FALSE),0)),"要確認"))</ns0:f>
        <ns0:v/>
      </ns0:c>
      <ns0:c r="G607" s="7" t="n"/>
      <ns0:c r="H607" s="7" t="n"/>
      <ns0:c r="I607" s="8" t="str">
        <ns0:f>IF(OR(B607="",J607&lt;&gt;"販売済み",D607="",E607="",G607="",H607=""),"",IF(ISNUMBER(F607),E607-D607-F607-G607-H607,"要確認"))</ns0:f>
        <ns0:v/>
      </ns0:c>
      <ns0:c r="J607" s="6" t="n"/>
      <ns0:c r="K607" s="5" t="n"/>
      <ns0:c r="L607" s="9" t="str">
        <ns0:f>IF(AND(B607&lt;&gt;"",J607="在庫"),COUNTIFS($J$5:J607,"在庫",$B$5:B607,"&lt;&gt;"),"")</ns0:f>
        <ns0:v/>
      </ns0:c>
    </ns0:row>
    <ns0:row r="608">
      <ns0:c r="A608" s="5" t="n"/>
      <ns0:c r="B608" s="6" t="n"/>
      <ns0:c r="C608" s="6" t="n"/>
      <ns0:c r="D608" s="7" t="n"/>
      <ns0:c r="E608" s="7" t="n"/>
      <ns0:c r="F608" s="8" t="str">
        <ns0:f>IF(OR(B608="",J608&lt;&gt;"販売済み",E608="",C608=""),"",IFERROR(IF(OR(COUNTIF('手数料マスタ'!$A$5:$A$104,C608)&lt;&gt;1,COUNTIFS('手数料マスタ'!$A$5:$A$104,C608,'手数料マスタ'!$B$5:$B$104,"&lt;&gt;")&lt;&gt;1,NOT(ISNUMBER(VLOOKUP(C608,'手数料マスタ'!$A$5:$B$104,2,FALSE))),VLOOKUP(C608,'手数料マスタ'!$A$5:$B$104,2,FALSE)&lt;0,VLOOKUP(C608,'手数料マスタ'!$A$5:$B$104,2,FALSE)&gt;1),"要確認",ROUND(E608*VLOOKUP(C608,'手数料マスタ'!$A$5:$B$104,2,FALSE),0)),"要確認"))</ns0:f>
        <ns0:v/>
      </ns0:c>
      <ns0:c r="G608" s="7" t="n"/>
      <ns0:c r="H608" s="7" t="n"/>
      <ns0:c r="I608" s="8" t="str">
        <ns0:f>IF(OR(B608="",J608&lt;&gt;"販売済み",D608="",E608="",G608="",H608=""),"",IF(ISNUMBER(F608),E608-D608-F608-G608-H608,"要確認"))</ns0:f>
        <ns0:v/>
      </ns0:c>
      <ns0:c r="J608" s="6" t="n"/>
      <ns0:c r="K608" s="5" t="n"/>
      <ns0:c r="L608" s="9" t="str">
        <ns0:f>IF(AND(B608&lt;&gt;"",J608="在庫"),COUNTIFS($J$5:J608,"在庫",$B$5:B608,"&lt;&gt;"),"")</ns0:f>
        <ns0:v/>
      </ns0:c>
    </ns0:row>
    <ns0:row r="609">
      <ns0:c r="A609" s="5" t="n"/>
      <ns0:c r="B609" s="6" t="n"/>
      <ns0:c r="C609" s="6" t="n"/>
      <ns0:c r="D609" s="7" t="n"/>
      <ns0:c r="E609" s="7" t="n"/>
      <ns0:c r="F609" s="8" t="str">
        <ns0:f>IF(OR(B609="",J609&lt;&gt;"販売済み",E609="",C609=""),"",IFERROR(IF(OR(COUNTIF('手数料マスタ'!$A$5:$A$104,C609)&lt;&gt;1,COUNTIFS('手数料マスタ'!$A$5:$A$104,C609,'手数料マスタ'!$B$5:$B$104,"&lt;&gt;")&lt;&gt;1,NOT(ISNUMBER(VLOOKUP(C609,'手数料マスタ'!$A$5:$B$104,2,FALSE))),VLOOKUP(C609,'手数料マスタ'!$A$5:$B$104,2,FALSE)&lt;0,VLOOKUP(C609,'手数料マスタ'!$A$5:$B$104,2,FALSE)&gt;1),"要確認",ROUND(E609*VLOOKUP(C609,'手数料マスタ'!$A$5:$B$104,2,FALSE),0)),"要確認"))</ns0:f>
        <ns0:v/>
      </ns0:c>
      <ns0:c r="G609" s="7" t="n"/>
      <ns0:c r="H609" s="7" t="n"/>
      <ns0:c r="I609" s="8" t="str">
        <ns0:f>IF(OR(B609="",J609&lt;&gt;"販売済み",D609="",E609="",G609="",H609=""),"",IF(ISNUMBER(F609),E609-D609-F609-G609-H609,"要確認"))</ns0:f>
        <ns0:v/>
      </ns0:c>
      <ns0:c r="J609" s="6" t="n"/>
      <ns0:c r="K609" s="5" t="n"/>
      <ns0:c r="L609" s="9" t="str">
        <ns0:f>IF(AND(B609&lt;&gt;"",J609="在庫"),COUNTIFS($J$5:J609,"在庫",$B$5:B609,"&lt;&gt;"),"")</ns0:f>
        <ns0:v/>
      </ns0:c>
    </ns0:row>
    <ns0:row r="610">
      <ns0:c r="A610" s="5" t="n"/>
      <ns0:c r="B610" s="6" t="n"/>
      <ns0:c r="C610" s="6" t="n"/>
      <ns0:c r="D610" s="7" t="n"/>
      <ns0:c r="E610" s="7" t="n"/>
      <ns0:c r="F610" s="8" t="str">
        <ns0:f>IF(OR(B610="",J610&lt;&gt;"販売済み",E610="",C610=""),"",IFERROR(IF(OR(COUNTIF('手数料マスタ'!$A$5:$A$104,C610)&lt;&gt;1,COUNTIFS('手数料マスタ'!$A$5:$A$104,C610,'手数料マスタ'!$B$5:$B$104,"&lt;&gt;")&lt;&gt;1,NOT(ISNUMBER(VLOOKUP(C610,'手数料マスタ'!$A$5:$B$104,2,FALSE))),VLOOKUP(C610,'手数料マスタ'!$A$5:$B$104,2,FALSE)&lt;0,VLOOKUP(C610,'手数料マスタ'!$A$5:$B$104,2,FALSE)&gt;1),"要確認",ROUND(E610*VLOOKUP(C610,'手数料マスタ'!$A$5:$B$104,2,FALSE),0)),"要確認"))</ns0:f>
        <ns0:v/>
      </ns0:c>
      <ns0:c r="G610" s="7" t="n"/>
      <ns0:c r="H610" s="7" t="n"/>
      <ns0:c r="I610" s="8" t="str">
        <ns0:f>IF(OR(B610="",J610&lt;&gt;"販売済み",D610="",E610="",G610="",H610=""),"",IF(ISNUMBER(F610),E610-D610-F610-G610-H610,"要確認"))</ns0:f>
        <ns0:v/>
      </ns0:c>
      <ns0:c r="J610" s="6" t="n"/>
      <ns0:c r="K610" s="5" t="n"/>
      <ns0:c r="L610" s="9" t="str">
        <ns0:f>IF(AND(B610&lt;&gt;"",J610="在庫"),COUNTIFS($J$5:J610,"在庫",$B$5:B610,"&lt;&gt;"),"")</ns0:f>
        <ns0:v/>
      </ns0:c>
    </ns0:row>
    <ns0:row r="611">
      <ns0:c r="A611" s="5" t="n"/>
      <ns0:c r="B611" s="6" t="n"/>
      <ns0:c r="C611" s="6" t="n"/>
      <ns0:c r="D611" s="7" t="n"/>
      <ns0:c r="E611" s="7" t="n"/>
      <ns0:c r="F611" s="8" t="str">
        <ns0:f>IF(OR(B611="",J611&lt;&gt;"販売済み",E611="",C611=""),"",IFERROR(IF(OR(COUNTIF('手数料マスタ'!$A$5:$A$104,C611)&lt;&gt;1,COUNTIFS('手数料マスタ'!$A$5:$A$104,C611,'手数料マスタ'!$B$5:$B$104,"&lt;&gt;")&lt;&gt;1,NOT(ISNUMBER(VLOOKUP(C611,'手数料マスタ'!$A$5:$B$104,2,FALSE))),VLOOKUP(C611,'手数料マスタ'!$A$5:$B$104,2,FALSE)&lt;0,VLOOKUP(C611,'手数料マスタ'!$A$5:$B$104,2,FALSE)&gt;1),"要確認",ROUND(E611*VLOOKUP(C611,'手数料マスタ'!$A$5:$B$104,2,FALSE),0)),"要確認"))</ns0:f>
        <ns0:v/>
      </ns0:c>
      <ns0:c r="G611" s="7" t="n"/>
      <ns0:c r="H611" s="7" t="n"/>
      <ns0:c r="I611" s="8" t="str">
        <ns0:f>IF(OR(B611="",J611&lt;&gt;"販売済み",D611="",E611="",G611="",H611=""),"",IF(ISNUMBER(F611),E611-D611-F611-G611-H611,"要確認"))</ns0:f>
        <ns0:v/>
      </ns0:c>
      <ns0:c r="J611" s="6" t="n"/>
      <ns0:c r="K611" s="5" t="n"/>
      <ns0:c r="L611" s="9" t="str">
        <ns0:f>IF(AND(B611&lt;&gt;"",J611="在庫"),COUNTIFS($J$5:J611,"在庫",$B$5:B611,"&lt;&gt;"),"")</ns0:f>
        <ns0:v/>
      </ns0:c>
    </ns0:row>
    <ns0:row r="612">
      <ns0:c r="A612" s="5" t="n"/>
      <ns0:c r="B612" s="6" t="n"/>
      <ns0:c r="C612" s="6" t="n"/>
      <ns0:c r="D612" s="7" t="n"/>
      <ns0:c r="E612" s="7" t="n"/>
      <ns0:c r="F612" s="8" t="str">
        <ns0:f>IF(OR(B612="",J612&lt;&gt;"販売済み",E612="",C612=""),"",IFERROR(IF(OR(COUNTIF('手数料マスタ'!$A$5:$A$104,C612)&lt;&gt;1,COUNTIFS('手数料マスタ'!$A$5:$A$104,C612,'手数料マスタ'!$B$5:$B$104,"&lt;&gt;")&lt;&gt;1,NOT(ISNUMBER(VLOOKUP(C612,'手数料マスタ'!$A$5:$B$104,2,FALSE))),VLOOKUP(C612,'手数料マスタ'!$A$5:$B$104,2,FALSE)&lt;0,VLOOKUP(C612,'手数料マスタ'!$A$5:$B$104,2,FALSE)&gt;1),"要確認",ROUND(E612*VLOOKUP(C612,'手数料マスタ'!$A$5:$B$104,2,FALSE),0)),"要確認"))</ns0:f>
        <ns0:v/>
      </ns0:c>
      <ns0:c r="G612" s="7" t="n"/>
      <ns0:c r="H612" s="7" t="n"/>
      <ns0:c r="I612" s="8" t="str">
        <ns0:f>IF(OR(B612="",J612&lt;&gt;"販売済み",D612="",E612="",G612="",H612=""),"",IF(ISNUMBER(F612),E612-D612-F612-G612-H612,"要確認"))</ns0:f>
        <ns0:v/>
      </ns0:c>
      <ns0:c r="J612" s="6" t="n"/>
      <ns0:c r="K612" s="5" t="n"/>
      <ns0:c r="L612" s="9" t="str">
        <ns0:f>IF(AND(B612&lt;&gt;"",J612="在庫"),COUNTIFS($J$5:J612,"在庫",$B$5:B612,"&lt;&gt;"),"")</ns0:f>
        <ns0:v/>
      </ns0:c>
    </ns0:row>
    <ns0:row r="613">
      <ns0:c r="A613" s="5" t="n"/>
      <ns0:c r="B613" s="6" t="n"/>
      <ns0:c r="C613" s="6" t="n"/>
      <ns0:c r="D613" s="7" t="n"/>
      <ns0:c r="E613" s="7" t="n"/>
      <ns0:c r="F613" s="8" t="str">
        <ns0:f>IF(OR(B613="",J613&lt;&gt;"販売済み",E613="",C613=""),"",IFERROR(IF(OR(COUNTIF('手数料マスタ'!$A$5:$A$104,C613)&lt;&gt;1,COUNTIFS('手数料マスタ'!$A$5:$A$104,C613,'手数料マスタ'!$B$5:$B$104,"&lt;&gt;")&lt;&gt;1,NOT(ISNUMBER(VLOOKUP(C613,'手数料マスタ'!$A$5:$B$104,2,FALSE))),VLOOKUP(C613,'手数料マスタ'!$A$5:$B$104,2,FALSE)&lt;0,VLOOKUP(C613,'手数料マスタ'!$A$5:$B$104,2,FALSE)&gt;1),"要確認",ROUND(E613*VLOOKUP(C613,'手数料マスタ'!$A$5:$B$104,2,FALSE),0)),"要確認"))</ns0:f>
        <ns0:v/>
      </ns0:c>
      <ns0:c r="G613" s="7" t="n"/>
      <ns0:c r="H613" s="7" t="n"/>
      <ns0:c r="I613" s="8" t="str">
        <ns0:f>IF(OR(B613="",J613&lt;&gt;"販売済み",D613="",E613="",G613="",H613=""),"",IF(ISNUMBER(F613),E613-D613-F613-G613-H613,"要確認"))</ns0:f>
        <ns0:v/>
      </ns0:c>
      <ns0:c r="J613" s="6" t="n"/>
      <ns0:c r="K613" s="5" t="n"/>
      <ns0:c r="L613" s="9" t="str">
        <ns0:f>IF(AND(B613&lt;&gt;"",J613="在庫"),COUNTIFS($J$5:J613,"在庫",$B$5:B613,"&lt;&gt;"),"")</ns0:f>
        <ns0:v/>
      </ns0:c>
    </ns0:row>
    <ns0:row r="614">
      <ns0:c r="A614" s="5" t="n"/>
      <ns0:c r="B614" s="6" t="n"/>
      <ns0:c r="C614" s="6" t="n"/>
      <ns0:c r="D614" s="7" t="n"/>
      <ns0:c r="E614" s="7" t="n"/>
      <ns0:c r="F614" s="8" t="str">
        <ns0:f>IF(OR(B614="",J614&lt;&gt;"販売済み",E614="",C614=""),"",IFERROR(IF(OR(COUNTIF('手数料マスタ'!$A$5:$A$104,C614)&lt;&gt;1,COUNTIFS('手数料マスタ'!$A$5:$A$104,C614,'手数料マスタ'!$B$5:$B$104,"&lt;&gt;")&lt;&gt;1,NOT(ISNUMBER(VLOOKUP(C614,'手数料マスタ'!$A$5:$B$104,2,FALSE))),VLOOKUP(C614,'手数料マスタ'!$A$5:$B$104,2,FALSE)&lt;0,VLOOKUP(C614,'手数料マスタ'!$A$5:$B$104,2,FALSE)&gt;1),"要確認",ROUND(E614*VLOOKUP(C614,'手数料マスタ'!$A$5:$B$104,2,FALSE),0)),"要確認"))</ns0:f>
        <ns0:v/>
      </ns0:c>
      <ns0:c r="G614" s="7" t="n"/>
      <ns0:c r="H614" s="7" t="n"/>
      <ns0:c r="I614" s="8" t="str">
        <ns0:f>IF(OR(B614="",J614&lt;&gt;"販売済み",D614="",E614="",G614="",H614=""),"",IF(ISNUMBER(F614),E614-D614-F614-G614-H614,"要確認"))</ns0:f>
        <ns0:v/>
      </ns0:c>
      <ns0:c r="J614" s="6" t="n"/>
      <ns0:c r="K614" s="5" t="n"/>
      <ns0:c r="L614" s="9" t="str">
        <ns0:f>IF(AND(B614&lt;&gt;"",J614="在庫"),COUNTIFS($J$5:J614,"在庫",$B$5:B614,"&lt;&gt;"),"")</ns0:f>
        <ns0:v/>
      </ns0:c>
    </ns0:row>
    <ns0:row r="615">
      <ns0:c r="A615" s="5" t="n"/>
      <ns0:c r="B615" s="6" t="n"/>
      <ns0:c r="C615" s="6" t="n"/>
      <ns0:c r="D615" s="7" t="n"/>
      <ns0:c r="E615" s="7" t="n"/>
      <ns0:c r="F615" s="8" t="str">
        <ns0:f>IF(OR(B615="",J615&lt;&gt;"販売済み",E615="",C615=""),"",IFERROR(IF(OR(COUNTIF('手数料マスタ'!$A$5:$A$104,C615)&lt;&gt;1,COUNTIFS('手数料マスタ'!$A$5:$A$104,C615,'手数料マスタ'!$B$5:$B$104,"&lt;&gt;")&lt;&gt;1,NOT(ISNUMBER(VLOOKUP(C615,'手数料マスタ'!$A$5:$B$104,2,FALSE))),VLOOKUP(C615,'手数料マスタ'!$A$5:$B$104,2,FALSE)&lt;0,VLOOKUP(C615,'手数料マスタ'!$A$5:$B$104,2,FALSE)&gt;1),"要確認",ROUND(E615*VLOOKUP(C615,'手数料マスタ'!$A$5:$B$104,2,FALSE),0)),"要確認"))</ns0:f>
        <ns0:v/>
      </ns0:c>
      <ns0:c r="G615" s="7" t="n"/>
      <ns0:c r="H615" s="7" t="n"/>
      <ns0:c r="I615" s="8" t="str">
        <ns0:f>IF(OR(B615="",J615&lt;&gt;"販売済み",D615="",E615="",G615="",H615=""),"",IF(ISNUMBER(F615),E615-D615-F615-G615-H615,"要確認"))</ns0:f>
        <ns0:v/>
      </ns0:c>
      <ns0:c r="J615" s="6" t="n"/>
      <ns0:c r="K615" s="5" t="n"/>
      <ns0:c r="L615" s="9" t="str">
        <ns0:f>IF(AND(B615&lt;&gt;"",J615="在庫"),COUNTIFS($J$5:J615,"在庫",$B$5:B615,"&lt;&gt;"),"")</ns0:f>
        <ns0:v/>
      </ns0:c>
    </ns0:row>
    <ns0:row r="616">
      <ns0:c r="A616" s="5" t="n"/>
      <ns0:c r="B616" s="6" t="n"/>
      <ns0:c r="C616" s="6" t="n"/>
      <ns0:c r="D616" s="7" t="n"/>
      <ns0:c r="E616" s="7" t="n"/>
      <ns0:c r="F616" s="8" t="str">
        <ns0:f>IF(OR(B616="",J616&lt;&gt;"販売済み",E616="",C616=""),"",IFERROR(IF(OR(COUNTIF('手数料マスタ'!$A$5:$A$104,C616)&lt;&gt;1,COUNTIFS('手数料マスタ'!$A$5:$A$104,C616,'手数料マスタ'!$B$5:$B$104,"&lt;&gt;")&lt;&gt;1,NOT(ISNUMBER(VLOOKUP(C616,'手数料マスタ'!$A$5:$B$104,2,FALSE))),VLOOKUP(C616,'手数料マスタ'!$A$5:$B$104,2,FALSE)&lt;0,VLOOKUP(C616,'手数料マスタ'!$A$5:$B$104,2,FALSE)&gt;1),"要確認",ROUND(E616*VLOOKUP(C616,'手数料マスタ'!$A$5:$B$104,2,FALSE),0)),"要確認"))</ns0:f>
        <ns0:v/>
      </ns0:c>
      <ns0:c r="G616" s="7" t="n"/>
      <ns0:c r="H616" s="7" t="n"/>
      <ns0:c r="I616" s="8" t="str">
        <ns0:f>IF(OR(B616="",J616&lt;&gt;"販売済み",D616="",E616="",G616="",H616=""),"",IF(ISNUMBER(F616),E616-D616-F616-G616-H616,"要確認"))</ns0:f>
        <ns0:v/>
      </ns0:c>
      <ns0:c r="J616" s="6" t="n"/>
      <ns0:c r="K616" s="5" t="n"/>
      <ns0:c r="L616" s="9" t="str">
        <ns0:f>IF(AND(B616&lt;&gt;"",J616="在庫"),COUNTIFS($J$5:J616,"在庫",$B$5:B616,"&lt;&gt;"),"")</ns0:f>
        <ns0:v/>
      </ns0:c>
    </ns0:row>
    <ns0:row r="617">
      <ns0:c r="A617" s="5" t="n"/>
      <ns0:c r="B617" s="6" t="n"/>
      <ns0:c r="C617" s="6" t="n"/>
      <ns0:c r="D617" s="7" t="n"/>
      <ns0:c r="E617" s="7" t="n"/>
      <ns0:c r="F617" s="8" t="str">
        <ns0:f>IF(OR(B617="",J617&lt;&gt;"販売済み",E617="",C617=""),"",IFERROR(IF(OR(COUNTIF('手数料マスタ'!$A$5:$A$104,C617)&lt;&gt;1,COUNTIFS('手数料マスタ'!$A$5:$A$104,C617,'手数料マスタ'!$B$5:$B$104,"&lt;&gt;")&lt;&gt;1,NOT(ISNUMBER(VLOOKUP(C617,'手数料マスタ'!$A$5:$B$104,2,FALSE))),VLOOKUP(C617,'手数料マスタ'!$A$5:$B$104,2,FALSE)&lt;0,VLOOKUP(C617,'手数料マスタ'!$A$5:$B$104,2,FALSE)&gt;1),"要確認",ROUND(E617*VLOOKUP(C617,'手数料マスタ'!$A$5:$B$104,2,FALSE),0)),"要確認"))</ns0:f>
        <ns0:v/>
      </ns0:c>
      <ns0:c r="G617" s="7" t="n"/>
      <ns0:c r="H617" s="7" t="n"/>
      <ns0:c r="I617" s="8" t="str">
        <ns0:f>IF(OR(B617="",J617&lt;&gt;"販売済み",D617="",E617="",G617="",H617=""),"",IF(ISNUMBER(F617),E617-D617-F617-G617-H617,"要確認"))</ns0:f>
        <ns0:v/>
      </ns0:c>
      <ns0:c r="J617" s="6" t="n"/>
      <ns0:c r="K617" s="5" t="n"/>
      <ns0:c r="L617" s="9" t="str">
        <ns0:f>IF(AND(B617&lt;&gt;"",J617="在庫"),COUNTIFS($J$5:J617,"在庫",$B$5:B617,"&lt;&gt;"),"")</ns0:f>
        <ns0:v/>
      </ns0:c>
    </ns0:row>
    <ns0:row r="618">
      <ns0:c r="A618" s="5" t="n"/>
      <ns0:c r="B618" s="6" t="n"/>
      <ns0:c r="C618" s="6" t="n"/>
      <ns0:c r="D618" s="7" t="n"/>
      <ns0:c r="E618" s="7" t="n"/>
      <ns0:c r="F618" s="8" t="str">
        <ns0:f>IF(OR(B618="",J618&lt;&gt;"販売済み",E618="",C618=""),"",IFERROR(IF(OR(COUNTIF('手数料マスタ'!$A$5:$A$104,C618)&lt;&gt;1,COUNTIFS('手数料マスタ'!$A$5:$A$104,C618,'手数料マスタ'!$B$5:$B$104,"&lt;&gt;")&lt;&gt;1,NOT(ISNUMBER(VLOOKUP(C618,'手数料マスタ'!$A$5:$B$104,2,FALSE))),VLOOKUP(C618,'手数料マスタ'!$A$5:$B$104,2,FALSE)&lt;0,VLOOKUP(C618,'手数料マスタ'!$A$5:$B$104,2,FALSE)&gt;1),"要確認",ROUND(E618*VLOOKUP(C618,'手数料マスタ'!$A$5:$B$104,2,FALSE),0)),"要確認"))</ns0:f>
        <ns0:v/>
      </ns0:c>
      <ns0:c r="G618" s="7" t="n"/>
      <ns0:c r="H618" s="7" t="n"/>
      <ns0:c r="I618" s="8" t="str">
        <ns0:f>IF(OR(B618="",J618&lt;&gt;"販売済み",D618="",E618="",G618="",H618=""),"",IF(ISNUMBER(F618),E618-D618-F618-G618-H618,"要確認"))</ns0:f>
        <ns0:v/>
      </ns0:c>
      <ns0:c r="J618" s="6" t="n"/>
      <ns0:c r="K618" s="5" t="n"/>
      <ns0:c r="L618" s="9" t="str">
        <ns0:f>IF(AND(B618&lt;&gt;"",J618="在庫"),COUNTIFS($J$5:J618,"在庫",$B$5:B618,"&lt;&gt;"),"")</ns0:f>
        <ns0:v/>
      </ns0:c>
    </ns0:row>
    <ns0:row r="619">
      <ns0:c r="A619" s="5" t="n"/>
      <ns0:c r="B619" s="6" t="n"/>
      <ns0:c r="C619" s="6" t="n"/>
      <ns0:c r="D619" s="7" t="n"/>
      <ns0:c r="E619" s="7" t="n"/>
      <ns0:c r="F619" s="8" t="str">
        <ns0:f>IF(OR(B619="",J619&lt;&gt;"販売済み",E619="",C619=""),"",IFERROR(IF(OR(COUNTIF('手数料マスタ'!$A$5:$A$104,C619)&lt;&gt;1,COUNTIFS('手数料マスタ'!$A$5:$A$104,C619,'手数料マスタ'!$B$5:$B$104,"&lt;&gt;")&lt;&gt;1,NOT(ISNUMBER(VLOOKUP(C619,'手数料マスタ'!$A$5:$B$104,2,FALSE))),VLOOKUP(C619,'手数料マスタ'!$A$5:$B$104,2,FALSE)&lt;0,VLOOKUP(C619,'手数料マスタ'!$A$5:$B$104,2,FALSE)&gt;1),"要確認",ROUND(E619*VLOOKUP(C619,'手数料マスタ'!$A$5:$B$104,2,FALSE),0)),"要確認"))</ns0:f>
        <ns0:v/>
      </ns0:c>
      <ns0:c r="G619" s="7" t="n"/>
      <ns0:c r="H619" s="7" t="n"/>
      <ns0:c r="I619" s="8" t="str">
        <ns0:f>IF(OR(B619="",J619&lt;&gt;"販売済み",D619="",E619="",G619="",H619=""),"",IF(ISNUMBER(F619),E619-D619-F619-G619-H619,"要確認"))</ns0:f>
        <ns0:v/>
      </ns0:c>
      <ns0:c r="J619" s="6" t="n"/>
      <ns0:c r="K619" s="5" t="n"/>
      <ns0:c r="L619" s="9" t="str">
        <ns0:f>IF(AND(B619&lt;&gt;"",J619="在庫"),COUNTIFS($J$5:J619,"在庫",$B$5:B619,"&lt;&gt;"),"")</ns0:f>
        <ns0:v/>
      </ns0:c>
    </ns0:row>
    <ns0:row r="620">
      <ns0:c r="A620" s="5" t="n"/>
      <ns0:c r="B620" s="6" t="n"/>
      <ns0:c r="C620" s="6" t="n"/>
      <ns0:c r="D620" s="7" t="n"/>
      <ns0:c r="E620" s="7" t="n"/>
      <ns0:c r="F620" s="8" t="str">
        <ns0:f>IF(OR(B620="",J620&lt;&gt;"販売済み",E620="",C620=""),"",IFERROR(IF(OR(COUNTIF('手数料マスタ'!$A$5:$A$104,C620)&lt;&gt;1,COUNTIFS('手数料マスタ'!$A$5:$A$104,C620,'手数料マスタ'!$B$5:$B$104,"&lt;&gt;")&lt;&gt;1,NOT(ISNUMBER(VLOOKUP(C620,'手数料マスタ'!$A$5:$B$104,2,FALSE))),VLOOKUP(C620,'手数料マスタ'!$A$5:$B$104,2,FALSE)&lt;0,VLOOKUP(C620,'手数料マスタ'!$A$5:$B$104,2,FALSE)&gt;1),"要確認",ROUND(E620*VLOOKUP(C620,'手数料マスタ'!$A$5:$B$104,2,FALSE),0)),"要確認"))</ns0:f>
        <ns0:v/>
      </ns0:c>
      <ns0:c r="G620" s="7" t="n"/>
      <ns0:c r="H620" s="7" t="n"/>
      <ns0:c r="I620" s="8" t="str">
        <ns0:f>IF(OR(B620="",J620&lt;&gt;"販売済み",D620="",E620="",G620="",H620=""),"",IF(ISNUMBER(F620),E620-D620-F620-G620-H620,"要確認"))</ns0:f>
        <ns0:v/>
      </ns0:c>
      <ns0:c r="J620" s="6" t="n"/>
      <ns0:c r="K620" s="5" t="n"/>
      <ns0:c r="L620" s="9" t="str">
        <ns0:f>IF(AND(B620&lt;&gt;"",J620="在庫"),COUNTIFS($J$5:J620,"在庫",$B$5:B620,"&lt;&gt;"),"")</ns0:f>
        <ns0:v/>
      </ns0:c>
    </ns0:row>
    <ns0:row r="621">
      <ns0:c r="A621" s="5" t="n"/>
      <ns0:c r="B621" s="6" t="n"/>
      <ns0:c r="C621" s="6" t="n"/>
      <ns0:c r="D621" s="7" t="n"/>
      <ns0:c r="E621" s="7" t="n"/>
      <ns0:c r="F621" s="8" t="str">
        <ns0:f>IF(OR(B621="",J621&lt;&gt;"販売済み",E621="",C621=""),"",IFERROR(IF(OR(COUNTIF('手数料マスタ'!$A$5:$A$104,C621)&lt;&gt;1,COUNTIFS('手数料マスタ'!$A$5:$A$104,C621,'手数料マスタ'!$B$5:$B$104,"&lt;&gt;")&lt;&gt;1,NOT(ISNUMBER(VLOOKUP(C621,'手数料マスタ'!$A$5:$B$104,2,FALSE))),VLOOKUP(C621,'手数料マスタ'!$A$5:$B$104,2,FALSE)&lt;0,VLOOKUP(C621,'手数料マスタ'!$A$5:$B$104,2,FALSE)&gt;1),"要確認",ROUND(E621*VLOOKUP(C621,'手数料マスタ'!$A$5:$B$104,2,FALSE),0)),"要確認"))</ns0:f>
        <ns0:v/>
      </ns0:c>
      <ns0:c r="G621" s="7" t="n"/>
      <ns0:c r="H621" s="7" t="n"/>
      <ns0:c r="I621" s="8" t="str">
        <ns0:f>IF(OR(B621="",J621&lt;&gt;"販売済み",D621="",E621="",G621="",H621=""),"",IF(ISNUMBER(F621),E621-D621-F621-G621-H621,"要確認"))</ns0:f>
        <ns0:v/>
      </ns0:c>
      <ns0:c r="J621" s="6" t="n"/>
      <ns0:c r="K621" s="5" t="n"/>
      <ns0:c r="L621" s="9" t="str">
        <ns0:f>IF(AND(B621&lt;&gt;"",J621="在庫"),COUNTIFS($J$5:J621,"在庫",$B$5:B621,"&lt;&gt;"),"")</ns0:f>
        <ns0:v/>
      </ns0:c>
    </ns0:row>
    <ns0:row r="622">
      <ns0:c r="A622" s="5" t="n"/>
      <ns0:c r="B622" s="6" t="n"/>
      <ns0:c r="C622" s="6" t="n"/>
      <ns0:c r="D622" s="7" t="n"/>
      <ns0:c r="E622" s="7" t="n"/>
      <ns0:c r="F622" s="8" t="str">
        <ns0:f>IF(OR(B622="",J622&lt;&gt;"販売済み",E622="",C622=""),"",IFERROR(IF(OR(COUNTIF('手数料マスタ'!$A$5:$A$104,C622)&lt;&gt;1,COUNTIFS('手数料マスタ'!$A$5:$A$104,C622,'手数料マスタ'!$B$5:$B$104,"&lt;&gt;")&lt;&gt;1,NOT(ISNUMBER(VLOOKUP(C622,'手数料マスタ'!$A$5:$B$104,2,FALSE))),VLOOKUP(C622,'手数料マスタ'!$A$5:$B$104,2,FALSE)&lt;0,VLOOKUP(C622,'手数料マスタ'!$A$5:$B$104,2,FALSE)&gt;1),"要確認",ROUND(E622*VLOOKUP(C622,'手数料マスタ'!$A$5:$B$104,2,FALSE),0)),"要確認"))</ns0:f>
        <ns0:v/>
      </ns0:c>
      <ns0:c r="G622" s="7" t="n"/>
      <ns0:c r="H622" s="7" t="n"/>
      <ns0:c r="I622" s="8" t="str">
        <ns0:f>IF(OR(B622="",J622&lt;&gt;"販売済み",D622="",E622="",G622="",H622=""),"",IF(ISNUMBER(F622),E622-D622-F622-G622-H622,"要確認"))</ns0:f>
        <ns0:v/>
      </ns0:c>
      <ns0:c r="J622" s="6" t="n"/>
      <ns0:c r="K622" s="5" t="n"/>
      <ns0:c r="L622" s="9" t="str">
        <ns0:f>IF(AND(B622&lt;&gt;"",J622="在庫"),COUNTIFS($J$5:J622,"在庫",$B$5:B622,"&lt;&gt;"),"")</ns0:f>
        <ns0:v/>
      </ns0:c>
    </ns0:row>
    <ns0:row r="623">
      <ns0:c r="A623" s="5" t="n"/>
      <ns0:c r="B623" s="6" t="n"/>
      <ns0:c r="C623" s="6" t="n"/>
      <ns0:c r="D623" s="7" t="n"/>
      <ns0:c r="E623" s="7" t="n"/>
      <ns0:c r="F623" s="8" t="str">
        <ns0:f>IF(OR(B623="",J623&lt;&gt;"販売済み",E623="",C623=""),"",IFERROR(IF(OR(COUNTIF('手数料マスタ'!$A$5:$A$104,C623)&lt;&gt;1,COUNTIFS('手数料マスタ'!$A$5:$A$104,C623,'手数料マスタ'!$B$5:$B$104,"&lt;&gt;")&lt;&gt;1,NOT(ISNUMBER(VLOOKUP(C623,'手数料マスタ'!$A$5:$B$104,2,FALSE))),VLOOKUP(C623,'手数料マスタ'!$A$5:$B$104,2,FALSE)&lt;0,VLOOKUP(C623,'手数料マスタ'!$A$5:$B$104,2,FALSE)&gt;1),"要確認",ROUND(E623*VLOOKUP(C623,'手数料マスタ'!$A$5:$B$104,2,FALSE),0)),"要確認"))</ns0:f>
        <ns0:v/>
      </ns0:c>
      <ns0:c r="G623" s="7" t="n"/>
      <ns0:c r="H623" s="7" t="n"/>
      <ns0:c r="I623" s="8" t="str">
        <ns0:f>IF(OR(B623="",J623&lt;&gt;"販売済み",D623="",E623="",G623="",H623=""),"",IF(ISNUMBER(F623),E623-D623-F623-G623-H623,"要確認"))</ns0:f>
        <ns0:v/>
      </ns0:c>
      <ns0:c r="J623" s="6" t="n"/>
      <ns0:c r="K623" s="5" t="n"/>
      <ns0:c r="L623" s="9" t="str">
        <ns0:f>IF(AND(B623&lt;&gt;"",J623="在庫"),COUNTIFS($J$5:J623,"在庫",$B$5:B623,"&lt;&gt;"),"")</ns0:f>
        <ns0:v/>
      </ns0:c>
    </ns0:row>
    <ns0:row r="624">
      <ns0:c r="A624" s="5" t="n"/>
      <ns0:c r="B624" s="6" t="n"/>
      <ns0:c r="C624" s="6" t="n"/>
      <ns0:c r="D624" s="7" t="n"/>
      <ns0:c r="E624" s="7" t="n"/>
      <ns0:c r="F624" s="8" t="str">
        <ns0:f>IF(OR(B624="",J624&lt;&gt;"販売済み",E624="",C624=""),"",IFERROR(IF(OR(COUNTIF('手数料マスタ'!$A$5:$A$104,C624)&lt;&gt;1,COUNTIFS('手数料マスタ'!$A$5:$A$104,C624,'手数料マスタ'!$B$5:$B$104,"&lt;&gt;")&lt;&gt;1,NOT(ISNUMBER(VLOOKUP(C624,'手数料マスタ'!$A$5:$B$104,2,FALSE))),VLOOKUP(C624,'手数料マスタ'!$A$5:$B$104,2,FALSE)&lt;0,VLOOKUP(C624,'手数料マスタ'!$A$5:$B$104,2,FALSE)&gt;1),"要確認",ROUND(E624*VLOOKUP(C624,'手数料マスタ'!$A$5:$B$104,2,FALSE),0)),"要確認"))</ns0:f>
        <ns0:v/>
      </ns0:c>
      <ns0:c r="G624" s="7" t="n"/>
      <ns0:c r="H624" s="7" t="n"/>
      <ns0:c r="I624" s="8" t="str">
        <ns0:f>IF(OR(B624="",J624&lt;&gt;"販売済み",D624="",E624="",G624="",H624=""),"",IF(ISNUMBER(F624),E624-D624-F624-G624-H624,"要確認"))</ns0:f>
        <ns0:v/>
      </ns0:c>
      <ns0:c r="J624" s="6" t="n"/>
      <ns0:c r="K624" s="5" t="n"/>
      <ns0:c r="L624" s="9" t="str">
        <ns0:f>IF(AND(B624&lt;&gt;"",J624="在庫"),COUNTIFS($J$5:J624,"在庫",$B$5:B624,"&lt;&gt;"),"")</ns0:f>
        <ns0:v/>
      </ns0:c>
    </ns0:row>
    <ns0:row r="625">
      <ns0:c r="A625" s="5" t="n"/>
      <ns0:c r="B625" s="6" t="n"/>
      <ns0:c r="C625" s="6" t="n"/>
      <ns0:c r="D625" s="7" t="n"/>
      <ns0:c r="E625" s="7" t="n"/>
      <ns0:c r="F625" s="8" t="str">
        <ns0:f>IF(OR(B625="",J625&lt;&gt;"販売済み",E625="",C625=""),"",IFERROR(IF(OR(COUNTIF('手数料マスタ'!$A$5:$A$104,C625)&lt;&gt;1,COUNTIFS('手数料マスタ'!$A$5:$A$104,C625,'手数料マスタ'!$B$5:$B$104,"&lt;&gt;")&lt;&gt;1,NOT(ISNUMBER(VLOOKUP(C625,'手数料マスタ'!$A$5:$B$104,2,FALSE))),VLOOKUP(C625,'手数料マスタ'!$A$5:$B$104,2,FALSE)&lt;0,VLOOKUP(C625,'手数料マスタ'!$A$5:$B$104,2,FALSE)&gt;1),"要確認",ROUND(E625*VLOOKUP(C625,'手数料マスタ'!$A$5:$B$104,2,FALSE),0)),"要確認"))</ns0:f>
        <ns0:v/>
      </ns0:c>
      <ns0:c r="G625" s="7" t="n"/>
      <ns0:c r="H625" s="7" t="n"/>
      <ns0:c r="I625" s="8" t="str">
        <ns0:f>IF(OR(B625="",J625&lt;&gt;"販売済み",D625="",E625="",G625="",H625=""),"",IF(ISNUMBER(F625),E625-D625-F625-G625-H625,"要確認"))</ns0:f>
        <ns0:v/>
      </ns0:c>
      <ns0:c r="J625" s="6" t="n"/>
      <ns0:c r="K625" s="5" t="n"/>
      <ns0:c r="L625" s="9" t="str">
        <ns0:f>IF(AND(B625&lt;&gt;"",J625="在庫"),COUNTIFS($J$5:J625,"在庫",$B$5:B625,"&lt;&gt;"),"")</ns0:f>
        <ns0:v/>
      </ns0:c>
    </ns0:row>
    <ns0:row r="626">
      <ns0:c r="A626" s="5" t="n"/>
      <ns0:c r="B626" s="6" t="n"/>
      <ns0:c r="C626" s="6" t="n"/>
      <ns0:c r="D626" s="7" t="n"/>
      <ns0:c r="E626" s="7" t="n"/>
      <ns0:c r="F626" s="8" t="str">
        <ns0:f>IF(OR(B626="",J626&lt;&gt;"販売済み",E626="",C626=""),"",IFERROR(IF(OR(COUNTIF('手数料マスタ'!$A$5:$A$104,C626)&lt;&gt;1,COUNTIFS('手数料マスタ'!$A$5:$A$104,C626,'手数料マスタ'!$B$5:$B$104,"&lt;&gt;")&lt;&gt;1,NOT(ISNUMBER(VLOOKUP(C626,'手数料マスタ'!$A$5:$B$104,2,FALSE))),VLOOKUP(C626,'手数料マスタ'!$A$5:$B$104,2,FALSE)&lt;0,VLOOKUP(C626,'手数料マスタ'!$A$5:$B$104,2,FALSE)&gt;1),"要確認",ROUND(E626*VLOOKUP(C626,'手数料マスタ'!$A$5:$B$104,2,FALSE),0)),"要確認"))</ns0:f>
        <ns0:v/>
      </ns0:c>
      <ns0:c r="G626" s="7" t="n"/>
      <ns0:c r="H626" s="7" t="n"/>
      <ns0:c r="I626" s="8" t="str">
        <ns0:f>IF(OR(B626="",J626&lt;&gt;"販売済み",D626="",E626="",G626="",H626=""),"",IF(ISNUMBER(F626),E626-D626-F626-G626-H626,"要確認"))</ns0:f>
        <ns0:v/>
      </ns0:c>
      <ns0:c r="J626" s="6" t="n"/>
      <ns0:c r="K626" s="5" t="n"/>
      <ns0:c r="L626" s="9" t="str">
        <ns0:f>IF(AND(B626&lt;&gt;"",J626="在庫"),COUNTIFS($J$5:J626,"在庫",$B$5:B626,"&lt;&gt;"),"")</ns0:f>
        <ns0:v/>
      </ns0:c>
    </ns0:row>
    <ns0:row r="627">
      <ns0:c r="A627" s="5" t="n"/>
      <ns0:c r="B627" s="6" t="n"/>
      <ns0:c r="C627" s="6" t="n"/>
      <ns0:c r="D627" s="7" t="n"/>
      <ns0:c r="E627" s="7" t="n"/>
      <ns0:c r="F627" s="8" t="str">
        <ns0:f>IF(OR(B627="",J627&lt;&gt;"販売済み",E627="",C627=""),"",IFERROR(IF(OR(COUNTIF('手数料マスタ'!$A$5:$A$104,C627)&lt;&gt;1,COUNTIFS('手数料マスタ'!$A$5:$A$104,C627,'手数料マスタ'!$B$5:$B$104,"&lt;&gt;")&lt;&gt;1,NOT(ISNUMBER(VLOOKUP(C627,'手数料マスタ'!$A$5:$B$104,2,FALSE))),VLOOKUP(C627,'手数料マスタ'!$A$5:$B$104,2,FALSE)&lt;0,VLOOKUP(C627,'手数料マスタ'!$A$5:$B$104,2,FALSE)&gt;1),"要確認",ROUND(E627*VLOOKUP(C627,'手数料マスタ'!$A$5:$B$104,2,FALSE),0)),"要確認"))</ns0:f>
        <ns0:v/>
      </ns0:c>
      <ns0:c r="G627" s="7" t="n"/>
      <ns0:c r="H627" s="7" t="n"/>
      <ns0:c r="I627" s="8" t="str">
        <ns0:f>IF(OR(B627="",J627&lt;&gt;"販売済み",D627="",E627="",G627="",H627=""),"",IF(ISNUMBER(F627),E627-D627-F627-G627-H627,"要確認"))</ns0:f>
        <ns0:v/>
      </ns0:c>
      <ns0:c r="J627" s="6" t="n"/>
      <ns0:c r="K627" s="5" t="n"/>
      <ns0:c r="L627" s="9" t="str">
        <ns0:f>IF(AND(B627&lt;&gt;"",J627="在庫"),COUNTIFS($J$5:J627,"在庫",$B$5:B627,"&lt;&gt;"),"")</ns0:f>
        <ns0:v/>
      </ns0:c>
    </ns0:row>
    <ns0:row r="628">
      <ns0:c r="A628" s="5" t="n"/>
      <ns0:c r="B628" s="6" t="n"/>
      <ns0:c r="C628" s="6" t="n"/>
      <ns0:c r="D628" s="7" t="n"/>
      <ns0:c r="E628" s="7" t="n"/>
      <ns0:c r="F628" s="8" t="str">
        <ns0:f>IF(OR(B628="",J628&lt;&gt;"販売済み",E628="",C628=""),"",IFERROR(IF(OR(COUNTIF('手数料マスタ'!$A$5:$A$104,C628)&lt;&gt;1,COUNTIFS('手数料マスタ'!$A$5:$A$104,C628,'手数料マスタ'!$B$5:$B$104,"&lt;&gt;")&lt;&gt;1,NOT(ISNUMBER(VLOOKUP(C628,'手数料マスタ'!$A$5:$B$104,2,FALSE))),VLOOKUP(C628,'手数料マスタ'!$A$5:$B$104,2,FALSE)&lt;0,VLOOKUP(C628,'手数料マスタ'!$A$5:$B$104,2,FALSE)&gt;1),"要確認",ROUND(E628*VLOOKUP(C628,'手数料マスタ'!$A$5:$B$104,2,FALSE),0)),"要確認"))</ns0:f>
        <ns0:v/>
      </ns0:c>
      <ns0:c r="G628" s="7" t="n"/>
      <ns0:c r="H628" s="7" t="n"/>
      <ns0:c r="I628" s="8" t="str">
        <ns0:f>IF(OR(B628="",J628&lt;&gt;"販売済み",D628="",E628="",G628="",H628=""),"",IF(ISNUMBER(F628),E628-D628-F628-G628-H628,"要確認"))</ns0:f>
        <ns0:v/>
      </ns0:c>
      <ns0:c r="J628" s="6" t="n"/>
      <ns0:c r="K628" s="5" t="n"/>
      <ns0:c r="L628" s="9" t="str">
        <ns0:f>IF(AND(B628&lt;&gt;"",J628="在庫"),COUNTIFS($J$5:J628,"在庫",$B$5:B628,"&lt;&gt;"),"")</ns0:f>
        <ns0:v/>
      </ns0:c>
    </ns0:row>
    <ns0:row r="629">
      <ns0:c r="A629" s="5" t="n"/>
      <ns0:c r="B629" s="6" t="n"/>
      <ns0:c r="C629" s="6" t="n"/>
      <ns0:c r="D629" s="7" t="n"/>
      <ns0:c r="E629" s="7" t="n"/>
      <ns0:c r="F629" s="8" t="str">
        <ns0:f>IF(OR(B629="",J629&lt;&gt;"販売済み",E629="",C629=""),"",IFERROR(IF(OR(COUNTIF('手数料マスタ'!$A$5:$A$104,C629)&lt;&gt;1,COUNTIFS('手数料マスタ'!$A$5:$A$104,C629,'手数料マスタ'!$B$5:$B$104,"&lt;&gt;")&lt;&gt;1,NOT(ISNUMBER(VLOOKUP(C629,'手数料マスタ'!$A$5:$B$104,2,FALSE))),VLOOKUP(C629,'手数料マスタ'!$A$5:$B$104,2,FALSE)&lt;0,VLOOKUP(C629,'手数料マスタ'!$A$5:$B$104,2,FALSE)&gt;1),"要確認",ROUND(E629*VLOOKUP(C629,'手数料マスタ'!$A$5:$B$104,2,FALSE),0)),"要確認"))</ns0:f>
        <ns0:v/>
      </ns0:c>
      <ns0:c r="G629" s="7" t="n"/>
      <ns0:c r="H629" s="7" t="n"/>
      <ns0:c r="I629" s="8" t="str">
        <ns0:f>IF(OR(B629="",J629&lt;&gt;"販売済み",D629="",E629="",G629="",H629=""),"",IF(ISNUMBER(F629),E629-D629-F629-G629-H629,"要確認"))</ns0:f>
        <ns0:v/>
      </ns0:c>
      <ns0:c r="J629" s="6" t="n"/>
      <ns0:c r="K629" s="5" t="n"/>
      <ns0:c r="L629" s="9" t="str">
        <ns0:f>IF(AND(B629&lt;&gt;"",J629="在庫"),COUNTIFS($J$5:J629,"在庫",$B$5:B629,"&lt;&gt;"),"")</ns0:f>
        <ns0:v/>
      </ns0:c>
    </ns0:row>
    <ns0:row r="630">
      <ns0:c r="A630" s="5" t="n"/>
      <ns0:c r="B630" s="6" t="n"/>
      <ns0:c r="C630" s="6" t="n"/>
      <ns0:c r="D630" s="7" t="n"/>
      <ns0:c r="E630" s="7" t="n"/>
      <ns0:c r="F630" s="8" t="str">
        <ns0:f>IF(OR(B630="",J630&lt;&gt;"販売済み",E630="",C630=""),"",IFERROR(IF(OR(COUNTIF('手数料マスタ'!$A$5:$A$104,C630)&lt;&gt;1,COUNTIFS('手数料マスタ'!$A$5:$A$104,C630,'手数料マスタ'!$B$5:$B$104,"&lt;&gt;")&lt;&gt;1,NOT(ISNUMBER(VLOOKUP(C630,'手数料マスタ'!$A$5:$B$104,2,FALSE))),VLOOKUP(C630,'手数料マスタ'!$A$5:$B$104,2,FALSE)&lt;0,VLOOKUP(C630,'手数料マスタ'!$A$5:$B$104,2,FALSE)&gt;1),"要確認",ROUND(E630*VLOOKUP(C630,'手数料マスタ'!$A$5:$B$104,2,FALSE),0)),"要確認"))</ns0:f>
        <ns0:v/>
      </ns0:c>
      <ns0:c r="G630" s="7" t="n"/>
      <ns0:c r="H630" s="7" t="n"/>
      <ns0:c r="I630" s="8" t="str">
        <ns0:f>IF(OR(B630="",J630&lt;&gt;"販売済み",D630="",E630="",G630="",H630=""),"",IF(ISNUMBER(F630),E630-D630-F630-G630-H630,"要確認"))</ns0:f>
        <ns0:v/>
      </ns0:c>
      <ns0:c r="J630" s="6" t="n"/>
      <ns0:c r="K630" s="5" t="n"/>
      <ns0:c r="L630" s="9" t="str">
        <ns0:f>IF(AND(B630&lt;&gt;"",J630="在庫"),COUNTIFS($J$5:J630,"在庫",$B$5:B630,"&lt;&gt;"),"")</ns0:f>
        <ns0:v/>
      </ns0:c>
    </ns0:row>
    <ns0:row r="631">
      <ns0:c r="A631" s="5" t="n"/>
      <ns0:c r="B631" s="6" t="n"/>
      <ns0:c r="C631" s="6" t="n"/>
      <ns0:c r="D631" s="7" t="n"/>
      <ns0:c r="E631" s="7" t="n"/>
      <ns0:c r="F631" s="8" t="str">
        <ns0:f>IF(OR(B631="",J631&lt;&gt;"販売済み",E631="",C631=""),"",IFERROR(IF(OR(COUNTIF('手数料マスタ'!$A$5:$A$104,C631)&lt;&gt;1,COUNTIFS('手数料マスタ'!$A$5:$A$104,C631,'手数料マスタ'!$B$5:$B$104,"&lt;&gt;")&lt;&gt;1,NOT(ISNUMBER(VLOOKUP(C631,'手数料マスタ'!$A$5:$B$104,2,FALSE))),VLOOKUP(C631,'手数料マスタ'!$A$5:$B$104,2,FALSE)&lt;0,VLOOKUP(C631,'手数料マスタ'!$A$5:$B$104,2,FALSE)&gt;1),"要確認",ROUND(E631*VLOOKUP(C631,'手数料マスタ'!$A$5:$B$104,2,FALSE),0)),"要確認"))</ns0:f>
        <ns0:v/>
      </ns0:c>
      <ns0:c r="G631" s="7" t="n"/>
      <ns0:c r="H631" s="7" t="n"/>
      <ns0:c r="I631" s="8" t="str">
        <ns0:f>IF(OR(B631="",J631&lt;&gt;"販売済み",D631="",E631="",G631="",H631=""),"",IF(ISNUMBER(F631),E631-D631-F631-G631-H631,"要確認"))</ns0:f>
        <ns0:v/>
      </ns0:c>
      <ns0:c r="J631" s="6" t="n"/>
      <ns0:c r="K631" s="5" t="n"/>
      <ns0:c r="L631" s="9" t="str">
        <ns0:f>IF(AND(B631&lt;&gt;"",J631="在庫"),COUNTIFS($J$5:J631,"在庫",$B$5:B631,"&lt;&gt;"),"")</ns0:f>
        <ns0:v/>
      </ns0:c>
    </ns0:row>
    <ns0:row r="632">
      <ns0:c r="A632" s="5" t="n"/>
      <ns0:c r="B632" s="6" t="n"/>
      <ns0:c r="C632" s="6" t="n"/>
      <ns0:c r="D632" s="7" t="n"/>
      <ns0:c r="E632" s="7" t="n"/>
      <ns0:c r="F632" s="8" t="str">
        <ns0:f>IF(OR(B632="",J632&lt;&gt;"販売済み",E632="",C632=""),"",IFERROR(IF(OR(COUNTIF('手数料マスタ'!$A$5:$A$104,C632)&lt;&gt;1,COUNTIFS('手数料マスタ'!$A$5:$A$104,C632,'手数料マスタ'!$B$5:$B$104,"&lt;&gt;")&lt;&gt;1,NOT(ISNUMBER(VLOOKUP(C632,'手数料マスタ'!$A$5:$B$104,2,FALSE))),VLOOKUP(C632,'手数料マスタ'!$A$5:$B$104,2,FALSE)&lt;0,VLOOKUP(C632,'手数料マスタ'!$A$5:$B$104,2,FALSE)&gt;1),"要確認",ROUND(E632*VLOOKUP(C632,'手数料マスタ'!$A$5:$B$104,2,FALSE),0)),"要確認"))</ns0:f>
        <ns0:v/>
      </ns0:c>
      <ns0:c r="G632" s="7" t="n"/>
      <ns0:c r="H632" s="7" t="n"/>
      <ns0:c r="I632" s="8" t="str">
        <ns0:f>IF(OR(B632="",J632&lt;&gt;"販売済み",D632="",E632="",G632="",H632=""),"",IF(ISNUMBER(F632),E632-D632-F632-G632-H632,"要確認"))</ns0:f>
        <ns0:v/>
      </ns0:c>
      <ns0:c r="J632" s="6" t="n"/>
      <ns0:c r="K632" s="5" t="n"/>
      <ns0:c r="L632" s="9" t="str">
        <ns0:f>IF(AND(B632&lt;&gt;"",J632="在庫"),COUNTIFS($J$5:J632,"在庫",$B$5:B632,"&lt;&gt;"),"")</ns0:f>
        <ns0:v/>
      </ns0:c>
    </ns0:row>
    <ns0:row r="633">
      <ns0:c r="A633" s="5" t="n"/>
      <ns0:c r="B633" s="6" t="n"/>
      <ns0:c r="C633" s="6" t="n"/>
      <ns0:c r="D633" s="7" t="n"/>
      <ns0:c r="E633" s="7" t="n"/>
      <ns0:c r="F633" s="8" t="str">
        <ns0:f>IF(OR(B633="",J633&lt;&gt;"販売済み",E633="",C633=""),"",IFERROR(IF(OR(COUNTIF('手数料マスタ'!$A$5:$A$104,C633)&lt;&gt;1,COUNTIFS('手数料マスタ'!$A$5:$A$104,C633,'手数料マスタ'!$B$5:$B$104,"&lt;&gt;")&lt;&gt;1,NOT(ISNUMBER(VLOOKUP(C633,'手数料マスタ'!$A$5:$B$104,2,FALSE))),VLOOKUP(C633,'手数料マスタ'!$A$5:$B$104,2,FALSE)&lt;0,VLOOKUP(C633,'手数料マスタ'!$A$5:$B$104,2,FALSE)&gt;1),"要確認",ROUND(E633*VLOOKUP(C633,'手数料マスタ'!$A$5:$B$104,2,FALSE),0)),"要確認"))</ns0:f>
        <ns0:v/>
      </ns0:c>
      <ns0:c r="G633" s="7" t="n"/>
      <ns0:c r="H633" s="7" t="n"/>
      <ns0:c r="I633" s="8" t="str">
        <ns0:f>IF(OR(B633="",J633&lt;&gt;"販売済み",D633="",E633="",G633="",H633=""),"",IF(ISNUMBER(F633),E633-D633-F633-G633-H633,"要確認"))</ns0:f>
        <ns0:v/>
      </ns0:c>
      <ns0:c r="J633" s="6" t="n"/>
      <ns0:c r="K633" s="5" t="n"/>
      <ns0:c r="L633" s="9" t="str">
        <ns0:f>IF(AND(B633&lt;&gt;"",J633="在庫"),COUNTIFS($J$5:J633,"在庫",$B$5:B633,"&lt;&gt;"),"")</ns0:f>
        <ns0:v/>
      </ns0:c>
    </ns0:row>
    <ns0:row r="634">
      <ns0:c r="A634" s="5" t="n"/>
      <ns0:c r="B634" s="6" t="n"/>
      <ns0:c r="C634" s="6" t="n"/>
      <ns0:c r="D634" s="7" t="n"/>
      <ns0:c r="E634" s="7" t="n"/>
      <ns0:c r="F634" s="8" t="str">
        <ns0:f>IF(OR(B634="",J634&lt;&gt;"販売済み",E634="",C634=""),"",IFERROR(IF(OR(COUNTIF('手数料マスタ'!$A$5:$A$104,C634)&lt;&gt;1,COUNTIFS('手数料マスタ'!$A$5:$A$104,C634,'手数料マスタ'!$B$5:$B$104,"&lt;&gt;")&lt;&gt;1,NOT(ISNUMBER(VLOOKUP(C634,'手数料マスタ'!$A$5:$B$104,2,FALSE))),VLOOKUP(C634,'手数料マスタ'!$A$5:$B$104,2,FALSE)&lt;0,VLOOKUP(C634,'手数料マスタ'!$A$5:$B$104,2,FALSE)&gt;1),"要確認",ROUND(E634*VLOOKUP(C634,'手数料マスタ'!$A$5:$B$104,2,FALSE),0)),"要確認"))</ns0:f>
        <ns0:v/>
      </ns0:c>
      <ns0:c r="G634" s="7" t="n"/>
      <ns0:c r="H634" s="7" t="n"/>
      <ns0:c r="I634" s="8" t="str">
        <ns0:f>IF(OR(B634="",J634&lt;&gt;"販売済み",D634="",E634="",G634="",H634=""),"",IF(ISNUMBER(F634),E634-D634-F634-G634-H634,"要確認"))</ns0:f>
        <ns0:v/>
      </ns0:c>
      <ns0:c r="J634" s="6" t="n"/>
      <ns0:c r="K634" s="5" t="n"/>
      <ns0:c r="L634" s="9" t="str">
        <ns0:f>IF(AND(B634&lt;&gt;"",J634="在庫"),COUNTIFS($J$5:J634,"在庫",$B$5:B634,"&lt;&gt;"),"")</ns0:f>
        <ns0:v/>
      </ns0:c>
    </ns0:row>
    <ns0:row r="635">
      <ns0:c r="A635" s="5" t="n"/>
      <ns0:c r="B635" s="6" t="n"/>
      <ns0:c r="C635" s="6" t="n"/>
      <ns0:c r="D635" s="7" t="n"/>
      <ns0:c r="E635" s="7" t="n"/>
      <ns0:c r="F635" s="8" t="str">
        <ns0:f>IF(OR(B635="",J635&lt;&gt;"販売済み",E635="",C635=""),"",IFERROR(IF(OR(COUNTIF('手数料マスタ'!$A$5:$A$104,C635)&lt;&gt;1,COUNTIFS('手数料マスタ'!$A$5:$A$104,C635,'手数料マスタ'!$B$5:$B$104,"&lt;&gt;")&lt;&gt;1,NOT(ISNUMBER(VLOOKUP(C635,'手数料マスタ'!$A$5:$B$104,2,FALSE))),VLOOKUP(C635,'手数料マスタ'!$A$5:$B$104,2,FALSE)&lt;0,VLOOKUP(C635,'手数料マスタ'!$A$5:$B$104,2,FALSE)&gt;1),"要確認",ROUND(E635*VLOOKUP(C635,'手数料マスタ'!$A$5:$B$104,2,FALSE),0)),"要確認"))</ns0:f>
        <ns0:v/>
      </ns0:c>
      <ns0:c r="G635" s="7" t="n"/>
      <ns0:c r="H635" s="7" t="n"/>
      <ns0:c r="I635" s="8" t="str">
        <ns0:f>IF(OR(B635="",J635&lt;&gt;"販売済み",D635="",E635="",G635="",H635=""),"",IF(ISNUMBER(F635),E635-D635-F635-G635-H635,"要確認"))</ns0:f>
        <ns0:v/>
      </ns0:c>
      <ns0:c r="J635" s="6" t="n"/>
      <ns0:c r="K635" s="5" t="n"/>
      <ns0:c r="L635" s="9" t="str">
        <ns0:f>IF(AND(B635&lt;&gt;"",J635="在庫"),COUNTIFS($J$5:J635,"在庫",$B$5:B635,"&lt;&gt;"),"")</ns0:f>
        <ns0:v/>
      </ns0:c>
    </ns0:row>
    <ns0:row r="636">
      <ns0:c r="A636" s="5" t="n"/>
      <ns0:c r="B636" s="6" t="n"/>
      <ns0:c r="C636" s="6" t="n"/>
      <ns0:c r="D636" s="7" t="n"/>
      <ns0:c r="E636" s="7" t="n"/>
      <ns0:c r="F636" s="8" t="str">
        <ns0:f>IF(OR(B636="",J636&lt;&gt;"販売済み",E636="",C636=""),"",IFERROR(IF(OR(COUNTIF('手数料マスタ'!$A$5:$A$104,C636)&lt;&gt;1,COUNTIFS('手数料マスタ'!$A$5:$A$104,C636,'手数料マスタ'!$B$5:$B$104,"&lt;&gt;")&lt;&gt;1,NOT(ISNUMBER(VLOOKUP(C636,'手数料マスタ'!$A$5:$B$104,2,FALSE))),VLOOKUP(C636,'手数料マスタ'!$A$5:$B$104,2,FALSE)&lt;0,VLOOKUP(C636,'手数料マスタ'!$A$5:$B$104,2,FALSE)&gt;1),"要確認",ROUND(E636*VLOOKUP(C636,'手数料マスタ'!$A$5:$B$104,2,FALSE),0)),"要確認"))</ns0:f>
        <ns0:v/>
      </ns0:c>
      <ns0:c r="G636" s="7" t="n"/>
      <ns0:c r="H636" s="7" t="n"/>
      <ns0:c r="I636" s="8" t="str">
        <ns0:f>IF(OR(B636="",J636&lt;&gt;"販売済み",D636="",E636="",G636="",H636=""),"",IF(ISNUMBER(F636),E636-D636-F636-G636-H636,"要確認"))</ns0:f>
        <ns0:v/>
      </ns0:c>
      <ns0:c r="J636" s="6" t="n"/>
      <ns0:c r="K636" s="5" t="n"/>
      <ns0:c r="L636" s="9" t="str">
        <ns0:f>IF(AND(B636&lt;&gt;"",J636="在庫"),COUNTIFS($J$5:J636,"在庫",$B$5:B636,"&lt;&gt;"),"")</ns0:f>
        <ns0:v/>
      </ns0:c>
    </ns0:row>
    <ns0:row r="637">
      <ns0:c r="A637" s="5" t="n"/>
      <ns0:c r="B637" s="6" t="n"/>
      <ns0:c r="C637" s="6" t="n"/>
      <ns0:c r="D637" s="7" t="n"/>
      <ns0:c r="E637" s="7" t="n"/>
      <ns0:c r="F637" s="8" t="str">
        <ns0:f>IF(OR(B637="",J637&lt;&gt;"販売済み",E637="",C637=""),"",IFERROR(IF(OR(COUNTIF('手数料マスタ'!$A$5:$A$104,C637)&lt;&gt;1,COUNTIFS('手数料マスタ'!$A$5:$A$104,C637,'手数料マスタ'!$B$5:$B$104,"&lt;&gt;")&lt;&gt;1,NOT(ISNUMBER(VLOOKUP(C637,'手数料マスタ'!$A$5:$B$104,2,FALSE))),VLOOKUP(C637,'手数料マスタ'!$A$5:$B$104,2,FALSE)&lt;0,VLOOKUP(C637,'手数料マスタ'!$A$5:$B$104,2,FALSE)&gt;1),"要確認",ROUND(E637*VLOOKUP(C637,'手数料マスタ'!$A$5:$B$104,2,FALSE),0)),"要確認"))</ns0:f>
        <ns0:v/>
      </ns0:c>
      <ns0:c r="G637" s="7" t="n"/>
      <ns0:c r="H637" s="7" t="n"/>
      <ns0:c r="I637" s="8" t="str">
        <ns0:f>IF(OR(B637="",J637&lt;&gt;"販売済み",D637="",E637="",G637="",H637=""),"",IF(ISNUMBER(F637),E637-D637-F637-G637-H637,"要確認"))</ns0:f>
        <ns0:v/>
      </ns0:c>
      <ns0:c r="J637" s="6" t="n"/>
      <ns0:c r="K637" s="5" t="n"/>
      <ns0:c r="L637" s="9" t="str">
        <ns0:f>IF(AND(B637&lt;&gt;"",J637="在庫"),COUNTIFS($J$5:J637,"在庫",$B$5:B637,"&lt;&gt;"),"")</ns0:f>
        <ns0:v/>
      </ns0:c>
    </ns0:row>
    <ns0:row r="638">
      <ns0:c r="A638" s="5" t="n"/>
      <ns0:c r="B638" s="6" t="n"/>
      <ns0:c r="C638" s="6" t="n"/>
      <ns0:c r="D638" s="7" t="n"/>
      <ns0:c r="E638" s="7" t="n"/>
      <ns0:c r="F638" s="8" t="str">
        <ns0:f>IF(OR(B638="",J638&lt;&gt;"販売済み",E638="",C638=""),"",IFERROR(IF(OR(COUNTIF('手数料マスタ'!$A$5:$A$104,C638)&lt;&gt;1,COUNTIFS('手数料マスタ'!$A$5:$A$104,C638,'手数料マスタ'!$B$5:$B$104,"&lt;&gt;")&lt;&gt;1,NOT(ISNUMBER(VLOOKUP(C638,'手数料マスタ'!$A$5:$B$104,2,FALSE))),VLOOKUP(C638,'手数料マスタ'!$A$5:$B$104,2,FALSE)&lt;0,VLOOKUP(C638,'手数料マスタ'!$A$5:$B$104,2,FALSE)&gt;1),"要確認",ROUND(E638*VLOOKUP(C638,'手数料マスタ'!$A$5:$B$104,2,FALSE),0)),"要確認"))</ns0:f>
        <ns0:v/>
      </ns0:c>
      <ns0:c r="G638" s="7" t="n"/>
      <ns0:c r="H638" s="7" t="n"/>
      <ns0:c r="I638" s="8" t="str">
        <ns0:f>IF(OR(B638="",J638&lt;&gt;"販売済み",D638="",E638="",G638="",H638=""),"",IF(ISNUMBER(F638),E638-D638-F638-G638-H638,"要確認"))</ns0:f>
        <ns0:v/>
      </ns0:c>
      <ns0:c r="J638" s="6" t="n"/>
      <ns0:c r="K638" s="5" t="n"/>
      <ns0:c r="L638" s="9" t="str">
        <ns0:f>IF(AND(B638&lt;&gt;"",J638="在庫"),COUNTIFS($J$5:J638,"在庫",$B$5:B638,"&lt;&gt;"),"")</ns0:f>
        <ns0:v/>
      </ns0:c>
    </ns0:row>
    <ns0:row r="639">
      <ns0:c r="A639" s="5" t="n"/>
      <ns0:c r="B639" s="6" t="n"/>
      <ns0:c r="C639" s="6" t="n"/>
      <ns0:c r="D639" s="7" t="n"/>
      <ns0:c r="E639" s="7" t="n"/>
      <ns0:c r="F639" s="8" t="str">
        <ns0:f>IF(OR(B639="",J639&lt;&gt;"販売済み",E639="",C639=""),"",IFERROR(IF(OR(COUNTIF('手数料マスタ'!$A$5:$A$104,C639)&lt;&gt;1,COUNTIFS('手数料マスタ'!$A$5:$A$104,C639,'手数料マスタ'!$B$5:$B$104,"&lt;&gt;")&lt;&gt;1,NOT(ISNUMBER(VLOOKUP(C639,'手数料マスタ'!$A$5:$B$104,2,FALSE))),VLOOKUP(C639,'手数料マスタ'!$A$5:$B$104,2,FALSE)&lt;0,VLOOKUP(C639,'手数料マスタ'!$A$5:$B$104,2,FALSE)&gt;1),"要確認",ROUND(E639*VLOOKUP(C639,'手数料マスタ'!$A$5:$B$104,2,FALSE),0)),"要確認"))</ns0:f>
        <ns0:v/>
      </ns0:c>
      <ns0:c r="G639" s="7" t="n"/>
      <ns0:c r="H639" s="7" t="n"/>
      <ns0:c r="I639" s="8" t="str">
        <ns0:f>IF(OR(B639="",J639&lt;&gt;"販売済み",D639="",E639="",G639="",H639=""),"",IF(ISNUMBER(F639),E639-D639-F639-G639-H639,"要確認"))</ns0:f>
        <ns0:v/>
      </ns0:c>
      <ns0:c r="J639" s="6" t="n"/>
      <ns0:c r="K639" s="5" t="n"/>
      <ns0:c r="L639" s="9" t="str">
        <ns0:f>IF(AND(B639&lt;&gt;"",J639="在庫"),COUNTIFS($J$5:J639,"在庫",$B$5:B639,"&lt;&gt;"),"")</ns0:f>
        <ns0:v/>
      </ns0:c>
    </ns0:row>
    <ns0:row r="640">
      <ns0:c r="A640" s="5" t="n"/>
      <ns0:c r="B640" s="6" t="n"/>
      <ns0:c r="C640" s="6" t="n"/>
      <ns0:c r="D640" s="7" t="n"/>
      <ns0:c r="E640" s="7" t="n"/>
      <ns0:c r="F640" s="8" t="str">
        <ns0:f>IF(OR(B640="",J640&lt;&gt;"販売済み",E640="",C640=""),"",IFERROR(IF(OR(COUNTIF('手数料マスタ'!$A$5:$A$104,C640)&lt;&gt;1,COUNTIFS('手数料マスタ'!$A$5:$A$104,C640,'手数料マスタ'!$B$5:$B$104,"&lt;&gt;")&lt;&gt;1,NOT(ISNUMBER(VLOOKUP(C640,'手数料マスタ'!$A$5:$B$104,2,FALSE))),VLOOKUP(C640,'手数料マスタ'!$A$5:$B$104,2,FALSE)&lt;0,VLOOKUP(C640,'手数料マスタ'!$A$5:$B$104,2,FALSE)&gt;1),"要確認",ROUND(E640*VLOOKUP(C640,'手数料マスタ'!$A$5:$B$104,2,FALSE),0)),"要確認"))</ns0:f>
        <ns0:v/>
      </ns0:c>
      <ns0:c r="G640" s="7" t="n"/>
      <ns0:c r="H640" s="7" t="n"/>
      <ns0:c r="I640" s="8" t="str">
        <ns0:f>IF(OR(B640="",J640&lt;&gt;"販売済み",D640="",E640="",G640="",H640=""),"",IF(ISNUMBER(F640),E640-D640-F640-G640-H640,"要確認"))</ns0:f>
        <ns0:v/>
      </ns0:c>
      <ns0:c r="J640" s="6" t="n"/>
      <ns0:c r="K640" s="5" t="n"/>
      <ns0:c r="L640" s="9" t="str">
        <ns0:f>IF(AND(B640&lt;&gt;"",J640="在庫"),COUNTIFS($J$5:J640,"在庫",$B$5:B640,"&lt;&gt;"),"")</ns0:f>
        <ns0:v/>
      </ns0:c>
    </ns0:row>
    <ns0:row r="641">
      <ns0:c r="A641" s="5" t="n"/>
      <ns0:c r="B641" s="6" t="n"/>
      <ns0:c r="C641" s="6" t="n"/>
      <ns0:c r="D641" s="7" t="n"/>
      <ns0:c r="E641" s="7" t="n"/>
      <ns0:c r="F641" s="8" t="str">
        <ns0:f>IF(OR(B641="",J641&lt;&gt;"販売済み",E641="",C641=""),"",IFERROR(IF(OR(COUNTIF('手数料マスタ'!$A$5:$A$104,C641)&lt;&gt;1,COUNTIFS('手数料マスタ'!$A$5:$A$104,C641,'手数料マスタ'!$B$5:$B$104,"&lt;&gt;")&lt;&gt;1,NOT(ISNUMBER(VLOOKUP(C641,'手数料マスタ'!$A$5:$B$104,2,FALSE))),VLOOKUP(C641,'手数料マスタ'!$A$5:$B$104,2,FALSE)&lt;0,VLOOKUP(C641,'手数料マスタ'!$A$5:$B$104,2,FALSE)&gt;1),"要確認",ROUND(E641*VLOOKUP(C641,'手数料マスタ'!$A$5:$B$104,2,FALSE),0)),"要確認"))</ns0:f>
        <ns0:v/>
      </ns0:c>
      <ns0:c r="G641" s="7" t="n"/>
      <ns0:c r="H641" s="7" t="n"/>
      <ns0:c r="I641" s="8" t="str">
        <ns0:f>IF(OR(B641="",J641&lt;&gt;"販売済み",D641="",E641="",G641="",H641=""),"",IF(ISNUMBER(F641),E641-D641-F641-G641-H641,"要確認"))</ns0:f>
        <ns0:v/>
      </ns0:c>
      <ns0:c r="J641" s="6" t="n"/>
      <ns0:c r="K641" s="5" t="n"/>
      <ns0:c r="L641" s="9" t="str">
        <ns0:f>IF(AND(B641&lt;&gt;"",J641="在庫"),COUNTIFS($J$5:J641,"在庫",$B$5:B641,"&lt;&gt;"),"")</ns0:f>
        <ns0:v/>
      </ns0:c>
    </ns0:row>
    <ns0:row r="642">
      <ns0:c r="A642" s="5" t="n"/>
      <ns0:c r="B642" s="6" t="n"/>
      <ns0:c r="C642" s="6" t="n"/>
      <ns0:c r="D642" s="7" t="n"/>
      <ns0:c r="E642" s="7" t="n"/>
      <ns0:c r="F642" s="8" t="str">
        <ns0:f>IF(OR(B642="",J642&lt;&gt;"販売済み",E642="",C642=""),"",IFERROR(IF(OR(COUNTIF('手数料マスタ'!$A$5:$A$104,C642)&lt;&gt;1,COUNTIFS('手数料マスタ'!$A$5:$A$104,C642,'手数料マスタ'!$B$5:$B$104,"&lt;&gt;")&lt;&gt;1,NOT(ISNUMBER(VLOOKUP(C642,'手数料マスタ'!$A$5:$B$104,2,FALSE))),VLOOKUP(C642,'手数料マスタ'!$A$5:$B$104,2,FALSE)&lt;0,VLOOKUP(C642,'手数料マスタ'!$A$5:$B$104,2,FALSE)&gt;1),"要確認",ROUND(E642*VLOOKUP(C642,'手数料マスタ'!$A$5:$B$104,2,FALSE),0)),"要確認"))</ns0:f>
        <ns0:v/>
      </ns0:c>
      <ns0:c r="G642" s="7" t="n"/>
      <ns0:c r="H642" s="7" t="n"/>
      <ns0:c r="I642" s="8" t="str">
        <ns0:f>IF(OR(B642="",J642&lt;&gt;"販売済み",D642="",E642="",G642="",H642=""),"",IF(ISNUMBER(F642),E642-D642-F642-G642-H642,"要確認"))</ns0:f>
        <ns0:v/>
      </ns0:c>
      <ns0:c r="J642" s="6" t="n"/>
      <ns0:c r="K642" s="5" t="n"/>
      <ns0:c r="L642" s="9" t="str">
        <ns0:f>IF(AND(B642&lt;&gt;"",J642="在庫"),COUNTIFS($J$5:J642,"在庫",$B$5:B642,"&lt;&gt;"),"")</ns0:f>
        <ns0:v/>
      </ns0:c>
    </ns0:row>
    <ns0:row r="643">
      <ns0:c r="A643" s="5" t="n"/>
      <ns0:c r="B643" s="6" t="n"/>
      <ns0:c r="C643" s="6" t="n"/>
      <ns0:c r="D643" s="7" t="n"/>
      <ns0:c r="E643" s="7" t="n"/>
      <ns0:c r="F643" s="8" t="str">
        <ns0:f>IF(OR(B643="",J643&lt;&gt;"販売済み",E643="",C643=""),"",IFERROR(IF(OR(COUNTIF('手数料マスタ'!$A$5:$A$104,C643)&lt;&gt;1,COUNTIFS('手数料マスタ'!$A$5:$A$104,C643,'手数料マスタ'!$B$5:$B$104,"&lt;&gt;")&lt;&gt;1,NOT(ISNUMBER(VLOOKUP(C643,'手数料マスタ'!$A$5:$B$104,2,FALSE))),VLOOKUP(C643,'手数料マスタ'!$A$5:$B$104,2,FALSE)&lt;0,VLOOKUP(C643,'手数料マスタ'!$A$5:$B$104,2,FALSE)&gt;1),"要確認",ROUND(E643*VLOOKUP(C643,'手数料マスタ'!$A$5:$B$104,2,FALSE),0)),"要確認"))</ns0:f>
        <ns0:v/>
      </ns0:c>
      <ns0:c r="G643" s="7" t="n"/>
      <ns0:c r="H643" s="7" t="n"/>
      <ns0:c r="I643" s="8" t="str">
        <ns0:f>IF(OR(B643="",J643&lt;&gt;"販売済み",D643="",E643="",G643="",H643=""),"",IF(ISNUMBER(F643),E643-D643-F643-G643-H643,"要確認"))</ns0:f>
        <ns0:v/>
      </ns0:c>
      <ns0:c r="J643" s="6" t="n"/>
      <ns0:c r="K643" s="5" t="n"/>
      <ns0:c r="L643" s="9" t="str">
        <ns0:f>IF(AND(B643&lt;&gt;"",J643="在庫"),COUNTIFS($J$5:J643,"在庫",$B$5:B643,"&lt;&gt;"),"")</ns0:f>
        <ns0:v/>
      </ns0:c>
    </ns0:row>
    <ns0:row r="644">
      <ns0:c r="A644" s="5" t="n"/>
      <ns0:c r="B644" s="6" t="n"/>
      <ns0:c r="C644" s="6" t="n"/>
      <ns0:c r="D644" s="7" t="n"/>
      <ns0:c r="E644" s="7" t="n"/>
      <ns0:c r="F644" s="8" t="str">
        <ns0:f>IF(OR(B644="",J644&lt;&gt;"販売済み",E644="",C644=""),"",IFERROR(IF(OR(COUNTIF('手数料マスタ'!$A$5:$A$104,C644)&lt;&gt;1,COUNTIFS('手数料マスタ'!$A$5:$A$104,C644,'手数料マスタ'!$B$5:$B$104,"&lt;&gt;")&lt;&gt;1,NOT(ISNUMBER(VLOOKUP(C644,'手数料マスタ'!$A$5:$B$104,2,FALSE))),VLOOKUP(C644,'手数料マスタ'!$A$5:$B$104,2,FALSE)&lt;0,VLOOKUP(C644,'手数料マスタ'!$A$5:$B$104,2,FALSE)&gt;1),"要確認",ROUND(E644*VLOOKUP(C644,'手数料マスタ'!$A$5:$B$104,2,FALSE),0)),"要確認"))</ns0:f>
        <ns0:v/>
      </ns0:c>
      <ns0:c r="G644" s="7" t="n"/>
      <ns0:c r="H644" s="7" t="n"/>
      <ns0:c r="I644" s="8" t="str">
        <ns0:f>IF(OR(B644="",J644&lt;&gt;"販売済み",D644="",E644="",G644="",H644=""),"",IF(ISNUMBER(F644),E644-D644-F644-G644-H644,"要確認"))</ns0:f>
        <ns0:v/>
      </ns0:c>
      <ns0:c r="J644" s="6" t="n"/>
      <ns0:c r="K644" s="5" t="n"/>
      <ns0:c r="L644" s="9" t="str">
        <ns0:f>IF(AND(B644&lt;&gt;"",J644="在庫"),COUNTIFS($J$5:J644,"在庫",$B$5:B644,"&lt;&gt;"),"")</ns0:f>
        <ns0:v/>
      </ns0:c>
    </ns0:row>
    <ns0:row r="645">
      <ns0:c r="A645" s="5" t="n"/>
      <ns0:c r="B645" s="6" t="n"/>
      <ns0:c r="C645" s="6" t="n"/>
      <ns0:c r="D645" s="7" t="n"/>
      <ns0:c r="E645" s="7" t="n"/>
      <ns0:c r="F645" s="8" t="str">
        <ns0:f>IF(OR(B645="",J645&lt;&gt;"販売済み",E645="",C645=""),"",IFERROR(IF(OR(COUNTIF('手数料マスタ'!$A$5:$A$104,C645)&lt;&gt;1,COUNTIFS('手数料マスタ'!$A$5:$A$104,C645,'手数料マスタ'!$B$5:$B$104,"&lt;&gt;")&lt;&gt;1,NOT(ISNUMBER(VLOOKUP(C645,'手数料マスタ'!$A$5:$B$104,2,FALSE))),VLOOKUP(C645,'手数料マスタ'!$A$5:$B$104,2,FALSE)&lt;0,VLOOKUP(C645,'手数料マスタ'!$A$5:$B$104,2,FALSE)&gt;1),"要確認",ROUND(E645*VLOOKUP(C645,'手数料マスタ'!$A$5:$B$104,2,FALSE),0)),"要確認"))</ns0:f>
        <ns0:v/>
      </ns0:c>
      <ns0:c r="G645" s="7" t="n"/>
      <ns0:c r="H645" s="7" t="n"/>
      <ns0:c r="I645" s="8" t="str">
        <ns0:f>IF(OR(B645="",J645&lt;&gt;"販売済み",D645="",E645="",G645="",H645=""),"",IF(ISNUMBER(F645),E645-D645-F645-G645-H645,"要確認"))</ns0:f>
        <ns0:v/>
      </ns0:c>
      <ns0:c r="J645" s="6" t="n"/>
      <ns0:c r="K645" s="5" t="n"/>
      <ns0:c r="L645" s="9" t="str">
        <ns0:f>IF(AND(B645&lt;&gt;"",J645="在庫"),COUNTIFS($J$5:J645,"在庫",$B$5:B645,"&lt;&gt;"),"")</ns0:f>
        <ns0:v/>
      </ns0:c>
    </ns0:row>
    <ns0:row r="646">
      <ns0:c r="A646" s="5" t="n"/>
      <ns0:c r="B646" s="6" t="n"/>
      <ns0:c r="C646" s="6" t="n"/>
      <ns0:c r="D646" s="7" t="n"/>
      <ns0:c r="E646" s="7" t="n"/>
      <ns0:c r="F646" s="8" t="str">
        <ns0:f>IF(OR(B646="",J646&lt;&gt;"販売済み",E646="",C646=""),"",IFERROR(IF(OR(COUNTIF('手数料マスタ'!$A$5:$A$104,C646)&lt;&gt;1,COUNTIFS('手数料マスタ'!$A$5:$A$104,C646,'手数料マスタ'!$B$5:$B$104,"&lt;&gt;")&lt;&gt;1,NOT(ISNUMBER(VLOOKUP(C646,'手数料マスタ'!$A$5:$B$104,2,FALSE))),VLOOKUP(C646,'手数料マスタ'!$A$5:$B$104,2,FALSE)&lt;0,VLOOKUP(C646,'手数料マスタ'!$A$5:$B$104,2,FALSE)&gt;1),"要確認",ROUND(E646*VLOOKUP(C646,'手数料マスタ'!$A$5:$B$104,2,FALSE),0)),"要確認"))</ns0:f>
        <ns0:v/>
      </ns0:c>
      <ns0:c r="G646" s="7" t="n"/>
      <ns0:c r="H646" s="7" t="n"/>
      <ns0:c r="I646" s="8" t="str">
        <ns0:f>IF(OR(B646="",J646&lt;&gt;"販売済み",D646="",E646="",G646="",H646=""),"",IF(ISNUMBER(F646),E646-D646-F646-G646-H646,"要確認"))</ns0:f>
        <ns0:v/>
      </ns0:c>
      <ns0:c r="J646" s="6" t="n"/>
      <ns0:c r="K646" s="5" t="n"/>
      <ns0:c r="L646" s="9" t="str">
        <ns0:f>IF(AND(B646&lt;&gt;"",J646="在庫"),COUNTIFS($J$5:J646,"在庫",$B$5:B646,"&lt;&gt;"),"")</ns0:f>
        <ns0:v/>
      </ns0:c>
    </ns0:row>
    <ns0:row r="647">
      <ns0:c r="A647" s="5" t="n"/>
      <ns0:c r="B647" s="6" t="n"/>
      <ns0:c r="C647" s="6" t="n"/>
      <ns0:c r="D647" s="7" t="n"/>
      <ns0:c r="E647" s="7" t="n"/>
      <ns0:c r="F647" s="8" t="str">
        <ns0:f>IF(OR(B647="",J647&lt;&gt;"販売済み",E647="",C647=""),"",IFERROR(IF(OR(COUNTIF('手数料マスタ'!$A$5:$A$104,C647)&lt;&gt;1,COUNTIFS('手数料マスタ'!$A$5:$A$104,C647,'手数料マスタ'!$B$5:$B$104,"&lt;&gt;")&lt;&gt;1,NOT(ISNUMBER(VLOOKUP(C647,'手数料マスタ'!$A$5:$B$104,2,FALSE))),VLOOKUP(C647,'手数料マスタ'!$A$5:$B$104,2,FALSE)&lt;0,VLOOKUP(C647,'手数料マスタ'!$A$5:$B$104,2,FALSE)&gt;1),"要確認",ROUND(E647*VLOOKUP(C647,'手数料マスタ'!$A$5:$B$104,2,FALSE),0)),"要確認"))</ns0:f>
        <ns0:v/>
      </ns0:c>
      <ns0:c r="G647" s="7" t="n"/>
      <ns0:c r="H647" s="7" t="n"/>
      <ns0:c r="I647" s="8" t="str">
        <ns0:f>IF(OR(B647="",J647&lt;&gt;"販売済み",D647="",E647="",G647="",H647=""),"",IF(ISNUMBER(F647),E647-D647-F647-G647-H647,"要確認"))</ns0:f>
        <ns0:v/>
      </ns0:c>
      <ns0:c r="J647" s="6" t="n"/>
      <ns0:c r="K647" s="5" t="n"/>
      <ns0:c r="L647" s="9" t="str">
        <ns0:f>IF(AND(B647&lt;&gt;"",J647="在庫"),COUNTIFS($J$5:J647,"在庫",$B$5:B647,"&lt;&gt;"),"")</ns0:f>
        <ns0:v/>
      </ns0:c>
    </ns0:row>
    <ns0:row r="648">
      <ns0:c r="A648" s="5" t="n"/>
      <ns0:c r="B648" s="6" t="n"/>
      <ns0:c r="C648" s="6" t="n"/>
      <ns0:c r="D648" s="7" t="n"/>
      <ns0:c r="E648" s="7" t="n"/>
      <ns0:c r="F648" s="8" t="str">
        <ns0:f>IF(OR(B648="",J648&lt;&gt;"販売済み",E648="",C648=""),"",IFERROR(IF(OR(COUNTIF('手数料マスタ'!$A$5:$A$104,C648)&lt;&gt;1,COUNTIFS('手数料マスタ'!$A$5:$A$104,C648,'手数料マスタ'!$B$5:$B$104,"&lt;&gt;")&lt;&gt;1,NOT(ISNUMBER(VLOOKUP(C648,'手数料マスタ'!$A$5:$B$104,2,FALSE))),VLOOKUP(C648,'手数料マスタ'!$A$5:$B$104,2,FALSE)&lt;0,VLOOKUP(C648,'手数料マスタ'!$A$5:$B$104,2,FALSE)&gt;1),"要確認",ROUND(E648*VLOOKUP(C648,'手数料マスタ'!$A$5:$B$104,2,FALSE),0)),"要確認"))</ns0:f>
        <ns0:v/>
      </ns0:c>
      <ns0:c r="G648" s="7" t="n"/>
      <ns0:c r="H648" s="7" t="n"/>
      <ns0:c r="I648" s="8" t="str">
        <ns0:f>IF(OR(B648="",J648&lt;&gt;"販売済み",D648="",E648="",G648="",H648=""),"",IF(ISNUMBER(F648),E648-D648-F648-G648-H648,"要確認"))</ns0:f>
        <ns0:v/>
      </ns0:c>
      <ns0:c r="J648" s="6" t="n"/>
      <ns0:c r="K648" s="5" t="n"/>
      <ns0:c r="L648" s="9" t="str">
        <ns0:f>IF(AND(B648&lt;&gt;"",J648="在庫"),COUNTIFS($J$5:J648,"在庫",$B$5:B648,"&lt;&gt;"),"")</ns0:f>
        <ns0:v/>
      </ns0:c>
    </ns0:row>
    <ns0:row r="649">
      <ns0:c r="A649" s="5" t="n"/>
      <ns0:c r="B649" s="6" t="n"/>
      <ns0:c r="C649" s="6" t="n"/>
      <ns0:c r="D649" s="7" t="n"/>
      <ns0:c r="E649" s="7" t="n"/>
      <ns0:c r="F649" s="8" t="str">
        <ns0:f>IF(OR(B649="",J649&lt;&gt;"販売済み",E649="",C649=""),"",IFERROR(IF(OR(COUNTIF('手数料マスタ'!$A$5:$A$104,C649)&lt;&gt;1,COUNTIFS('手数料マスタ'!$A$5:$A$104,C649,'手数料マスタ'!$B$5:$B$104,"&lt;&gt;")&lt;&gt;1,NOT(ISNUMBER(VLOOKUP(C649,'手数料マスタ'!$A$5:$B$104,2,FALSE))),VLOOKUP(C649,'手数料マスタ'!$A$5:$B$104,2,FALSE)&lt;0,VLOOKUP(C649,'手数料マスタ'!$A$5:$B$104,2,FALSE)&gt;1),"要確認",ROUND(E649*VLOOKUP(C649,'手数料マスタ'!$A$5:$B$104,2,FALSE),0)),"要確認"))</ns0:f>
        <ns0:v/>
      </ns0:c>
      <ns0:c r="G649" s="7" t="n"/>
      <ns0:c r="H649" s="7" t="n"/>
      <ns0:c r="I649" s="8" t="str">
        <ns0:f>IF(OR(B649="",J649&lt;&gt;"販売済み",D649="",E649="",G649="",H649=""),"",IF(ISNUMBER(F649),E649-D649-F649-G649-H649,"要確認"))</ns0:f>
        <ns0:v/>
      </ns0:c>
      <ns0:c r="J649" s="6" t="n"/>
      <ns0:c r="K649" s="5" t="n"/>
      <ns0:c r="L649" s="9" t="str">
        <ns0:f>IF(AND(B649&lt;&gt;"",J649="在庫"),COUNTIFS($J$5:J649,"在庫",$B$5:B649,"&lt;&gt;"),"")</ns0:f>
        <ns0:v/>
      </ns0:c>
    </ns0:row>
    <ns0:row r="650">
      <ns0:c r="A650" s="5" t="n"/>
      <ns0:c r="B650" s="6" t="n"/>
      <ns0:c r="C650" s="6" t="n"/>
      <ns0:c r="D650" s="7" t="n"/>
      <ns0:c r="E650" s="7" t="n"/>
      <ns0:c r="F650" s="8" t="str">
        <ns0:f>IF(OR(B650="",J650&lt;&gt;"販売済み",E650="",C650=""),"",IFERROR(IF(OR(COUNTIF('手数料マスタ'!$A$5:$A$104,C650)&lt;&gt;1,COUNTIFS('手数料マスタ'!$A$5:$A$104,C650,'手数料マスタ'!$B$5:$B$104,"&lt;&gt;")&lt;&gt;1,NOT(ISNUMBER(VLOOKUP(C650,'手数料マスタ'!$A$5:$B$104,2,FALSE))),VLOOKUP(C650,'手数料マスタ'!$A$5:$B$104,2,FALSE)&lt;0,VLOOKUP(C650,'手数料マスタ'!$A$5:$B$104,2,FALSE)&gt;1),"要確認",ROUND(E650*VLOOKUP(C650,'手数料マスタ'!$A$5:$B$104,2,FALSE),0)),"要確認"))</ns0:f>
        <ns0:v/>
      </ns0:c>
      <ns0:c r="G650" s="7" t="n"/>
      <ns0:c r="H650" s="7" t="n"/>
      <ns0:c r="I650" s="8" t="str">
        <ns0:f>IF(OR(B650="",J650&lt;&gt;"販売済み",D650="",E650="",G650="",H650=""),"",IF(ISNUMBER(F650),E650-D650-F650-G650-H650,"要確認"))</ns0:f>
        <ns0:v/>
      </ns0:c>
      <ns0:c r="J650" s="6" t="n"/>
      <ns0:c r="K650" s="5" t="n"/>
      <ns0:c r="L650" s="9" t="str">
        <ns0:f>IF(AND(B650&lt;&gt;"",J650="在庫"),COUNTIFS($J$5:J650,"在庫",$B$5:B650,"&lt;&gt;"),"")</ns0:f>
        <ns0:v/>
      </ns0:c>
    </ns0:row>
    <ns0:row r="651">
      <ns0:c r="A651" s="5" t="n"/>
      <ns0:c r="B651" s="6" t="n"/>
      <ns0:c r="C651" s="6" t="n"/>
      <ns0:c r="D651" s="7" t="n"/>
      <ns0:c r="E651" s="7" t="n"/>
      <ns0:c r="F651" s="8" t="str">
        <ns0:f>IF(OR(B651="",J651&lt;&gt;"販売済み",E651="",C651=""),"",IFERROR(IF(OR(COUNTIF('手数料マスタ'!$A$5:$A$104,C651)&lt;&gt;1,COUNTIFS('手数料マスタ'!$A$5:$A$104,C651,'手数料マスタ'!$B$5:$B$104,"&lt;&gt;")&lt;&gt;1,NOT(ISNUMBER(VLOOKUP(C651,'手数料マスタ'!$A$5:$B$104,2,FALSE))),VLOOKUP(C651,'手数料マスタ'!$A$5:$B$104,2,FALSE)&lt;0,VLOOKUP(C651,'手数料マスタ'!$A$5:$B$104,2,FALSE)&gt;1),"要確認",ROUND(E651*VLOOKUP(C651,'手数料マスタ'!$A$5:$B$104,2,FALSE),0)),"要確認"))</ns0:f>
        <ns0:v/>
      </ns0:c>
      <ns0:c r="G651" s="7" t="n"/>
      <ns0:c r="H651" s="7" t="n"/>
      <ns0:c r="I651" s="8" t="str">
        <ns0:f>IF(OR(B651="",J651&lt;&gt;"販売済み",D651="",E651="",G651="",H651=""),"",IF(ISNUMBER(F651),E651-D651-F651-G651-H651,"要確認"))</ns0:f>
        <ns0:v/>
      </ns0:c>
      <ns0:c r="J651" s="6" t="n"/>
      <ns0:c r="K651" s="5" t="n"/>
      <ns0:c r="L651" s="9" t="str">
        <ns0:f>IF(AND(B651&lt;&gt;"",J651="在庫"),COUNTIFS($J$5:J651,"在庫",$B$5:B651,"&lt;&gt;"),"")</ns0:f>
        <ns0:v/>
      </ns0:c>
    </ns0:row>
    <ns0:row r="652">
      <ns0:c r="A652" s="5" t="n"/>
      <ns0:c r="B652" s="6" t="n"/>
      <ns0:c r="C652" s="6" t="n"/>
      <ns0:c r="D652" s="7" t="n"/>
      <ns0:c r="E652" s="7" t="n"/>
      <ns0:c r="F652" s="8" t="str">
        <ns0:f>IF(OR(B652="",J652&lt;&gt;"販売済み",E652="",C652=""),"",IFERROR(IF(OR(COUNTIF('手数料マスタ'!$A$5:$A$104,C652)&lt;&gt;1,COUNTIFS('手数料マスタ'!$A$5:$A$104,C652,'手数料マスタ'!$B$5:$B$104,"&lt;&gt;")&lt;&gt;1,NOT(ISNUMBER(VLOOKUP(C652,'手数料マスタ'!$A$5:$B$104,2,FALSE))),VLOOKUP(C652,'手数料マスタ'!$A$5:$B$104,2,FALSE)&lt;0,VLOOKUP(C652,'手数料マスタ'!$A$5:$B$104,2,FALSE)&gt;1),"要確認",ROUND(E652*VLOOKUP(C652,'手数料マスタ'!$A$5:$B$104,2,FALSE),0)),"要確認"))</ns0:f>
        <ns0:v/>
      </ns0:c>
      <ns0:c r="G652" s="7" t="n"/>
      <ns0:c r="H652" s="7" t="n"/>
      <ns0:c r="I652" s="8" t="str">
        <ns0:f>IF(OR(B652="",J652&lt;&gt;"販売済み",D652="",E652="",G652="",H652=""),"",IF(ISNUMBER(F652),E652-D652-F652-G652-H652,"要確認"))</ns0:f>
        <ns0:v/>
      </ns0:c>
      <ns0:c r="J652" s="6" t="n"/>
      <ns0:c r="K652" s="5" t="n"/>
      <ns0:c r="L652" s="9" t="str">
        <ns0:f>IF(AND(B652&lt;&gt;"",J652="在庫"),COUNTIFS($J$5:J652,"在庫",$B$5:B652,"&lt;&gt;"),"")</ns0:f>
        <ns0:v/>
      </ns0:c>
    </ns0:row>
    <ns0:row r="653">
      <ns0:c r="A653" s="5" t="n"/>
      <ns0:c r="B653" s="6" t="n"/>
      <ns0:c r="C653" s="6" t="n"/>
      <ns0:c r="D653" s="7" t="n"/>
      <ns0:c r="E653" s="7" t="n"/>
      <ns0:c r="F653" s="8" t="str">
        <ns0:f>IF(OR(B653="",J653&lt;&gt;"販売済み",E653="",C653=""),"",IFERROR(IF(OR(COUNTIF('手数料マスタ'!$A$5:$A$104,C653)&lt;&gt;1,COUNTIFS('手数料マスタ'!$A$5:$A$104,C653,'手数料マスタ'!$B$5:$B$104,"&lt;&gt;")&lt;&gt;1,NOT(ISNUMBER(VLOOKUP(C653,'手数料マスタ'!$A$5:$B$104,2,FALSE))),VLOOKUP(C653,'手数料マスタ'!$A$5:$B$104,2,FALSE)&lt;0,VLOOKUP(C653,'手数料マスタ'!$A$5:$B$104,2,FALSE)&gt;1),"要確認",ROUND(E653*VLOOKUP(C653,'手数料マスタ'!$A$5:$B$104,2,FALSE),0)),"要確認"))</ns0:f>
        <ns0:v/>
      </ns0:c>
      <ns0:c r="G653" s="7" t="n"/>
      <ns0:c r="H653" s="7" t="n"/>
      <ns0:c r="I653" s="8" t="str">
        <ns0:f>IF(OR(B653="",J653&lt;&gt;"販売済み",D653="",E653="",G653="",H653=""),"",IF(ISNUMBER(F653),E653-D653-F653-G653-H653,"要確認"))</ns0:f>
        <ns0:v/>
      </ns0:c>
      <ns0:c r="J653" s="6" t="n"/>
      <ns0:c r="K653" s="5" t="n"/>
      <ns0:c r="L653" s="9" t="str">
        <ns0:f>IF(AND(B653&lt;&gt;"",J653="在庫"),COUNTIFS($J$5:J653,"在庫",$B$5:B653,"&lt;&gt;"),"")</ns0:f>
        <ns0:v/>
      </ns0:c>
    </ns0:row>
    <ns0:row r="654">
      <ns0:c r="A654" s="5" t="n"/>
      <ns0:c r="B654" s="6" t="n"/>
      <ns0:c r="C654" s="6" t="n"/>
      <ns0:c r="D654" s="7" t="n"/>
      <ns0:c r="E654" s="7" t="n"/>
      <ns0:c r="F654" s="8" t="str">
        <ns0:f>IF(OR(B654="",J654&lt;&gt;"販売済み",E654="",C654=""),"",IFERROR(IF(OR(COUNTIF('手数料マスタ'!$A$5:$A$104,C654)&lt;&gt;1,COUNTIFS('手数料マスタ'!$A$5:$A$104,C654,'手数料マスタ'!$B$5:$B$104,"&lt;&gt;")&lt;&gt;1,NOT(ISNUMBER(VLOOKUP(C654,'手数料マスタ'!$A$5:$B$104,2,FALSE))),VLOOKUP(C654,'手数料マスタ'!$A$5:$B$104,2,FALSE)&lt;0,VLOOKUP(C654,'手数料マスタ'!$A$5:$B$104,2,FALSE)&gt;1),"要確認",ROUND(E654*VLOOKUP(C654,'手数料マスタ'!$A$5:$B$104,2,FALSE),0)),"要確認"))</ns0:f>
        <ns0:v/>
      </ns0:c>
      <ns0:c r="G654" s="7" t="n"/>
      <ns0:c r="H654" s="7" t="n"/>
      <ns0:c r="I654" s="8" t="str">
        <ns0:f>IF(OR(B654="",J654&lt;&gt;"販売済み",D654="",E654="",G654="",H654=""),"",IF(ISNUMBER(F654),E654-D654-F654-G654-H654,"要確認"))</ns0:f>
        <ns0:v/>
      </ns0:c>
      <ns0:c r="J654" s="6" t="n"/>
      <ns0:c r="K654" s="5" t="n"/>
      <ns0:c r="L654" s="9" t="str">
        <ns0:f>IF(AND(B654&lt;&gt;"",J654="在庫"),COUNTIFS($J$5:J654,"在庫",$B$5:B654,"&lt;&gt;"),"")</ns0:f>
        <ns0:v/>
      </ns0:c>
    </ns0:row>
    <ns0:row r="655">
      <ns0:c r="A655" s="5" t="n"/>
      <ns0:c r="B655" s="6" t="n"/>
      <ns0:c r="C655" s="6" t="n"/>
      <ns0:c r="D655" s="7" t="n"/>
      <ns0:c r="E655" s="7" t="n"/>
      <ns0:c r="F655" s="8" t="str">
        <ns0:f>IF(OR(B655="",J655&lt;&gt;"販売済み",E655="",C655=""),"",IFERROR(IF(OR(COUNTIF('手数料マスタ'!$A$5:$A$104,C655)&lt;&gt;1,COUNTIFS('手数料マスタ'!$A$5:$A$104,C655,'手数料マスタ'!$B$5:$B$104,"&lt;&gt;")&lt;&gt;1,NOT(ISNUMBER(VLOOKUP(C655,'手数料マスタ'!$A$5:$B$104,2,FALSE))),VLOOKUP(C655,'手数料マスタ'!$A$5:$B$104,2,FALSE)&lt;0,VLOOKUP(C655,'手数料マスタ'!$A$5:$B$104,2,FALSE)&gt;1),"要確認",ROUND(E655*VLOOKUP(C655,'手数料マスタ'!$A$5:$B$104,2,FALSE),0)),"要確認"))</ns0:f>
        <ns0:v/>
      </ns0:c>
      <ns0:c r="G655" s="7" t="n"/>
      <ns0:c r="H655" s="7" t="n"/>
      <ns0:c r="I655" s="8" t="str">
        <ns0:f>IF(OR(B655="",J655&lt;&gt;"販売済み",D655="",E655="",G655="",H655=""),"",IF(ISNUMBER(F655),E655-D655-F655-G655-H655,"要確認"))</ns0:f>
        <ns0:v/>
      </ns0:c>
      <ns0:c r="J655" s="6" t="n"/>
      <ns0:c r="K655" s="5" t="n"/>
      <ns0:c r="L655" s="9" t="str">
        <ns0:f>IF(AND(B655&lt;&gt;"",J655="在庫"),COUNTIFS($J$5:J655,"在庫",$B$5:B655,"&lt;&gt;"),"")</ns0:f>
        <ns0:v/>
      </ns0:c>
    </ns0:row>
    <ns0:row r="656">
      <ns0:c r="A656" s="5" t="n"/>
      <ns0:c r="B656" s="6" t="n"/>
      <ns0:c r="C656" s="6" t="n"/>
      <ns0:c r="D656" s="7" t="n"/>
      <ns0:c r="E656" s="7" t="n"/>
      <ns0:c r="F656" s="8" t="str">
        <ns0:f>IF(OR(B656="",J656&lt;&gt;"販売済み",E656="",C656=""),"",IFERROR(IF(OR(COUNTIF('手数料マスタ'!$A$5:$A$104,C656)&lt;&gt;1,COUNTIFS('手数料マスタ'!$A$5:$A$104,C656,'手数料マスタ'!$B$5:$B$104,"&lt;&gt;")&lt;&gt;1,NOT(ISNUMBER(VLOOKUP(C656,'手数料マスタ'!$A$5:$B$104,2,FALSE))),VLOOKUP(C656,'手数料マスタ'!$A$5:$B$104,2,FALSE)&lt;0,VLOOKUP(C656,'手数料マスタ'!$A$5:$B$104,2,FALSE)&gt;1),"要確認",ROUND(E656*VLOOKUP(C656,'手数料マスタ'!$A$5:$B$104,2,FALSE),0)),"要確認"))</ns0:f>
        <ns0:v/>
      </ns0:c>
      <ns0:c r="G656" s="7" t="n"/>
      <ns0:c r="H656" s="7" t="n"/>
      <ns0:c r="I656" s="8" t="str">
        <ns0:f>IF(OR(B656="",J656&lt;&gt;"販売済み",D656="",E656="",G656="",H656=""),"",IF(ISNUMBER(F656),E656-D656-F656-G656-H656,"要確認"))</ns0:f>
        <ns0:v/>
      </ns0:c>
      <ns0:c r="J656" s="6" t="n"/>
      <ns0:c r="K656" s="5" t="n"/>
      <ns0:c r="L656" s="9" t="str">
        <ns0:f>IF(AND(B656&lt;&gt;"",J656="在庫"),COUNTIFS($J$5:J656,"在庫",$B$5:B656,"&lt;&gt;"),"")</ns0:f>
        <ns0:v/>
      </ns0:c>
    </ns0:row>
    <ns0:row r="657">
      <ns0:c r="A657" s="5" t="n"/>
      <ns0:c r="B657" s="6" t="n"/>
      <ns0:c r="C657" s="6" t="n"/>
      <ns0:c r="D657" s="7" t="n"/>
      <ns0:c r="E657" s="7" t="n"/>
      <ns0:c r="F657" s="8" t="str">
        <ns0:f>IF(OR(B657="",J657&lt;&gt;"販売済み",E657="",C657=""),"",IFERROR(IF(OR(COUNTIF('手数料マスタ'!$A$5:$A$104,C657)&lt;&gt;1,COUNTIFS('手数料マスタ'!$A$5:$A$104,C657,'手数料マスタ'!$B$5:$B$104,"&lt;&gt;")&lt;&gt;1,NOT(ISNUMBER(VLOOKUP(C657,'手数料マスタ'!$A$5:$B$104,2,FALSE))),VLOOKUP(C657,'手数料マスタ'!$A$5:$B$104,2,FALSE)&lt;0,VLOOKUP(C657,'手数料マスタ'!$A$5:$B$104,2,FALSE)&gt;1),"要確認",ROUND(E657*VLOOKUP(C657,'手数料マスタ'!$A$5:$B$104,2,FALSE),0)),"要確認"))</ns0:f>
        <ns0:v/>
      </ns0:c>
      <ns0:c r="G657" s="7" t="n"/>
      <ns0:c r="H657" s="7" t="n"/>
      <ns0:c r="I657" s="8" t="str">
        <ns0:f>IF(OR(B657="",J657&lt;&gt;"販売済み",D657="",E657="",G657="",H657=""),"",IF(ISNUMBER(F657),E657-D657-F657-G657-H657,"要確認"))</ns0:f>
        <ns0:v/>
      </ns0:c>
      <ns0:c r="J657" s="6" t="n"/>
      <ns0:c r="K657" s="5" t="n"/>
      <ns0:c r="L657" s="9" t="str">
        <ns0:f>IF(AND(B657&lt;&gt;"",J657="在庫"),COUNTIFS($J$5:J657,"在庫",$B$5:B657,"&lt;&gt;"),"")</ns0:f>
        <ns0:v/>
      </ns0:c>
    </ns0:row>
    <ns0:row r="658">
      <ns0:c r="A658" s="5" t="n"/>
      <ns0:c r="B658" s="6" t="n"/>
      <ns0:c r="C658" s="6" t="n"/>
      <ns0:c r="D658" s="7" t="n"/>
      <ns0:c r="E658" s="7" t="n"/>
      <ns0:c r="F658" s="8" t="str">
        <ns0:f>IF(OR(B658="",J658&lt;&gt;"販売済み",E658="",C658=""),"",IFERROR(IF(OR(COUNTIF('手数料マスタ'!$A$5:$A$104,C658)&lt;&gt;1,COUNTIFS('手数料マスタ'!$A$5:$A$104,C658,'手数料マスタ'!$B$5:$B$104,"&lt;&gt;")&lt;&gt;1,NOT(ISNUMBER(VLOOKUP(C658,'手数料マスタ'!$A$5:$B$104,2,FALSE))),VLOOKUP(C658,'手数料マスタ'!$A$5:$B$104,2,FALSE)&lt;0,VLOOKUP(C658,'手数料マスタ'!$A$5:$B$104,2,FALSE)&gt;1),"要確認",ROUND(E658*VLOOKUP(C658,'手数料マスタ'!$A$5:$B$104,2,FALSE),0)),"要確認"))</ns0:f>
        <ns0:v/>
      </ns0:c>
      <ns0:c r="G658" s="7" t="n"/>
      <ns0:c r="H658" s="7" t="n"/>
      <ns0:c r="I658" s="8" t="str">
        <ns0:f>IF(OR(B658="",J658&lt;&gt;"販売済み",D658="",E658="",G658="",H658=""),"",IF(ISNUMBER(F658),E658-D658-F658-G658-H658,"要確認"))</ns0:f>
        <ns0:v/>
      </ns0:c>
      <ns0:c r="J658" s="6" t="n"/>
      <ns0:c r="K658" s="5" t="n"/>
      <ns0:c r="L658" s="9" t="str">
        <ns0:f>IF(AND(B658&lt;&gt;"",J658="在庫"),COUNTIFS($J$5:J658,"在庫",$B$5:B658,"&lt;&gt;"),"")</ns0:f>
        <ns0:v/>
      </ns0:c>
    </ns0:row>
    <ns0:row r="659">
      <ns0:c r="A659" s="5" t="n"/>
      <ns0:c r="B659" s="6" t="n"/>
      <ns0:c r="C659" s="6" t="n"/>
      <ns0:c r="D659" s="7" t="n"/>
      <ns0:c r="E659" s="7" t="n"/>
      <ns0:c r="F659" s="8" t="str">
        <ns0:f>IF(OR(B659="",J659&lt;&gt;"販売済み",E659="",C659=""),"",IFERROR(IF(OR(COUNTIF('手数料マスタ'!$A$5:$A$104,C659)&lt;&gt;1,COUNTIFS('手数料マスタ'!$A$5:$A$104,C659,'手数料マスタ'!$B$5:$B$104,"&lt;&gt;")&lt;&gt;1,NOT(ISNUMBER(VLOOKUP(C659,'手数料マスタ'!$A$5:$B$104,2,FALSE))),VLOOKUP(C659,'手数料マスタ'!$A$5:$B$104,2,FALSE)&lt;0,VLOOKUP(C659,'手数料マスタ'!$A$5:$B$104,2,FALSE)&gt;1),"要確認",ROUND(E659*VLOOKUP(C659,'手数料マスタ'!$A$5:$B$104,2,FALSE),0)),"要確認"))</ns0:f>
        <ns0:v/>
      </ns0:c>
      <ns0:c r="G659" s="7" t="n"/>
      <ns0:c r="H659" s="7" t="n"/>
      <ns0:c r="I659" s="8" t="str">
        <ns0:f>IF(OR(B659="",J659&lt;&gt;"販売済み",D659="",E659="",G659="",H659=""),"",IF(ISNUMBER(F659),E659-D659-F659-G659-H659,"要確認"))</ns0:f>
        <ns0:v/>
      </ns0:c>
      <ns0:c r="J659" s="6" t="n"/>
      <ns0:c r="K659" s="5" t="n"/>
      <ns0:c r="L659" s="9" t="str">
        <ns0:f>IF(AND(B659&lt;&gt;"",J659="在庫"),COUNTIFS($J$5:J659,"在庫",$B$5:B659,"&lt;&gt;"),"")</ns0:f>
        <ns0:v/>
      </ns0:c>
    </ns0:row>
    <ns0:row r="660">
      <ns0:c r="A660" s="5" t="n"/>
      <ns0:c r="B660" s="6" t="n"/>
      <ns0:c r="C660" s="6" t="n"/>
      <ns0:c r="D660" s="7" t="n"/>
      <ns0:c r="E660" s="7" t="n"/>
      <ns0:c r="F660" s="8" t="str">
        <ns0:f>IF(OR(B660="",J660&lt;&gt;"販売済み",E660="",C660=""),"",IFERROR(IF(OR(COUNTIF('手数料マスタ'!$A$5:$A$104,C660)&lt;&gt;1,COUNTIFS('手数料マスタ'!$A$5:$A$104,C660,'手数料マスタ'!$B$5:$B$104,"&lt;&gt;")&lt;&gt;1,NOT(ISNUMBER(VLOOKUP(C660,'手数料マスタ'!$A$5:$B$104,2,FALSE))),VLOOKUP(C660,'手数料マスタ'!$A$5:$B$104,2,FALSE)&lt;0,VLOOKUP(C660,'手数料マスタ'!$A$5:$B$104,2,FALSE)&gt;1),"要確認",ROUND(E660*VLOOKUP(C660,'手数料マスタ'!$A$5:$B$104,2,FALSE),0)),"要確認"))</ns0:f>
        <ns0:v/>
      </ns0:c>
      <ns0:c r="G660" s="7" t="n"/>
      <ns0:c r="H660" s="7" t="n"/>
      <ns0:c r="I660" s="8" t="str">
        <ns0:f>IF(OR(B660="",J660&lt;&gt;"販売済み",D660="",E660="",G660="",H660=""),"",IF(ISNUMBER(F660),E660-D660-F660-G660-H660,"要確認"))</ns0:f>
        <ns0:v/>
      </ns0:c>
      <ns0:c r="J660" s="6" t="n"/>
      <ns0:c r="K660" s="5" t="n"/>
      <ns0:c r="L660" s="9" t="str">
        <ns0:f>IF(AND(B660&lt;&gt;"",J660="在庫"),COUNTIFS($J$5:J660,"在庫",$B$5:B660,"&lt;&gt;"),"")</ns0:f>
        <ns0:v/>
      </ns0:c>
    </ns0:row>
    <ns0:row r="661">
      <ns0:c r="A661" s="5" t="n"/>
      <ns0:c r="B661" s="6" t="n"/>
      <ns0:c r="C661" s="6" t="n"/>
      <ns0:c r="D661" s="7" t="n"/>
      <ns0:c r="E661" s="7" t="n"/>
      <ns0:c r="F661" s="8" t="str">
        <ns0:f>IF(OR(B661="",J661&lt;&gt;"販売済み",E661="",C661=""),"",IFERROR(IF(OR(COUNTIF('手数料マスタ'!$A$5:$A$104,C661)&lt;&gt;1,COUNTIFS('手数料マスタ'!$A$5:$A$104,C661,'手数料マスタ'!$B$5:$B$104,"&lt;&gt;")&lt;&gt;1,NOT(ISNUMBER(VLOOKUP(C661,'手数料マスタ'!$A$5:$B$104,2,FALSE))),VLOOKUP(C661,'手数料マスタ'!$A$5:$B$104,2,FALSE)&lt;0,VLOOKUP(C661,'手数料マスタ'!$A$5:$B$104,2,FALSE)&gt;1),"要確認",ROUND(E661*VLOOKUP(C661,'手数料マスタ'!$A$5:$B$104,2,FALSE),0)),"要確認"))</ns0:f>
        <ns0:v/>
      </ns0:c>
      <ns0:c r="G661" s="7" t="n"/>
      <ns0:c r="H661" s="7" t="n"/>
      <ns0:c r="I661" s="8" t="str">
        <ns0:f>IF(OR(B661="",J661&lt;&gt;"販売済み",D661="",E661="",G661="",H661=""),"",IF(ISNUMBER(F661),E661-D661-F661-G661-H661,"要確認"))</ns0:f>
        <ns0:v/>
      </ns0:c>
      <ns0:c r="J661" s="6" t="n"/>
      <ns0:c r="K661" s="5" t="n"/>
      <ns0:c r="L661" s="9" t="str">
        <ns0:f>IF(AND(B661&lt;&gt;"",J661="在庫"),COUNTIFS($J$5:J661,"在庫",$B$5:B661,"&lt;&gt;"),"")</ns0:f>
        <ns0:v/>
      </ns0:c>
    </ns0:row>
    <ns0:row r="662">
      <ns0:c r="A662" s="5" t="n"/>
      <ns0:c r="B662" s="6" t="n"/>
      <ns0:c r="C662" s="6" t="n"/>
      <ns0:c r="D662" s="7" t="n"/>
      <ns0:c r="E662" s="7" t="n"/>
      <ns0:c r="F662" s="8" t="str">
        <ns0:f>IF(OR(B662="",J662&lt;&gt;"販売済み",E662="",C662=""),"",IFERROR(IF(OR(COUNTIF('手数料マスタ'!$A$5:$A$104,C662)&lt;&gt;1,COUNTIFS('手数料マスタ'!$A$5:$A$104,C662,'手数料マスタ'!$B$5:$B$104,"&lt;&gt;")&lt;&gt;1,NOT(ISNUMBER(VLOOKUP(C662,'手数料マスタ'!$A$5:$B$104,2,FALSE))),VLOOKUP(C662,'手数料マスタ'!$A$5:$B$104,2,FALSE)&lt;0,VLOOKUP(C662,'手数料マスタ'!$A$5:$B$104,2,FALSE)&gt;1),"要確認",ROUND(E662*VLOOKUP(C662,'手数料マスタ'!$A$5:$B$104,2,FALSE),0)),"要確認"))</ns0:f>
        <ns0:v/>
      </ns0:c>
      <ns0:c r="G662" s="7" t="n"/>
      <ns0:c r="H662" s="7" t="n"/>
      <ns0:c r="I662" s="8" t="str">
        <ns0:f>IF(OR(B662="",J662&lt;&gt;"販売済み",D662="",E662="",G662="",H662=""),"",IF(ISNUMBER(F662),E662-D662-F662-G662-H662,"要確認"))</ns0:f>
        <ns0:v/>
      </ns0:c>
      <ns0:c r="J662" s="6" t="n"/>
      <ns0:c r="K662" s="5" t="n"/>
      <ns0:c r="L662" s="9" t="str">
        <ns0:f>IF(AND(B662&lt;&gt;"",J662="在庫"),COUNTIFS($J$5:J662,"在庫",$B$5:B662,"&lt;&gt;"),"")</ns0:f>
        <ns0:v/>
      </ns0:c>
    </ns0:row>
    <ns0:row r="663">
      <ns0:c r="A663" s="5" t="n"/>
      <ns0:c r="B663" s="6" t="n"/>
      <ns0:c r="C663" s="6" t="n"/>
      <ns0:c r="D663" s="7" t="n"/>
      <ns0:c r="E663" s="7" t="n"/>
      <ns0:c r="F663" s="8" t="str">
        <ns0:f>IF(OR(B663="",J663&lt;&gt;"販売済み",E663="",C663=""),"",IFERROR(IF(OR(COUNTIF('手数料マスタ'!$A$5:$A$104,C663)&lt;&gt;1,COUNTIFS('手数料マスタ'!$A$5:$A$104,C663,'手数料マスタ'!$B$5:$B$104,"&lt;&gt;")&lt;&gt;1,NOT(ISNUMBER(VLOOKUP(C663,'手数料マスタ'!$A$5:$B$104,2,FALSE))),VLOOKUP(C663,'手数料マスタ'!$A$5:$B$104,2,FALSE)&lt;0,VLOOKUP(C663,'手数料マスタ'!$A$5:$B$104,2,FALSE)&gt;1),"要確認",ROUND(E663*VLOOKUP(C663,'手数料マスタ'!$A$5:$B$104,2,FALSE),0)),"要確認"))</ns0:f>
        <ns0:v/>
      </ns0:c>
      <ns0:c r="G663" s="7" t="n"/>
      <ns0:c r="H663" s="7" t="n"/>
      <ns0:c r="I663" s="8" t="str">
        <ns0:f>IF(OR(B663="",J663&lt;&gt;"販売済み",D663="",E663="",G663="",H663=""),"",IF(ISNUMBER(F663),E663-D663-F663-G663-H663,"要確認"))</ns0:f>
        <ns0:v/>
      </ns0:c>
      <ns0:c r="J663" s="6" t="n"/>
      <ns0:c r="K663" s="5" t="n"/>
      <ns0:c r="L663" s="9" t="str">
        <ns0:f>IF(AND(B663&lt;&gt;"",J663="在庫"),COUNTIFS($J$5:J663,"在庫",$B$5:B663,"&lt;&gt;"),"")</ns0:f>
        <ns0:v/>
      </ns0:c>
    </ns0:row>
    <ns0:row r="664">
      <ns0:c r="A664" s="5" t="n"/>
      <ns0:c r="B664" s="6" t="n"/>
      <ns0:c r="C664" s="6" t="n"/>
      <ns0:c r="D664" s="7" t="n"/>
      <ns0:c r="E664" s="7" t="n"/>
      <ns0:c r="F664" s="8" t="str">
        <ns0:f>IF(OR(B664="",J664&lt;&gt;"販売済み",E664="",C664=""),"",IFERROR(IF(OR(COUNTIF('手数料マスタ'!$A$5:$A$104,C664)&lt;&gt;1,COUNTIFS('手数料マスタ'!$A$5:$A$104,C664,'手数料マスタ'!$B$5:$B$104,"&lt;&gt;")&lt;&gt;1,NOT(ISNUMBER(VLOOKUP(C664,'手数料マスタ'!$A$5:$B$104,2,FALSE))),VLOOKUP(C664,'手数料マスタ'!$A$5:$B$104,2,FALSE)&lt;0,VLOOKUP(C664,'手数料マスタ'!$A$5:$B$104,2,FALSE)&gt;1),"要確認",ROUND(E664*VLOOKUP(C664,'手数料マスタ'!$A$5:$B$104,2,FALSE),0)),"要確認"))</ns0:f>
        <ns0:v/>
      </ns0:c>
      <ns0:c r="G664" s="7" t="n"/>
      <ns0:c r="H664" s="7" t="n"/>
      <ns0:c r="I664" s="8" t="str">
        <ns0:f>IF(OR(B664="",J664&lt;&gt;"販売済み",D664="",E664="",G664="",H664=""),"",IF(ISNUMBER(F664),E664-D664-F664-G664-H664,"要確認"))</ns0:f>
        <ns0:v/>
      </ns0:c>
      <ns0:c r="J664" s="6" t="n"/>
      <ns0:c r="K664" s="5" t="n"/>
      <ns0:c r="L664" s="9" t="str">
        <ns0:f>IF(AND(B664&lt;&gt;"",J664="在庫"),COUNTIFS($J$5:J664,"在庫",$B$5:B664,"&lt;&gt;"),"")</ns0:f>
        <ns0:v/>
      </ns0:c>
    </ns0:row>
    <ns0:row r="665">
      <ns0:c r="A665" s="5" t="n"/>
      <ns0:c r="B665" s="6" t="n"/>
      <ns0:c r="C665" s="6" t="n"/>
      <ns0:c r="D665" s="7" t="n"/>
      <ns0:c r="E665" s="7" t="n"/>
      <ns0:c r="F665" s="8" t="str">
        <ns0:f>IF(OR(B665="",J665&lt;&gt;"販売済み",E665="",C665=""),"",IFERROR(IF(OR(COUNTIF('手数料マスタ'!$A$5:$A$104,C665)&lt;&gt;1,COUNTIFS('手数料マスタ'!$A$5:$A$104,C665,'手数料マスタ'!$B$5:$B$104,"&lt;&gt;")&lt;&gt;1,NOT(ISNUMBER(VLOOKUP(C665,'手数料マスタ'!$A$5:$B$104,2,FALSE))),VLOOKUP(C665,'手数料マスタ'!$A$5:$B$104,2,FALSE)&lt;0,VLOOKUP(C665,'手数料マスタ'!$A$5:$B$104,2,FALSE)&gt;1),"要確認",ROUND(E665*VLOOKUP(C665,'手数料マスタ'!$A$5:$B$104,2,FALSE),0)),"要確認"))</ns0:f>
        <ns0:v/>
      </ns0:c>
      <ns0:c r="G665" s="7" t="n"/>
      <ns0:c r="H665" s="7" t="n"/>
      <ns0:c r="I665" s="8" t="str">
        <ns0:f>IF(OR(B665="",J665&lt;&gt;"販売済み",D665="",E665="",G665="",H665=""),"",IF(ISNUMBER(F665),E665-D665-F665-G665-H665,"要確認"))</ns0:f>
        <ns0:v/>
      </ns0:c>
      <ns0:c r="J665" s="6" t="n"/>
      <ns0:c r="K665" s="5" t="n"/>
      <ns0:c r="L665" s="9" t="str">
        <ns0:f>IF(AND(B665&lt;&gt;"",J665="在庫"),COUNTIFS($J$5:J665,"在庫",$B$5:B665,"&lt;&gt;"),"")</ns0:f>
        <ns0:v/>
      </ns0:c>
    </ns0:row>
    <ns0:row r="666">
      <ns0:c r="A666" s="5" t="n"/>
      <ns0:c r="B666" s="6" t="n"/>
      <ns0:c r="C666" s="6" t="n"/>
      <ns0:c r="D666" s="7" t="n"/>
      <ns0:c r="E666" s="7" t="n"/>
      <ns0:c r="F666" s="8" t="str">
        <ns0:f>IF(OR(B666="",J666&lt;&gt;"販売済み",E666="",C666=""),"",IFERROR(IF(OR(COUNTIF('手数料マスタ'!$A$5:$A$104,C666)&lt;&gt;1,COUNTIFS('手数料マスタ'!$A$5:$A$104,C666,'手数料マスタ'!$B$5:$B$104,"&lt;&gt;")&lt;&gt;1,NOT(ISNUMBER(VLOOKUP(C666,'手数料マスタ'!$A$5:$B$104,2,FALSE))),VLOOKUP(C666,'手数料マスタ'!$A$5:$B$104,2,FALSE)&lt;0,VLOOKUP(C666,'手数料マスタ'!$A$5:$B$104,2,FALSE)&gt;1),"要確認",ROUND(E666*VLOOKUP(C666,'手数料マスタ'!$A$5:$B$104,2,FALSE),0)),"要確認"))</ns0:f>
        <ns0:v/>
      </ns0:c>
      <ns0:c r="G666" s="7" t="n"/>
      <ns0:c r="H666" s="7" t="n"/>
      <ns0:c r="I666" s="8" t="str">
        <ns0:f>IF(OR(B666="",J666&lt;&gt;"販売済み",D666="",E666="",G666="",H666=""),"",IF(ISNUMBER(F666),E666-D666-F666-G666-H666,"要確認"))</ns0:f>
        <ns0:v/>
      </ns0:c>
      <ns0:c r="J666" s="6" t="n"/>
      <ns0:c r="K666" s="5" t="n"/>
      <ns0:c r="L666" s="9" t="str">
        <ns0:f>IF(AND(B666&lt;&gt;"",J666="在庫"),COUNTIFS($J$5:J666,"在庫",$B$5:B666,"&lt;&gt;"),"")</ns0:f>
        <ns0:v/>
      </ns0:c>
    </ns0:row>
    <ns0:row r="667">
      <ns0:c r="A667" s="5" t="n"/>
      <ns0:c r="B667" s="6" t="n"/>
      <ns0:c r="C667" s="6" t="n"/>
      <ns0:c r="D667" s="7" t="n"/>
      <ns0:c r="E667" s="7" t="n"/>
      <ns0:c r="F667" s="8" t="str">
        <ns0:f>IF(OR(B667="",J667&lt;&gt;"販売済み",E667="",C667=""),"",IFERROR(IF(OR(COUNTIF('手数料マスタ'!$A$5:$A$104,C667)&lt;&gt;1,COUNTIFS('手数料マスタ'!$A$5:$A$104,C667,'手数料マスタ'!$B$5:$B$104,"&lt;&gt;")&lt;&gt;1,NOT(ISNUMBER(VLOOKUP(C667,'手数料マスタ'!$A$5:$B$104,2,FALSE))),VLOOKUP(C667,'手数料マスタ'!$A$5:$B$104,2,FALSE)&lt;0,VLOOKUP(C667,'手数料マスタ'!$A$5:$B$104,2,FALSE)&gt;1),"要確認",ROUND(E667*VLOOKUP(C667,'手数料マスタ'!$A$5:$B$104,2,FALSE),0)),"要確認"))</ns0:f>
        <ns0:v/>
      </ns0:c>
      <ns0:c r="G667" s="7" t="n"/>
      <ns0:c r="H667" s="7" t="n"/>
      <ns0:c r="I667" s="8" t="str">
        <ns0:f>IF(OR(B667="",J667&lt;&gt;"販売済み",D667="",E667="",G667="",H667=""),"",IF(ISNUMBER(F667),E667-D667-F667-G667-H667,"要確認"))</ns0:f>
        <ns0:v/>
      </ns0:c>
      <ns0:c r="J667" s="6" t="n"/>
      <ns0:c r="K667" s="5" t="n"/>
      <ns0:c r="L667" s="9" t="str">
        <ns0:f>IF(AND(B667&lt;&gt;"",J667="在庫"),COUNTIFS($J$5:J667,"在庫",$B$5:B667,"&lt;&gt;"),"")</ns0:f>
        <ns0:v/>
      </ns0:c>
    </ns0:row>
    <ns0:row r="668">
      <ns0:c r="A668" s="5" t="n"/>
      <ns0:c r="B668" s="6" t="n"/>
      <ns0:c r="C668" s="6" t="n"/>
      <ns0:c r="D668" s="7" t="n"/>
      <ns0:c r="E668" s="7" t="n"/>
      <ns0:c r="F668" s="8" t="str">
        <ns0:f>IF(OR(B668="",J668&lt;&gt;"販売済み",E668="",C668=""),"",IFERROR(IF(OR(COUNTIF('手数料マスタ'!$A$5:$A$104,C668)&lt;&gt;1,COUNTIFS('手数料マスタ'!$A$5:$A$104,C668,'手数料マスタ'!$B$5:$B$104,"&lt;&gt;")&lt;&gt;1,NOT(ISNUMBER(VLOOKUP(C668,'手数料マスタ'!$A$5:$B$104,2,FALSE))),VLOOKUP(C668,'手数料マスタ'!$A$5:$B$104,2,FALSE)&lt;0,VLOOKUP(C668,'手数料マスタ'!$A$5:$B$104,2,FALSE)&gt;1),"要確認",ROUND(E668*VLOOKUP(C668,'手数料マスタ'!$A$5:$B$104,2,FALSE),0)),"要確認"))</ns0:f>
        <ns0:v/>
      </ns0:c>
      <ns0:c r="G668" s="7" t="n"/>
      <ns0:c r="H668" s="7" t="n"/>
      <ns0:c r="I668" s="8" t="str">
        <ns0:f>IF(OR(B668="",J668&lt;&gt;"販売済み",D668="",E668="",G668="",H668=""),"",IF(ISNUMBER(F668),E668-D668-F668-G668-H668,"要確認"))</ns0:f>
        <ns0:v/>
      </ns0:c>
      <ns0:c r="J668" s="6" t="n"/>
      <ns0:c r="K668" s="5" t="n"/>
      <ns0:c r="L668" s="9" t="str">
        <ns0:f>IF(AND(B668&lt;&gt;"",J668="在庫"),COUNTIFS($J$5:J668,"在庫",$B$5:B668,"&lt;&gt;"),"")</ns0:f>
        <ns0:v/>
      </ns0:c>
    </ns0:row>
    <ns0:row r="669">
      <ns0:c r="A669" s="5" t="n"/>
      <ns0:c r="B669" s="6" t="n"/>
      <ns0:c r="C669" s="6" t="n"/>
      <ns0:c r="D669" s="7" t="n"/>
      <ns0:c r="E669" s="7" t="n"/>
      <ns0:c r="F669" s="8" t="str">
        <ns0:f>IF(OR(B669="",J669&lt;&gt;"販売済み",E669="",C669=""),"",IFERROR(IF(OR(COUNTIF('手数料マスタ'!$A$5:$A$104,C669)&lt;&gt;1,COUNTIFS('手数料マスタ'!$A$5:$A$104,C669,'手数料マスタ'!$B$5:$B$104,"&lt;&gt;")&lt;&gt;1,NOT(ISNUMBER(VLOOKUP(C669,'手数料マスタ'!$A$5:$B$104,2,FALSE))),VLOOKUP(C669,'手数料マスタ'!$A$5:$B$104,2,FALSE)&lt;0,VLOOKUP(C669,'手数料マスタ'!$A$5:$B$104,2,FALSE)&gt;1),"要確認",ROUND(E669*VLOOKUP(C669,'手数料マスタ'!$A$5:$B$104,2,FALSE),0)),"要確認"))</ns0:f>
        <ns0:v/>
      </ns0:c>
      <ns0:c r="G669" s="7" t="n"/>
      <ns0:c r="H669" s="7" t="n"/>
      <ns0:c r="I669" s="8" t="str">
        <ns0:f>IF(OR(B669="",J669&lt;&gt;"販売済み",D669="",E669="",G669="",H669=""),"",IF(ISNUMBER(F669),E669-D669-F669-G669-H669,"要確認"))</ns0:f>
        <ns0:v/>
      </ns0:c>
      <ns0:c r="J669" s="6" t="n"/>
      <ns0:c r="K669" s="5" t="n"/>
      <ns0:c r="L669" s="9" t="str">
        <ns0:f>IF(AND(B669&lt;&gt;"",J669="在庫"),COUNTIFS($J$5:J669,"在庫",$B$5:B669,"&lt;&gt;"),"")</ns0:f>
        <ns0:v/>
      </ns0:c>
    </ns0:row>
    <ns0:row r="670">
      <ns0:c r="A670" s="5" t="n"/>
      <ns0:c r="B670" s="6" t="n"/>
      <ns0:c r="C670" s="6" t="n"/>
      <ns0:c r="D670" s="7" t="n"/>
      <ns0:c r="E670" s="7" t="n"/>
      <ns0:c r="F670" s="8" t="str">
        <ns0:f>IF(OR(B670="",J670&lt;&gt;"販売済み",E670="",C670=""),"",IFERROR(IF(OR(COUNTIF('手数料マスタ'!$A$5:$A$104,C670)&lt;&gt;1,COUNTIFS('手数料マスタ'!$A$5:$A$104,C670,'手数料マスタ'!$B$5:$B$104,"&lt;&gt;")&lt;&gt;1,NOT(ISNUMBER(VLOOKUP(C670,'手数料マスタ'!$A$5:$B$104,2,FALSE))),VLOOKUP(C670,'手数料マスタ'!$A$5:$B$104,2,FALSE)&lt;0,VLOOKUP(C670,'手数料マスタ'!$A$5:$B$104,2,FALSE)&gt;1),"要確認",ROUND(E670*VLOOKUP(C670,'手数料マスタ'!$A$5:$B$104,2,FALSE),0)),"要確認"))</ns0:f>
        <ns0:v/>
      </ns0:c>
      <ns0:c r="G670" s="7" t="n"/>
      <ns0:c r="H670" s="7" t="n"/>
      <ns0:c r="I670" s="8" t="str">
        <ns0:f>IF(OR(B670="",J670&lt;&gt;"販売済み",D670="",E670="",G670="",H670=""),"",IF(ISNUMBER(F670),E670-D670-F670-G670-H670,"要確認"))</ns0:f>
        <ns0:v/>
      </ns0:c>
      <ns0:c r="J670" s="6" t="n"/>
      <ns0:c r="K670" s="5" t="n"/>
      <ns0:c r="L670" s="9" t="str">
        <ns0:f>IF(AND(B670&lt;&gt;"",J670="在庫"),COUNTIFS($J$5:J670,"在庫",$B$5:B670,"&lt;&gt;"),"")</ns0:f>
        <ns0:v/>
      </ns0:c>
    </ns0:row>
    <ns0:row r="671">
      <ns0:c r="A671" s="5" t="n"/>
      <ns0:c r="B671" s="6" t="n"/>
      <ns0:c r="C671" s="6" t="n"/>
      <ns0:c r="D671" s="7" t="n"/>
      <ns0:c r="E671" s="7" t="n"/>
      <ns0:c r="F671" s="8" t="str">
        <ns0:f>IF(OR(B671="",J671&lt;&gt;"販売済み",E671="",C671=""),"",IFERROR(IF(OR(COUNTIF('手数料マスタ'!$A$5:$A$104,C671)&lt;&gt;1,COUNTIFS('手数料マスタ'!$A$5:$A$104,C671,'手数料マスタ'!$B$5:$B$104,"&lt;&gt;")&lt;&gt;1,NOT(ISNUMBER(VLOOKUP(C671,'手数料マスタ'!$A$5:$B$104,2,FALSE))),VLOOKUP(C671,'手数料マスタ'!$A$5:$B$104,2,FALSE)&lt;0,VLOOKUP(C671,'手数料マスタ'!$A$5:$B$104,2,FALSE)&gt;1),"要確認",ROUND(E671*VLOOKUP(C671,'手数料マスタ'!$A$5:$B$104,2,FALSE),0)),"要確認"))</ns0:f>
        <ns0:v/>
      </ns0:c>
      <ns0:c r="G671" s="7" t="n"/>
      <ns0:c r="H671" s="7" t="n"/>
      <ns0:c r="I671" s="8" t="str">
        <ns0:f>IF(OR(B671="",J671&lt;&gt;"販売済み",D671="",E671="",G671="",H671=""),"",IF(ISNUMBER(F671),E671-D671-F671-G671-H671,"要確認"))</ns0:f>
        <ns0:v/>
      </ns0:c>
      <ns0:c r="J671" s="6" t="n"/>
      <ns0:c r="K671" s="5" t="n"/>
      <ns0:c r="L671" s="9" t="str">
        <ns0:f>IF(AND(B671&lt;&gt;"",J671="在庫"),COUNTIFS($J$5:J671,"在庫",$B$5:B671,"&lt;&gt;"),"")</ns0:f>
        <ns0:v/>
      </ns0:c>
    </ns0:row>
    <ns0:row r="672">
      <ns0:c r="A672" s="5" t="n"/>
      <ns0:c r="B672" s="6" t="n"/>
      <ns0:c r="C672" s="6" t="n"/>
      <ns0:c r="D672" s="7" t="n"/>
      <ns0:c r="E672" s="7" t="n"/>
      <ns0:c r="F672" s="8" t="str">
        <ns0:f>IF(OR(B672="",J672&lt;&gt;"販売済み",E672="",C672=""),"",IFERROR(IF(OR(COUNTIF('手数料マスタ'!$A$5:$A$104,C672)&lt;&gt;1,COUNTIFS('手数料マスタ'!$A$5:$A$104,C672,'手数料マスタ'!$B$5:$B$104,"&lt;&gt;")&lt;&gt;1,NOT(ISNUMBER(VLOOKUP(C672,'手数料マスタ'!$A$5:$B$104,2,FALSE))),VLOOKUP(C672,'手数料マスタ'!$A$5:$B$104,2,FALSE)&lt;0,VLOOKUP(C672,'手数料マスタ'!$A$5:$B$104,2,FALSE)&gt;1),"要確認",ROUND(E672*VLOOKUP(C672,'手数料マスタ'!$A$5:$B$104,2,FALSE),0)),"要確認"))</ns0:f>
        <ns0:v/>
      </ns0:c>
      <ns0:c r="G672" s="7" t="n"/>
      <ns0:c r="H672" s="7" t="n"/>
      <ns0:c r="I672" s="8" t="str">
        <ns0:f>IF(OR(B672="",J672&lt;&gt;"販売済み",D672="",E672="",G672="",H672=""),"",IF(ISNUMBER(F672),E672-D672-F672-G672-H672,"要確認"))</ns0:f>
        <ns0:v/>
      </ns0:c>
      <ns0:c r="J672" s="6" t="n"/>
      <ns0:c r="K672" s="5" t="n"/>
      <ns0:c r="L672" s="9" t="str">
        <ns0:f>IF(AND(B672&lt;&gt;"",J672="在庫"),COUNTIFS($J$5:J672,"在庫",$B$5:B672,"&lt;&gt;"),"")</ns0:f>
        <ns0:v/>
      </ns0:c>
    </ns0:row>
    <ns0:row r="673">
      <ns0:c r="A673" s="5" t="n"/>
      <ns0:c r="B673" s="6" t="n"/>
      <ns0:c r="C673" s="6" t="n"/>
      <ns0:c r="D673" s="7" t="n"/>
      <ns0:c r="E673" s="7" t="n"/>
      <ns0:c r="F673" s="8" t="str">
        <ns0:f>IF(OR(B673="",J673&lt;&gt;"販売済み",E673="",C673=""),"",IFERROR(IF(OR(COUNTIF('手数料マスタ'!$A$5:$A$104,C673)&lt;&gt;1,COUNTIFS('手数料マスタ'!$A$5:$A$104,C673,'手数料マスタ'!$B$5:$B$104,"&lt;&gt;")&lt;&gt;1,NOT(ISNUMBER(VLOOKUP(C673,'手数料マスタ'!$A$5:$B$104,2,FALSE))),VLOOKUP(C673,'手数料マスタ'!$A$5:$B$104,2,FALSE)&lt;0,VLOOKUP(C673,'手数料マスタ'!$A$5:$B$104,2,FALSE)&gt;1),"要確認",ROUND(E673*VLOOKUP(C673,'手数料マスタ'!$A$5:$B$104,2,FALSE),0)),"要確認"))</ns0:f>
        <ns0:v/>
      </ns0:c>
      <ns0:c r="G673" s="7" t="n"/>
      <ns0:c r="H673" s="7" t="n"/>
      <ns0:c r="I673" s="8" t="str">
        <ns0:f>IF(OR(B673="",J673&lt;&gt;"販売済み",D673="",E673="",G673="",H673=""),"",IF(ISNUMBER(F673),E673-D673-F673-G673-H673,"要確認"))</ns0:f>
        <ns0:v/>
      </ns0:c>
      <ns0:c r="J673" s="6" t="n"/>
      <ns0:c r="K673" s="5" t="n"/>
      <ns0:c r="L673" s="9" t="str">
        <ns0:f>IF(AND(B673&lt;&gt;"",J673="在庫"),COUNTIFS($J$5:J673,"在庫",$B$5:B673,"&lt;&gt;"),"")</ns0:f>
        <ns0:v/>
      </ns0:c>
    </ns0:row>
    <ns0:row r="674">
      <ns0:c r="A674" s="5" t="n"/>
      <ns0:c r="B674" s="6" t="n"/>
      <ns0:c r="C674" s="6" t="n"/>
      <ns0:c r="D674" s="7" t="n"/>
      <ns0:c r="E674" s="7" t="n"/>
      <ns0:c r="F674" s="8" t="str">
        <ns0:f>IF(OR(B674="",J674&lt;&gt;"販売済み",E674="",C674=""),"",IFERROR(IF(OR(COUNTIF('手数料マスタ'!$A$5:$A$104,C674)&lt;&gt;1,COUNTIFS('手数料マスタ'!$A$5:$A$104,C674,'手数料マスタ'!$B$5:$B$104,"&lt;&gt;")&lt;&gt;1,NOT(ISNUMBER(VLOOKUP(C674,'手数料マスタ'!$A$5:$B$104,2,FALSE))),VLOOKUP(C674,'手数料マスタ'!$A$5:$B$104,2,FALSE)&lt;0,VLOOKUP(C674,'手数料マスタ'!$A$5:$B$104,2,FALSE)&gt;1),"要確認",ROUND(E674*VLOOKUP(C674,'手数料マスタ'!$A$5:$B$104,2,FALSE),0)),"要確認"))</ns0:f>
        <ns0:v/>
      </ns0:c>
      <ns0:c r="G674" s="7" t="n"/>
      <ns0:c r="H674" s="7" t="n"/>
      <ns0:c r="I674" s="8" t="str">
        <ns0:f>IF(OR(B674="",J674&lt;&gt;"販売済み",D674="",E674="",G674="",H674=""),"",IF(ISNUMBER(F674),E674-D674-F674-G674-H674,"要確認"))</ns0:f>
        <ns0:v/>
      </ns0:c>
      <ns0:c r="J674" s="6" t="n"/>
      <ns0:c r="K674" s="5" t="n"/>
      <ns0:c r="L674" s="9" t="str">
        <ns0:f>IF(AND(B674&lt;&gt;"",J674="在庫"),COUNTIFS($J$5:J674,"在庫",$B$5:B674,"&lt;&gt;"),"")</ns0:f>
        <ns0:v/>
      </ns0:c>
    </ns0:row>
    <ns0:row r="675">
      <ns0:c r="A675" s="5" t="n"/>
      <ns0:c r="B675" s="6" t="n"/>
      <ns0:c r="C675" s="6" t="n"/>
      <ns0:c r="D675" s="7" t="n"/>
      <ns0:c r="E675" s="7" t="n"/>
      <ns0:c r="F675" s="8" t="str">
        <ns0:f>IF(OR(B675="",J675&lt;&gt;"販売済み",E675="",C675=""),"",IFERROR(IF(OR(COUNTIF('手数料マスタ'!$A$5:$A$104,C675)&lt;&gt;1,COUNTIFS('手数料マスタ'!$A$5:$A$104,C675,'手数料マスタ'!$B$5:$B$104,"&lt;&gt;")&lt;&gt;1,NOT(ISNUMBER(VLOOKUP(C675,'手数料マスタ'!$A$5:$B$104,2,FALSE))),VLOOKUP(C675,'手数料マスタ'!$A$5:$B$104,2,FALSE)&lt;0,VLOOKUP(C675,'手数料マスタ'!$A$5:$B$104,2,FALSE)&gt;1),"要確認",ROUND(E675*VLOOKUP(C675,'手数料マスタ'!$A$5:$B$104,2,FALSE),0)),"要確認"))</ns0:f>
        <ns0:v/>
      </ns0:c>
      <ns0:c r="G675" s="7" t="n"/>
      <ns0:c r="H675" s="7" t="n"/>
      <ns0:c r="I675" s="8" t="str">
        <ns0:f>IF(OR(B675="",J675&lt;&gt;"販売済み",D675="",E675="",G675="",H675=""),"",IF(ISNUMBER(F675),E675-D675-F675-G675-H675,"要確認"))</ns0:f>
        <ns0:v/>
      </ns0:c>
      <ns0:c r="J675" s="6" t="n"/>
      <ns0:c r="K675" s="5" t="n"/>
      <ns0:c r="L675" s="9" t="str">
        <ns0:f>IF(AND(B675&lt;&gt;"",J675="在庫"),COUNTIFS($J$5:J675,"在庫",$B$5:B675,"&lt;&gt;"),"")</ns0:f>
        <ns0:v/>
      </ns0:c>
    </ns0:row>
    <ns0:row r="676">
      <ns0:c r="A676" s="5" t="n"/>
      <ns0:c r="B676" s="6" t="n"/>
      <ns0:c r="C676" s="6" t="n"/>
      <ns0:c r="D676" s="7" t="n"/>
      <ns0:c r="E676" s="7" t="n"/>
      <ns0:c r="F676" s="8" t="str">
        <ns0:f>IF(OR(B676="",J676&lt;&gt;"販売済み",E676="",C676=""),"",IFERROR(IF(OR(COUNTIF('手数料マスタ'!$A$5:$A$104,C676)&lt;&gt;1,COUNTIFS('手数料マスタ'!$A$5:$A$104,C676,'手数料マスタ'!$B$5:$B$104,"&lt;&gt;")&lt;&gt;1,NOT(ISNUMBER(VLOOKUP(C676,'手数料マスタ'!$A$5:$B$104,2,FALSE))),VLOOKUP(C676,'手数料マスタ'!$A$5:$B$104,2,FALSE)&lt;0,VLOOKUP(C676,'手数料マスタ'!$A$5:$B$104,2,FALSE)&gt;1),"要確認",ROUND(E676*VLOOKUP(C676,'手数料マスタ'!$A$5:$B$104,2,FALSE),0)),"要確認"))</ns0:f>
        <ns0:v/>
      </ns0:c>
      <ns0:c r="G676" s="7" t="n"/>
      <ns0:c r="H676" s="7" t="n"/>
      <ns0:c r="I676" s="8" t="str">
        <ns0:f>IF(OR(B676="",J676&lt;&gt;"販売済み",D676="",E676="",G676="",H676=""),"",IF(ISNUMBER(F676),E676-D676-F676-G676-H676,"要確認"))</ns0:f>
        <ns0:v/>
      </ns0:c>
      <ns0:c r="J676" s="6" t="n"/>
      <ns0:c r="K676" s="5" t="n"/>
      <ns0:c r="L676" s="9" t="str">
        <ns0:f>IF(AND(B676&lt;&gt;"",J676="在庫"),COUNTIFS($J$5:J676,"在庫",$B$5:B676,"&lt;&gt;"),"")</ns0:f>
        <ns0:v/>
      </ns0:c>
    </ns0:row>
    <ns0:row r="677">
      <ns0:c r="A677" s="5" t="n"/>
      <ns0:c r="B677" s="6" t="n"/>
      <ns0:c r="C677" s="6" t="n"/>
      <ns0:c r="D677" s="7" t="n"/>
      <ns0:c r="E677" s="7" t="n"/>
      <ns0:c r="F677" s="8" t="str">
        <ns0:f>IF(OR(B677="",J677&lt;&gt;"販売済み",E677="",C677=""),"",IFERROR(IF(OR(COUNTIF('手数料マスタ'!$A$5:$A$104,C677)&lt;&gt;1,COUNTIFS('手数料マスタ'!$A$5:$A$104,C677,'手数料マスタ'!$B$5:$B$104,"&lt;&gt;")&lt;&gt;1,NOT(ISNUMBER(VLOOKUP(C677,'手数料マスタ'!$A$5:$B$104,2,FALSE))),VLOOKUP(C677,'手数料マスタ'!$A$5:$B$104,2,FALSE)&lt;0,VLOOKUP(C677,'手数料マスタ'!$A$5:$B$104,2,FALSE)&gt;1),"要確認",ROUND(E677*VLOOKUP(C677,'手数料マスタ'!$A$5:$B$104,2,FALSE),0)),"要確認"))</ns0:f>
        <ns0:v/>
      </ns0:c>
      <ns0:c r="G677" s="7" t="n"/>
      <ns0:c r="H677" s="7" t="n"/>
      <ns0:c r="I677" s="8" t="str">
        <ns0:f>IF(OR(B677="",J677&lt;&gt;"販売済み",D677="",E677="",G677="",H677=""),"",IF(ISNUMBER(F677),E677-D677-F677-G677-H677,"要確認"))</ns0:f>
        <ns0:v/>
      </ns0:c>
      <ns0:c r="J677" s="6" t="n"/>
      <ns0:c r="K677" s="5" t="n"/>
      <ns0:c r="L677" s="9" t="str">
        <ns0:f>IF(AND(B677&lt;&gt;"",J677="在庫"),COUNTIFS($J$5:J677,"在庫",$B$5:B677,"&lt;&gt;"),"")</ns0:f>
        <ns0:v/>
      </ns0:c>
    </ns0:row>
    <ns0:row r="678">
      <ns0:c r="A678" s="5" t="n"/>
      <ns0:c r="B678" s="6" t="n"/>
      <ns0:c r="C678" s="6" t="n"/>
      <ns0:c r="D678" s="7" t="n"/>
      <ns0:c r="E678" s="7" t="n"/>
      <ns0:c r="F678" s="8" t="str">
        <ns0:f>IF(OR(B678="",J678&lt;&gt;"販売済み",E678="",C678=""),"",IFERROR(IF(OR(COUNTIF('手数料マスタ'!$A$5:$A$104,C678)&lt;&gt;1,COUNTIFS('手数料マスタ'!$A$5:$A$104,C678,'手数料マスタ'!$B$5:$B$104,"&lt;&gt;")&lt;&gt;1,NOT(ISNUMBER(VLOOKUP(C678,'手数料マスタ'!$A$5:$B$104,2,FALSE))),VLOOKUP(C678,'手数料マスタ'!$A$5:$B$104,2,FALSE)&lt;0,VLOOKUP(C678,'手数料マスタ'!$A$5:$B$104,2,FALSE)&gt;1),"要確認",ROUND(E678*VLOOKUP(C678,'手数料マスタ'!$A$5:$B$104,2,FALSE),0)),"要確認"))</ns0:f>
        <ns0:v/>
      </ns0:c>
      <ns0:c r="G678" s="7" t="n"/>
      <ns0:c r="H678" s="7" t="n"/>
      <ns0:c r="I678" s="8" t="str">
        <ns0:f>IF(OR(B678="",J678&lt;&gt;"販売済み",D678="",E678="",G678="",H678=""),"",IF(ISNUMBER(F678),E678-D678-F678-G678-H678,"要確認"))</ns0:f>
        <ns0:v/>
      </ns0:c>
      <ns0:c r="J678" s="6" t="n"/>
      <ns0:c r="K678" s="5" t="n"/>
      <ns0:c r="L678" s="9" t="str">
        <ns0:f>IF(AND(B678&lt;&gt;"",J678="在庫"),COUNTIFS($J$5:J678,"在庫",$B$5:B678,"&lt;&gt;"),"")</ns0:f>
        <ns0:v/>
      </ns0:c>
    </ns0:row>
    <ns0:row r="679">
      <ns0:c r="A679" s="5" t="n"/>
      <ns0:c r="B679" s="6" t="n"/>
      <ns0:c r="C679" s="6" t="n"/>
      <ns0:c r="D679" s="7" t="n"/>
      <ns0:c r="E679" s="7" t="n"/>
      <ns0:c r="F679" s="8" t="str">
        <ns0:f>IF(OR(B679="",J679&lt;&gt;"販売済み",E679="",C679=""),"",IFERROR(IF(OR(COUNTIF('手数料マスタ'!$A$5:$A$104,C679)&lt;&gt;1,COUNTIFS('手数料マスタ'!$A$5:$A$104,C679,'手数料マスタ'!$B$5:$B$104,"&lt;&gt;")&lt;&gt;1,NOT(ISNUMBER(VLOOKUP(C679,'手数料マスタ'!$A$5:$B$104,2,FALSE))),VLOOKUP(C679,'手数料マスタ'!$A$5:$B$104,2,FALSE)&lt;0,VLOOKUP(C679,'手数料マスタ'!$A$5:$B$104,2,FALSE)&gt;1),"要確認",ROUND(E679*VLOOKUP(C679,'手数料マスタ'!$A$5:$B$104,2,FALSE),0)),"要確認"))</ns0:f>
        <ns0:v/>
      </ns0:c>
      <ns0:c r="G679" s="7" t="n"/>
      <ns0:c r="H679" s="7" t="n"/>
      <ns0:c r="I679" s="8" t="str">
        <ns0:f>IF(OR(B679="",J679&lt;&gt;"販売済み",D679="",E679="",G679="",H679=""),"",IF(ISNUMBER(F679),E679-D679-F679-G679-H679,"要確認"))</ns0:f>
        <ns0:v/>
      </ns0:c>
      <ns0:c r="J679" s="6" t="n"/>
      <ns0:c r="K679" s="5" t="n"/>
      <ns0:c r="L679" s="9" t="str">
        <ns0:f>IF(AND(B679&lt;&gt;"",J679="在庫"),COUNTIFS($J$5:J679,"在庫",$B$5:B679,"&lt;&gt;"),"")</ns0:f>
        <ns0:v/>
      </ns0:c>
    </ns0:row>
    <ns0:row r="680">
      <ns0:c r="A680" s="5" t="n"/>
      <ns0:c r="B680" s="6" t="n"/>
      <ns0:c r="C680" s="6" t="n"/>
      <ns0:c r="D680" s="7" t="n"/>
      <ns0:c r="E680" s="7" t="n"/>
      <ns0:c r="F680" s="8" t="str">
        <ns0:f>IF(OR(B680="",J680&lt;&gt;"販売済み",E680="",C680=""),"",IFERROR(IF(OR(COUNTIF('手数料マスタ'!$A$5:$A$104,C680)&lt;&gt;1,COUNTIFS('手数料マスタ'!$A$5:$A$104,C680,'手数料マスタ'!$B$5:$B$104,"&lt;&gt;")&lt;&gt;1,NOT(ISNUMBER(VLOOKUP(C680,'手数料マスタ'!$A$5:$B$104,2,FALSE))),VLOOKUP(C680,'手数料マスタ'!$A$5:$B$104,2,FALSE)&lt;0,VLOOKUP(C680,'手数料マスタ'!$A$5:$B$104,2,FALSE)&gt;1),"要確認",ROUND(E680*VLOOKUP(C680,'手数料マスタ'!$A$5:$B$104,2,FALSE),0)),"要確認"))</ns0:f>
        <ns0:v/>
      </ns0:c>
      <ns0:c r="G680" s="7" t="n"/>
      <ns0:c r="H680" s="7" t="n"/>
      <ns0:c r="I680" s="8" t="str">
        <ns0:f>IF(OR(B680="",J680&lt;&gt;"販売済み",D680="",E680="",G680="",H680=""),"",IF(ISNUMBER(F680),E680-D680-F680-G680-H680,"要確認"))</ns0:f>
        <ns0:v/>
      </ns0:c>
      <ns0:c r="J680" s="6" t="n"/>
      <ns0:c r="K680" s="5" t="n"/>
      <ns0:c r="L680" s="9" t="str">
        <ns0:f>IF(AND(B680&lt;&gt;"",J680="在庫"),COUNTIFS($J$5:J680,"在庫",$B$5:B680,"&lt;&gt;"),"")</ns0:f>
        <ns0:v/>
      </ns0:c>
    </ns0:row>
    <ns0:row r="681">
      <ns0:c r="A681" s="5" t="n"/>
      <ns0:c r="B681" s="6" t="n"/>
      <ns0:c r="C681" s="6" t="n"/>
      <ns0:c r="D681" s="7" t="n"/>
      <ns0:c r="E681" s="7" t="n"/>
      <ns0:c r="F681" s="8" t="str">
        <ns0:f>IF(OR(B681="",J681&lt;&gt;"販売済み",E681="",C681=""),"",IFERROR(IF(OR(COUNTIF('手数料マスタ'!$A$5:$A$104,C681)&lt;&gt;1,COUNTIFS('手数料マスタ'!$A$5:$A$104,C681,'手数料マスタ'!$B$5:$B$104,"&lt;&gt;")&lt;&gt;1,NOT(ISNUMBER(VLOOKUP(C681,'手数料マスタ'!$A$5:$B$104,2,FALSE))),VLOOKUP(C681,'手数料マスタ'!$A$5:$B$104,2,FALSE)&lt;0,VLOOKUP(C681,'手数料マスタ'!$A$5:$B$104,2,FALSE)&gt;1),"要確認",ROUND(E681*VLOOKUP(C681,'手数料マスタ'!$A$5:$B$104,2,FALSE),0)),"要確認"))</ns0:f>
        <ns0:v/>
      </ns0:c>
      <ns0:c r="G681" s="7" t="n"/>
      <ns0:c r="H681" s="7" t="n"/>
      <ns0:c r="I681" s="8" t="str">
        <ns0:f>IF(OR(B681="",J681&lt;&gt;"販売済み",D681="",E681="",G681="",H681=""),"",IF(ISNUMBER(F681),E681-D681-F681-G681-H681,"要確認"))</ns0:f>
        <ns0:v/>
      </ns0:c>
      <ns0:c r="J681" s="6" t="n"/>
      <ns0:c r="K681" s="5" t="n"/>
      <ns0:c r="L681" s="9" t="str">
        <ns0:f>IF(AND(B681&lt;&gt;"",J681="在庫"),COUNTIFS($J$5:J681,"在庫",$B$5:B681,"&lt;&gt;"),"")</ns0:f>
        <ns0:v/>
      </ns0:c>
    </ns0:row>
    <ns0:row r="682">
      <ns0:c r="A682" s="5" t="n"/>
      <ns0:c r="B682" s="6" t="n"/>
      <ns0:c r="C682" s="6" t="n"/>
      <ns0:c r="D682" s="7" t="n"/>
      <ns0:c r="E682" s="7" t="n"/>
      <ns0:c r="F682" s="8" t="str">
        <ns0:f>IF(OR(B682="",J682&lt;&gt;"販売済み",E682="",C682=""),"",IFERROR(IF(OR(COUNTIF('手数料マスタ'!$A$5:$A$104,C682)&lt;&gt;1,COUNTIFS('手数料マスタ'!$A$5:$A$104,C682,'手数料マスタ'!$B$5:$B$104,"&lt;&gt;")&lt;&gt;1,NOT(ISNUMBER(VLOOKUP(C682,'手数料マスタ'!$A$5:$B$104,2,FALSE))),VLOOKUP(C682,'手数料マスタ'!$A$5:$B$104,2,FALSE)&lt;0,VLOOKUP(C682,'手数料マスタ'!$A$5:$B$104,2,FALSE)&gt;1),"要確認",ROUND(E682*VLOOKUP(C682,'手数料マスタ'!$A$5:$B$104,2,FALSE),0)),"要確認"))</ns0:f>
        <ns0:v/>
      </ns0:c>
      <ns0:c r="G682" s="7" t="n"/>
      <ns0:c r="H682" s="7" t="n"/>
      <ns0:c r="I682" s="8" t="str">
        <ns0:f>IF(OR(B682="",J682&lt;&gt;"販売済み",D682="",E682="",G682="",H682=""),"",IF(ISNUMBER(F682),E682-D682-F682-G682-H682,"要確認"))</ns0:f>
        <ns0:v/>
      </ns0:c>
      <ns0:c r="J682" s="6" t="n"/>
      <ns0:c r="K682" s="5" t="n"/>
      <ns0:c r="L682" s="9" t="str">
        <ns0:f>IF(AND(B682&lt;&gt;"",J682="在庫"),COUNTIFS($J$5:J682,"在庫",$B$5:B682,"&lt;&gt;"),"")</ns0:f>
        <ns0:v/>
      </ns0:c>
    </ns0:row>
    <ns0:row r="683">
      <ns0:c r="A683" s="5" t="n"/>
      <ns0:c r="B683" s="6" t="n"/>
      <ns0:c r="C683" s="6" t="n"/>
      <ns0:c r="D683" s="7" t="n"/>
      <ns0:c r="E683" s="7" t="n"/>
      <ns0:c r="F683" s="8" t="str">
        <ns0:f>IF(OR(B683="",J683&lt;&gt;"販売済み",E683="",C683=""),"",IFERROR(IF(OR(COUNTIF('手数料マスタ'!$A$5:$A$104,C683)&lt;&gt;1,COUNTIFS('手数料マスタ'!$A$5:$A$104,C683,'手数料マスタ'!$B$5:$B$104,"&lt;&gt;")&lt;&gt;1,NOT(ISNUMBER(VLOOKUP(C683,'手数料マスタ'!$A$5:$B$104,2,FALSE))),VLOOKUP(C683,'手数料マスタ'!$A$5:$B$104,2,FALSE)&lt;0,VLOOKUP(C683,'手数料マスタ'!$A$5:$B$104,2,FALSE)&gt;1),"要確認",ROUND(E683*VLOOKUP(C683,'手数料マスタ'!$A$5:$B$104,2,FALSE),0)),"要確認"))</ns0:f>
        <ns0:v/>
      </ns0:c>
      <ns0:c r="G683" s="7" t="n"/>
      <ns0:c r="H683" s="7" t="n"/>
      <ns0:c r="I683" s="8" t="str">
        <ns0:f>IF(OR(B683="",J683&lt;&gt;"販売済み",D683="",E683="",G683="",H683=""),"",IF(ISNUMBER(F683),E683-D683-F683-G683-H683,"要確認"))</ns0:f>
        <ns0:v/>
      </ns0:c>
      <ns0:c r="J683" s="6" t="n"/>
      <ns0:c r="K683" s="5" t="n"/>
      <ns0:c r="L683" s="9" t="str">
        <ns0:f>IF(AND(B683&lt;&gt;"",J683="在庫"),COUNTIFS($J$5:J683,"在庫",$B$5:B683,"&lt;&gt;"),"")</ns0:f>
        <ns0:v/>
      </ns0:c>
    </ns0:row>
    <ns0:row r="684">
      <ns0:c r="A684" s="5" t="n"/>
      <ns0:c r="B684" s="6" t="n"/>
      <ns0:c r="C684" s="6" t="n"/>
      <ns0:c r="D684" s="7" t="n"/>
      <ns0:c r="E684" s="7" t="n"/>
      <ns0:c r="F684" s="8" t="str">
        <ns0:f>IF(OR(B684="",J684&lt;&gt;"販売済み",E684="",C684=""),"",IFERROR(IF(OR(COUNTIF('手数料マスタ'!$A$5:$A$104,C684)&lt;&gt;1,COUNTIFS('手数料マスタ'!$A$5:$A$104,C684,'手数料マスタ'!$B$5:$B$104,"&lt;&gt;")&lt;&gt;1,NOT(ISNUMBER(VLOOKUP(C684,'手数料マスタ'!$A$5:$B$104,2,FALSE))),VLOOKUP(C684,'手数料マスタ'!$A$5:$B$104,2,FALSE)&lt;0,VLOOKUP(C684,'手数料マスタ'!$A$5:$B$104,2,FALSE)&gt;1),"要確認",ROUND(E684*VLOOKUP(C684,'手数料マスタ'!$A$5:$B$104,2,FALSE),0)),"要確認"))</ns0:f>
        <ns0:v/>
      </ns0:c>
      <ns0:c r="G684" s="7" t="n"/>
      <ns0:c r="H684" s="7" t="n"/>
      <ns0:c r="I684" s="8" t="str">
        <ns0:f>IF(OR(B684="",J684&lt;&gt;"販売済み",D684="",E684="",G684="",H684=""),"",IF(ISNUMBER(F684),E684-D684-F684-G684-H684,"要確認"))</ns0:f>
        <ns0:v/>
      </ns0:c>
      <ns0:c r="J684" s="6" t="n"/>
      <ns0:c r="K684" s="5" t="n"/>
      <ns0:c r="L684" s="9" t="str">
        <ns0:f>IF(AND(B684&lt;&gt;"",J684="在庫"),COUNTIFS($J$5:J684,"在庫",$B$5:B684,"&lt;&gt;"),"")</ns0:f>
        <ns0:v/>
      </ns0:c>
    </ns0:row>
    <ns0:row r="685">
      <ns0:c r="A685" s="5" t="n"/>
      <ns0:c r="B685" s="6" t="n"/>
      <ns0:c r="C685" s="6" t="n"/>
      <ns0:c r="D685" s="7" t="n"/>
      <ns0:c r="E685" s="7" t="n"/>
      <ns0:c r="F685" s="8" t="str">
        <ns0:f>IF(OR(B685="",J685&lt;&gt;"販売済み",E685="",C685=""),"",IFERROR(IF(OR(COUNTIF('手数料マスタ'!$A$5:$A$104,C685)&lt;&gt;1,COUNTIFS('手数料マスタ'!$A$5:$A$104,C685,'手数料マスタ'!$B$5:$B$104,"&lt;&gt;")&lt;&gt;1,NOT(ISNUMBER(VLOOKUP(C685,'手数料マスタ'!$A$5:$B$104,2,FALSE))),VLOOKUP(C685,'手数料マスタ'!$A$5:$B$104,2,FALSE)&lt;0,VLOOKUP(C685,'手数料マスタ'!$A$5:$B$104,2,FALSE)&gt;1),"要確認",ROUND(E685*VLOOKUP(C685,'手数料マスタ'!$A$5:$B$104,2,FALSE),0)),"要確認"))</ns0:f>
        <ns0:v/>
      </ns0:c>
      <ns0:c r="G685" s="7" t="n"/>
      <ns0:c r="H685" s="7" t="n"/>
      <ns0:c r="I685" s="8" t="str">
        <ns0:f>IF(OR(B685="",J685&lt;&gt;"販売済み",D685="",E685="",G685="",H685=""),"",IF(ISNUMBER(F685),E685-D685-F685-G685-H685,"要確認"))</ns0:f>
        <ns0:v/>
      </ns0:c>
      <ns0:c r="J685" s="6" t="n"/>
      <ns0:c r="K685" s="5" t="n"/>
      <ns0:c r="L685" s="9" t="str">
        <ns0:f>IF(AND(B685&lt;&gt;"",J685="在庫"),COUNTIFS($J$5:J685,"在庫",$B$5:B685,"&lt;&gt;"),"")</ns0:f>
        <ns0:v/>
      </ns0:c>
    </ns0:row>
    <ns0:row r="686">
      <ns0:c r="A686" s="5" t="n"/>
      <ns0:c r="B686" s="6" t="n"/>
      <ns0:c r="C686" s="6" t="n"/>
      <ns0:c r="D686" s="7" t="n"/>
      <ns0:c r="E686" s="7" t="n"/>
      <ns0:c r="F686" s="8" t="str">
        <ns0:f>IF(OR(B686="",J686&lt;&gt;"販売済み",E686="",C686=""),"",IFERROR(IF(OR(COUNTIF('手数料マスタ'!$A$5:$A$104,C686)&lt;&gt;1,COUNTIFS('手数料マスタ'!$A$5:$A$104,C686,'手数料マスタ'!$B$5:$B$104,"&lt;&gt;")&lt;&gt;1,NOT(ISNUMBER(VLOOKUP(C686,'手数料マスタ'!$A$5:$B$104,2,FALSE))),VLOOKUP(C686,'手数料マスタ'!$A$5:$B$104,2,FALSE)&lt;0,VLOOKUP(C686,'手数料マスタ'!$A$5:$B$104,2,FALSE)&gt;1),"要確認",ROUND(E686*VLOOKUP(C686,'手数料マスタ'!$A$5:$B$104,2,FALSE),0)),"要確認"))</ns0:f>
        <ns0:v/>
      </ns0:c>
      <ns0:c r="G686" s="7" t="n"/>
      <ns0:c r="H686" s="7" t="n"/>
      <ns0:c r="I686" s="8" t="str">
        <ns0:f>IF(OR(B686="",J686&lt;&gt;"販売済み",D686="",E686="",G686="",H686=""),"",IF(ISNUMBER(F686),E686-D686-F686-G686-H686,"要確認"))</ns0:f>
        <ns0:v/>
      </ns0:c>
      <ns0:c r="J686" s="6" t="n"/>
      <ns0:c r="K686" s="5" t="n"/>
      <ns0:c r="L686" s="9" t="str">
        <ns0:f>IF(AND(B686&lt;&gt;"",J686="在庫"),COUNTIFS($J$5:J686,"在庫",$B$5:B686,"&lt;&gt;"),"")</ns0:f>
        <ns0:v/>
      </ns0:c>
    </ns0:row>
    <ns0:row r="687">
      <ns0:c r="A687" s="5" t="n"/>
      <ns0:c r="B687" s="6" t="n"/>
      <ns0:c r="C687" s="6" t="n"/>
      <ns0:c r="D687" s="7" t="n"/>
      <ns0:c r="E687" s="7" t="n"/>
      <ns0:c r="F687" s="8" t="str">
        <ns0:f>IF(OR(B687="",J687&lt;&gt;"販売済み",E687="",C687=""),"",IFERROR(IF(OR(COUNTIF('手数料マスタ'!$A$5:$A$104,C687)&lt;&gt;1,COUNTIFS('手数料マスタ'!$A$5:$A$104,C687,'手数料マスタ'!$B$5:$B$104,"&lt;&gt;")&lt;&gt;1,NOT(ISNUMBER(VLOOKUP(C687,'手数料マスタ'!$A$5:$B$104,2,FALSE))),VLOOKUP(C687,'手数料マスタ'!$A$5:$B$104,2,FALSE)&lt;0,VLOOKUP(C687,'手数料マスタ'!$A$5:$B$104,2,FALSE)&gt;1),"要確認",ROUND(E687*VLOOKUP(C687,'手数料マスタ'!$A$5:$B$104,2,FALSE),0)),"要確認"))</ns0:f>
        <ns0:v/>
      </ns0:c>
      <ns0:c r="G687" s="7" t="n"/>
      <ns0:c r="H687" s="7" t="n"/>
      <ns0:c r="I687" s="8" t="str">
        <ns0:f>IF(OR(B687="",J687&lt;&gt;"販売済み",D687="",E687="",G687="",H687=""),"",IF(ISNUMBER(F687),E687-D687-F687-G687-H687,"要確認"))</ns0:f>
        <ns0:v/>
      </ns0:c>
      <ns0:c r="J687" s="6" t="n"/>
      <ns0:c r="K687" s="5" t="n"/>
      <ns0:c r="L687" s="9" t="str">
        <ns0:f>IF(AND(B687&lt;&gt;"",J687="在庫"),COUNTIFS($J$5:J687,"在庫",$B$5:B687,"&lt;&gt;"),"")</ns0:f>
        <ns0:v/>
      </ns0:c>
    </ns0:row>
    <ns0:row r="688">
      <ns0:c r="A688" s="5" t="n"/>
      <ns0:c r="B688" s="6" t="n"/>
      <ns0:c r="C688" s="6" t="n"/>
      <ns0:c r="D688" s="7" t="n"/>
      <ns0:c r="E688" s="7" t="n"/>
      <ns0:c r="F688" s="8" t="str">
        <ns0:f>IF(OR(B688="",J688&lt;&gt;"販売済み",E688="",C688=""),"",IFERROR(IF(OR(COUNTIF('手数料マスタ'!$A$5:$A$104,C688)&lt;&gt;1,COUNTIFS('手数料マスタ'!$A$5:$A$104,C688,'手数料マスタ'!$B$5:$B$104,"&lt;&gt;")&lt;&gt;1,NOT(ISNUMBER(VLOOKUP(C688,'手数料マスタ'!$A$5:$B$104,2,FALSE))),VLOOKUP(C688,'手数料マスタ'!$A$5:$B$104,2,FALSE)&lt;0,VLOOKUP(C688,'手数料マスタ'!$A$5:$B$104,2,FALSE)&gt;1),"要確認",ROUND(E688*VLOOKUP(C688,'手数料マスタ'!$A$5:$B$104,2,FALSE),0)),"要確認"))</ns0:f>
        <ns0:v/>
      </ns0:c>
      <ns0:c r="G688" s="7" t="n"/>
      <ns0:c r="H688" s="7" t="n"/>
      <ns0:c r="I688" s="8" t="str">
        <ns0:f>IF(OR(B688="",J688&lt;&gt;"販売済み",D688="",E688="",G688="",H688=""),"",IF(ISNUMBER(F688),E688-D688-F688-G688-H688,"要確認"))</ns0:f>
        <ns0:v/>
      </ns0:c>
      <ns0:c r="J688" s="6" t="n"/>
      <ns0:c r="K688" s="5" t="n"/>
      <ns0:c r="L688" s="9" t="str">
        <ns0:f>IF(AND(B688&lt;&gt;"",J688="在庫"),COUNTIFS($J$5:J688,"在庫",$B$5:B688,"&lt;&gt;"),"")</ns0:f>
        <ns0:v/>
      </ns0:c>
    </ns0:row>
    <ns0:row r="689">
      <ns0:c r="A689" s="5" t="n"/>
      <ns0:c r="B689" s="6" t="n"/>
      <ns0:c r="C689" s="6" t="n"/>
      <ns0:c r="D689" s="7" t="n"/>
      <ns0:c r="E689" s="7" t="n"/>
      <ns0:c r="F689" s="8" t="str">
        <ns0:f>IF(OR(B689="",J689&lt;&gt;"販売済み",E689="",C689=""),"",IFERROR(IF(OR(COUNTIF('手数料マスタ'!$A$5:$A$104,C689)&lt;&gt;1,COUNTIFS('手数料マスタ'!$A$5:$A$104,C689,'手数料マスタ'!$B$5:$B$104,"&lt;&gt;")&lt;&gt;1,NOT(ISNUMBER(VLOOKUP(C689,'手数料マスタ'!$A$5:$B$104,2,FALSE))),VLOOKUP(C689,'手数料マスタ'!$A$5:$B$104,2,FALSE)&lt;0,VLOOKUP(C689,'手数料マスタ'!$A$5:$B$104,2,FALSE)&gt;1),"要確認",ROUND(E689*VLOOKUP(C689,'手数料マスタ'!$A$5:$B$104,2,FALSE),0)),"要確認"))</ns0:f>
        <ns0:v/>
      </ns0:c>
      <ns0:c r="G689" s="7" t="n"/>
      <ns0:c r="H689" s="7" t="n"/>
      <ns0:c r="I689" s="8" t="str">
        <ns0:f>IF(OR(B689="",J689&lt;&gt;"販売済み",D689="",E689="",G689="",H689=""),"",IF(ISNUMBER(F689),E689-D689-F689-G689-H689,"要確認"))</ns0:f>
        <ns0:v/>
      </ns0:c>
      <ns0:c r="J689" s="6" t="n"/>
      <ns0:c r="K689" s="5" t="n"/>
      <ns0:c r="L689" s="9" t="str">
        <ns0:f>IF(AND(B689&lt;&gt;"",J689="在庫"),COUNTIFS($J$5:J689,"在庫",$B$5:B689,"&lt;&gt;"),"")</ns0:f>
        <ns0:v/>
      </ns0:c>
    </ns0:row>
    <ns0:row r="690">
      <ns0:c r="A690" s="5" t="n"/>
      <ns0:c r="B690" s="6" t="n"/>
      <ns0:c r="C690" s="6" t="n"/>
      <ns0:c r="D690" s="7" t="n"/>
      <ns0:c r="E690" s="7" t="n"/>
      <ns0:c r="F690" s="8" t="str">
        <ns0:f>IF(OR(B690="",J690&lt;&gt;"販売済み",E690="",C690=""),"",IFERROR(IF(OR(COUNTIF('手数料マスタ'!$A$5:$A$104,C690)&lt;&gt;1,COUNTIFS('手数料マスタ'!$A$5:$A$104,C690,'手数料マスタ'!$B$5:$B$104,"&lt;&gt;")&lt;&gt;1,NOT(ISNUMBER(VLOOKUP(C690,'手数料マスタ'!$A$5:$B$104,2,FALSE))),VLOOKUP(C690,'手数料マスタ'!$A$5:$B$104,2,FALSE)&lt;0,VLOOKUP(C690,'手数料マスタ'!$A$5:$B$104,2,FALSE)&gt;1),"要確認",ROUND(E690*VLOOKUP(C690,'手数料マスタ'!$A$5:$B$104,2,FALSE),0)),"要確認"))</ns0:f>
        <ns0:v/>
      </ns0:c>
      <ns0:c r="G690" s="7" t="n"/>
      <ns0:c r="H690" s="7" t="n"/>
      <ns0:c r="I690" s="8" t="str">
        <ns0:f>IF(OR(B690="",J690&lt;&gt;"販売済み",D690="",E690="",G690="",H690=""),"",IF(ISNUMBER(F690),E690-D690-F690-G690-H690,"要確認"))</ns0:f>
        <ns0:v/>
      </ns0:c>
      <ns0:c r="J690" s="6" t="n"/>
      <ns0:c r="K690" s="5" t="n"/>
      <ns0:c r="L690" s="9" t="str">
        <ns0:f>IF(AND(B690&lt;&gt;"",J690="在庫"),COUNTIFS($J$5:J690,"在庫",$B$5:B690,"&lt;&gt;"),"")</ns0:f>
        <ns0:v/>
      </ns0:c>
    </ns0:row>
    <ns0:row r="691">
      <ns0:c r="A691" s="5" t="n"/>
      <ns0:c r="B691" s="6" t="n"/>
      <ns0:c r="C691" s="6" t="n"/>
      <ns0:c r="D691" s="7" t="n"/>
      <ns0:c r="E691" s="7" t="n"/>
      <ns0:c r="F691" s="8" t="str">
        <ns0:f>IF(OR(B691="",J691&lt;&gt;"販売済み",E691="",C691=""),"",IFERROR(IF(OR(COUNTIF('手数料マスタ'!$A$5:$A$104,C691)&lt;&gt;1,COUNTIFS('手数料マスタ'!$A$5:$A$104,C691,'手数料マスタ'!$B$5:$B$104,"&lt;&gt;")&lt;&gt;1,NOT(ISNUMBER(VLOOKUP(C691,'手数料マスタ'!$A$5:$B$104,2,FALSE))),VLOOKUP(C691,'手数料マスタ'!$A$5:$B$104,2,FALSE)&lt;0,VLOOKUP(C691,'手数料マスタ'!$A$5:$B$104,2,FALSE)&gt;1),"要確認",ROUND(E691*VLOOKUP(C691,'手数料マスタ'!$A$5:$B$104,2,FALSE),0)),"要確認"))</ns0:f>
        <ns0:v/>
      </ns0:c>
      <ns0:c r="G691" s="7" t="n"/>
      <ns0:c r="H691" s="7" t="n"/>
      <ns0:c r="I691" s="8" t="str">
        <ns0:f>IF(OR(B691="",J691&lt;&gt;"販売済み",D691="",E691="",G691="",H691=""),"",IF(ISNUMBER(F691),E691-D691-F691-G691-H691,"要確認"))</ns0:f>
        <ns0:v/>
      </ns0:c>
      <ns0:c r="J691" s="6" t="n"/>
      <ns0:c r="K691" s="5" t="n"/>
      <ns0:c r="L691" s="9" t="str">
        <ns0:f>IF(AND(B691&lt;&gt;"",J691="在庫"),COUNTIFS($J$5:J691,"在庫",$B$5:B691,"&lt;&gt;"),"")</ns0:f>
        <ns0:v/>
      </ns0:c>
    </ns0:row>
    <ns0:row r="692">
      <ns0:c r="A692" s="5" t="n"/>
      <ns0:c r="B692" s="6" t="n"/>
      <ns0:c r="C692" s="6" t="n"/>
      <ns0:c r="D692" s="7" t="n"/>
      <ns0:c r="E692" s="7" t="n"/>
      <ns0:c r="F692" s="8" t="str">
        <ns0:f>IF(OR(B692="",J692&lt;&gt;"販売済み",E692="",C692=""),"",IFERROR(IF(OR(COUNTIF('手数料マスタ'!$A$5:$A$104,C692)&lt;&gt;1,COUNTIFS('手数料マスタ'!$A$5:$A$104,C692,'手数料マスタ'!$B$5:$B$104,"&lt;&gt;")&lt;&gt;1,NOT(ISNUMBER(VLOOKUP(C692,'手数料マスタ'!$A$5:$B$104,2,FALSE))),VLOOKUP(C692,'手数料マスタ'!$A$5:$B$104,2,FALSE)&lt;0,VLOOKUP(C692,'手数料マスタ'!$A$5:$B$104,2,FALSE)&gt;1),"要確認",ROUND(E692*VLOOKUP(C692,'手数料マスタ'!$A$5:$B$104,2,FALSE),0)),"要確認"))</ns0:f>
        <ns0:v/>
      </ns0:c>
      <ns0:c r="G692" s="7" t="n"/>
      <ns0:c r="H692" s="7" t="n"/>
      <ns0:c r="I692" s="8" t="str">
        <ns0:f>IF(OR(B692="",J692&lt;&gt;"販売済み",D692="",E692="",G692="",H692=""),"",IF(ISNUMBER(F692),E692-D692-F692-G692-H692,"要確認"))</ns0:f>
        <ns0:v/>
      </ns0:c>
      <ns0:c r="J692" s="6" t="n"/>
      <ns0:c r="K692" s="5" t="n"/>
      <ns0:c r="L692" s="9" t="str">
        <ns0:f>IF(AND(B692&lt;&gt;"",J692="在庫"),COUNTIFS($J$5:J692,"在庫",$B$5:B692,"&lt;&gt;"),"")</ns0:f>
        <ns0:v/>
      </ns0:c>
    </ns0:row>
    <ns0:row r="693">
      <ns0:c r="A693" s="5" t="n"/>
      <ns0:c r="B693" s="6" t="n"/>
      <ns0:c r="C693" s="6" t="n"/>
      <ns0:c r="D693" s="7" t="n"/>
      <ns0:c r="E693" s="7" t="n"/>
      <ns0:c r="F693" s="8" t="str">
        <ns0:f>IF(OR(B693="",J693&lt;&gt;"販売済み",E693="",C693=""),"",IFERROR(IF(OR(COUNTIF('手数料マスタ'!$A$5:$A$104,C693)&lt;&gt;1,COUNTIFS('手数料マスタ'!$A$5:$A$104,C693,'手数料マスタ'!$B$5:$B$104,"&lt;&gt;")&lt;&gt;1,NOT(ISNUMBER(VLOOKUP(C693,'手数料マスタ'!$A$5:$B$104,2,FALSE))),VLOOKUP(C693,'手数料マスタ'!$A$5:$B$104,2,FALSE)&lt;0,VLOOKUP(C693,'手数料マスタ'!$A$5:$B$104,2,FALSE)&gt;1),"要確認",ROUND(E693*VLOOKUP(C693,'手数料マスタ'!$A$5:$B$104,2,FALSE),0)),"要確認"))</ns0:f>
        <ns0:v/>
      </ns0:c>
      <ns0:c r="G693" s="7" t="n"/>
      <ns0:c r="H693" s="7" t="n"/>
      <ns0:c r="I693" s="8" t="str">
        <ns0:f>IF(OR(B693="",J693&lt;&gt;"販売済み",D693="",E693="",G693="",H693=""),"",IF(ISNUMBER(F693),E693-D693-F693-G693-H693,"要確認"))</ns0:f>
        <ns0:v/>
      </ns0:c>
      <ns0:c r="J693" s="6" t="n"/>
      <ns0:c r="K693" s="5" t="n"/>
      <ns0:c r="L693" s="9" t="str">
        <ns0:f>IF(AND(B693&lt;&gt;"",J693="在庫"),COUNTIFS($J$5:J693,"在庫",$B$5:B693,"&lt;&gt;"),"")</ns0:f>
        <ns0:v/>
      </ns0:c>
    </ns0:row>
    <ns0:row r="694">
      <ns0:c r="A694" s="5" t="n"/>
      <ns0:c r="B694" s="6" t="n"/>
      <ns0:c r="C694" s="6" t="n"/>
      <ns0:c r="D694" s="7" t="n"/>
      <ns0:c r="E694" s="7" t="n"/>
      <ns0:c r="F694" s="8" t="str">
        <ns0:f>IF(OR(B694="",J694&lt;&gt;"販売済み",E694="",C694=""),"",IFERROR(IF(OR(COUNTIF('手数料マスタ'!$A$5:$A$104,C694)&lt;&gt;1,COUNTIFS('手数料マスタ'!$A$5:$A$104,C694,'手数料マスタ'!$B$5:$B$104,"&lt;&gt;")&lt;&gt;1,NOT(ISNUMBER(VLOOKUP(C694,'手数料マスタ'!$A$5:$B$104,2,FALSE))),VLOOKUP(C694,'手数料マスタ'!$A$5:$B$104,2,FALSE)&lt;0,VLOOKUP(C694,'手数料マスタ'!$A$5:$B$104,2,FALSE)&gt;1),"要確認",ROUND(E694*VLOOKUP(C694,'手数料マスタ'!$A$5:$B$104,2,FALSE),0)),"要確認"))</ns0:f>
        <ns0:v/>
      </ns0:c>
      <ns0:c r="G694" s="7" t="n"/>
      <ns0:c r="H694" s="7" t="n"/>
      <ns0:c r="I694" s="8" t="str">
        <ns0:f>IF(OR(B694="",J694&lt;&gt;"販売済み",D694="",E694="",G694="",H694=""),"",IF(ISNUMBER(F694),E694-D694-F694-G694-H694,"要確認"))</ns0:f>
        <ns0:v/>
      </ns0:c>
      <ns0:c r="J694" s="6" t="n"/>
      <ns0:c r="K694" s="5" t="n"/>
      <ns0:c r="L694" s="9" t="str">
        <ns0:f>IF(AND(B694&lt;&gt;"",J694="在庫"),COUNTIFS($J$5:J694,"在庫",$B$5:B694,"&lt;&gt;"),"")</ns0:f>
        <ns0:v/>
      </ns0:c>
    </ns0:row>
    <ns0:row r="695">
      <ns0:c r="A695" s="5" t="n"/>
      <ns0:c r="B695" s="6" t="n"/>
      <ns0:c r="C695" s="6" t="n"/>
      <ns0:c r="D695" s="7" t="n"/>
      <ns0:c r="E695" s="7" t="n"/>
      <ns0:c r="F695" s="8" t="str">
        <ns0:f>IF(OR(B695="",J695&lt;&gt;"販売済み",E695="",C695=""),"",IFERROR(IF(OR(COUNTIF('手数料マスタ'!$A$5:$A$104,C695)&lt;&gt;1,COUNTIFS('手数料マスタ'!$A$5:$A$104,C695,'手数料マスタ'!$B$5:$B$104,"&lt;&gt;")&lt;&gt;1,NOT(ISNUMBER(VLOOKUP(C695,'手数料マスタ'!$A$5:$B$104,2,FALSE))),VLOOKUP(C695,'手数料マスタ'!$A$5:$B$104,2,FALSE)&lt;0,VLOOKUP(C695,'手数料マスタ'!$A$5:$B$104,2,FALSE)&gt;1),"要確認",ROUND(E695*VLOOKUP(C695,'手数料マスタ'!$A$5:$B$104,2,FALSE),0)),"要確認"))</ns0:f>
        <ns0:v/>
      </ns0:c>
      <ns0:c r="G695" s="7" t="n"/>
      <ns0:c r="H695" s="7" t="n"/>
      <ns0:c r="I695" s="8" t="str">
        <ns0:f>IF(OR(B695="",J695&lt;&gt;"販売済み",D695="",E695="",G695="",H695=""),"",IF(ISNUMBER(F695),E695-D695-F695-G695-H695,"要確認"))</ns0:f>
        <ns0:v/>
      </ns0:c>
      <ns0:c r="J695" s="6" t="n"/>
      <ns0:c r="K695" s="5" t="n"/>
      <ns0:c r="L695" s="9" t="str">
        <ns0:f>IF(AND(B695&lt;&gt;"",J695="在庫"),COUNTIFS($J$5:J695,"在庫",$B$5:B695,"&lt;&gt;"),"")</ns0:f>
        <ns0:v/>
      </ns0:c>
    </ns0:row>
    <ns0:row r="696">
      <ns0:c r="A696" s="5" t="n"/>
      <ns0:c r="B696" s="6" t="n"/>
      <ns0:c r="C696" s="6" t="n"/>
      <ns0:c r="D696" s="7" t="n"/>
      <ns0:c r="E696" s="7" t="n"/>
      <ns0:c r="F696" s="8" t="str">
        <ns0:f>IF(OR(B696="",J696&lt;&gt;"販売済み",E696="",C696=""),"",IFERROR(IF(OR(COUNTIF('手数料マスタ'!$A$5:$A$104,C696)&lt;&gt;1,COUNTIFS('手数料マスタ'!$A$5:$A$104,C696,'手数料マスタ'!$B$5:$B$104,"&lt;&gt;")&lt;&gt;1,NOT(ISNUMBER(VLOOKUP(C696,'手数料マスタ'!$A$5:$B$104,2,FALSE))),VLOOKUP(C696,'手数料マスタ'!$A$5:$B$104,2,FALSE)&lt;0,VLOOKUP(C696,'手数料マスタ'!$A$5:$B$104,2,FALSE)&gt;1),"要確認",ROUND(E696*VLOOKUP(C696,'手数料マスタ'!$A$5:$B$104,2,FALSE),0)),"要確認"))</ns0:f>
        <ns0:v/>
      </ns0:c>
      <ns0:c r="G696" s="7" t="n"/>
      <ns0:c r="H696" s="7" t="n"/>
      <ns0:c r="I696" s="8" t="str">
        <ns0:f>IF(OR(B696="",J696&lt;&gt;"販売済み",D696="",E696="",G696="",H696=""),"",IF(ISNUMBER(F696),E696-D696-F696-G696-H696,"要確認"))</ns0:f>
        <ns0:v/>
      </ns0:c>
      <ns0:c r="J696" s="6" t="n"/>
      <ns0:c r="K696" s="5" t="n"/>
      <ns0:c r="L696" s="9" t="str">
        <ns0:f>IF(AND(B696&lt;&gt;"",J696="在庫"),COUNTIFS($J$5:J696,"在庫",$B$5:B696,"&lt;&gt;"),"")</ns0:f>
        <ns0:v/>
      </ns0:c>
    </ns0:row>
    <ns0:row r="697">
      <ns0:c r="A697" s="5" t="n"/>
      <ns0:c r="B697" s="6" t="n"/>
      <ns0:c r="C697" s="6" t="n"/>
      <ns0:c r="D697" s="7" t="n"/>
      <ns0:c r="E697" s="7" t="n"/>
      <ns0:c r="F697" s="8" t="str">
        <ns0:f>IF(OR(B697="",J697&lt;&gt;"販売済み",E697="",C697=""),"",IFERROR(IF(OR(COUNTIF('手数料マスタ'!$A$5:$A$104,C697)&lt;&gt;1,COUNTIFS('手数料マスタ'!$A$5:$A$104,C697,'手数料マスタ'!$B$5:$B$104,"&lt;&gt;")&lt;&gt;1,NOT(ISNUMBER(VLOOKUP(C697,'手数料マスタ'!$A$5:$B$104,2,FALSE))),VLOOKUP(C697,'手数料マスタ'!$A$5:$B$104,2,FALSE)&lt;0,VLOOKUP(C697,'手数料マスタ'!$A$5:$B$104,2,FALSE)&gt;1),"要確認",ROUND(E697*VLOOKUP(C697,'手数料マスタ'!$A$5:$B$104,2,FALSE),0)),"要確認"))</ns0:f>
        <ns0:v/>
      </ns0:c>
      <ns0:c r="G697" s="7" t="n"/>
      <ns0:c r="H697" s="7" t="n"/>
      <ns0:c r="I697" s="8" t="str">
        <ns0:f>IF(OR(B697="",J697&lt;&gt;"販売済み",D697="",E697="",G697="",H697=""),"",IF(ISNUMBER(F697),E697-D697-F697-G697-H697,"要確認"))</ns0:f>
        <ns0:v/>
      </ns0:c>
      <ns0:c r="J697" s="6" t="n"/>
      <ns0:c r="K697" s="5" t="n"/>
      <ns0:c r="L697" s="9" t="str">
        <ns0:f>IF(AND(B697&lt;&gt;"",J697="在庫"),COUNTIFS($J$5:J697,"在庫",$B$5:B697,"&lt;&gt;"),"")</ns0:f>
        <ns0:v/>
      </ns0:c>
    </ns0:row>
    <ns0:row r="698">
      <ns0:c r="A698" s="5" t="n"/>
      <ns0:c r="B698" s="6" t="n"/>
      <ns0:c r="C698" s="6" t="n"/>
      <ns0:c r="D698" s="7" t="n"/>
      <ns0:c r="E698" s="7" t="n"/>
      <ns0:c r="F698" s="8" t="str">
        <ns0:f>IF(OR(B698="",J698&lt;&gt;"販売済み",E698="",C698=""),"",IFERROR(IF(OR(COUNTIF('手数料マスタ'!$A$5:$A$104,C698)&lt;&gt;1,COUNTIFS('手数料マスタ'!$A$5:$A$104,C698,'手数料マスタ'!$B$5:$B$104,"&lt;&gt;")&lt;&gt;1,NOT(ISNUMBER(VLOOKUP(C698,'手数料マスタ'!$A$5:$B$104,2,FALSE))),VLOOKUP(C698,'手数料マスタ'!$A$5:$B$104,2,FALSE)&lt;0,VLOOKUP(C698,'手数料マスタ'!$A$5:$B$104,2,FALSE)&gt;1),"要確認",ROUND(E698*VLOOKUP(C698,'手数料マスタ'!$A$5:$B$104,2,FALSE),0)),"要確認"))</ns0:f>
        <ns0:v/>
      </ns0:c>
      <ns0:c r="G698" s="7" t="n"/>
      <ns0:c r="H698" s="7" t="n"/>
      <ns0:c r="I698" s="8" t="str">
        <ns0:f>IF(OR(B698="",J698&lt;&gt;"販売済み",D698="",E698="",G698="",H698=""),"",IF(ISNUMBER(F698),E698-D698-F698-G698-H698,"要確認"))</ns0:f>
        <ns0:v/>
      </ns0:c>
      <ns0:c r="J698" s="6" t="n"/>
      <ns0:c r="K698" s="5" t="n"/>
      <ns0:c r="L698" s="9" t="str">
        <ns0:f>IF(AND(B698&lt;&gt;"",J698="在庫"),COUNTIFS($J$5:J698,"在庫",$B$5:B698,"&lt;&gt;"),"")</ns0:f>
        <ns0:v/>
      </ns0:c>
    </ns0:row>
    <ns0:row r="699">
      <ns0:c r="A699" s="5" t="n"/>
      <ns0:c r="B699" s="6" t="n"/>
      <ns0:c r="C699" s="6" t="n"/>
      <ns0:c r="D699" s="7" t="n"/>
      <ns0:c r="E699" s="7" t="n"/>
      <ns0:c r="F699" s="8" t="str">
        <ns0:f>IF(OR(B699="",J699&lt;&gt;"販売済み",E699="",C699=""),"",IFERROR(IF(OR(COUNTIF('手数料マスタ'!$A$5:$A$104,C699)&lt;&gt;1,COUNTIFS('手数料マスタ'!$A$5:$A$104,C699,'手数料マスタ'!$B$5:$B$104,"&lt;&gt;")&lt;&gt;1,NOT(ISNUMBER(VLOOKUP(C699,'手数料マスタ'!$A$5:$B$104,2,FALSE))),VLOOKUP(C699,'手数料マスタ'!$A$5:$B$104,2,FALSE)&lt;0,VLOOKUP(C699,'手数料マスタ'!$A$5:$B$104,2,FALSE)&gt;1),"要確認",ROUND(E699*VLOOKUP(C699,'手数料マスタ'!$A$5:$B$104,2,FALSE),0)),"要確認"))</ns0:f>
        <ns0:v/>
      </ns0:c>
      <ns0:c r="G699" s="7" t="n"/>
      <ns0:c r="H699" s="7" t="n"/>
      <ns0:c r="I699" s="8" t="str">
        <ns0:f>IF(OR(B699="",J699&lt;&gt;"販売済み",D699="",E699="",G699="",H699=""),"",IF(ISNUMBER(F699),E699-D699-F699-G699-H699,"要確認"))</ns0:f>
        <ns0:v/>
      </ns0:c>
      <ns0:c r="J699" s="6" t="n"/>
      <ns0:c r="K699" s="5" t="n"/>
      <ns0:c r="L699" s="9" t="str">
        <ns0:f>IF(AND(B699&lt;&gt;"",J699="在庫"),COUNTIFS($J$5:J699,"在庫",$B$5:B699,"&lt;&gt;"),"")</ns0:f>
        <ns0:v/>
      </ns0:c>
    </ns0:row>
    <ns0:row r="700">
      <ns0:c r="A700" s="5" t="n"/>
      <ns0:c r="B700" s="6" t="n"/>
      <ns0:c r="C700" s="6" t="n"/>
      <ns0:c r="D700" s="7" t="n"/>
      <ns0:c r="E700" s="7" t="n"/>
      <ns0:c r="F700" s="8" t="str">
        <ns0:f>IF(OR(B700="",J700&lt;&gt;"販売済み",E700="",C700=""),"",IFERROR(IF(OR(COUNTIF('手数料マスタ'!$A$5:$A$104,C700)&lt;&gt;1,COUNTIFS('手数料マスタ'!$A$5:$A$104,C700,'手数料マスタ'!$B$5:$B$104,"&lt;&gt;")&lt;&gt;1,NOT(ISNUMBER(VLOOKUP(C700,'手数料マスタ'!$A$5:$B$104,2,FALSE))),VLOOKUP(C700,'手数料マスタ'!$A$5:$B$104,2,FALSE)&lt;0,VLOOKUP(C700,'手数料マスタ'!$A$5:$B$104,2,FALSE)&gt;1),"要確認",ROUND(E700*VLOOKUP(C700,'手数料マスタ'!$A$5:$B$104,2,FALSE),0)),"要確認"))</ns0:f>
        <ns0:v/>
      </ns0:c>
      <ns0:c r="G700" s="7" t="n"/>
      <ns0:c r="H700" s="7" t="n"/>
      <ns0:c r="I700" s="8" t="str">
        <ns0:f>IF(OR(B700="",J700&lt;&gt;"販売済み",D700="",E700="",G700="",H700=""),"",IF(ISNUMBER(F700),E700-D700-F700-G700-H700,"要確認"))</ns0:f>
        <ns0:v/>
      </ns0:c>
      <ns0:c r="J700" s="6" t="n"/>
      <ns0:c r="K700" s="5" t="n"/>
      <ns0:c r="L700" s="9" t="str">
        <ns0:f>IF(AND(B700&lt;&gt;"",J700="在庫"),COUNTIFS($J$5:J700,"在庫",$B$5:B700,"&lt;&gt;"),"")</ns0:f>
        <ns0:v/>
      </ns0:c>
    </ns0:row>
    <ns0:row r="701">
      <ns0:c r="A701" s="5" t="n"/>
      <ns0:c r="B701" s="6" t="n"/>
      <ns0:c r="C701" s="6" t="n"/>
      <ns0:c r="D701" s="7" t="n"/>
      <ns0:c r="E701" s="7" t="n"/>
      <ns0:c r="F701" s="8" t="str">
        <ns0:f>IF(OR(B701="",J701&lt;&gt;"販売済み",E701="",C701=""),"",IFERROR(IF(OR(COUNTIF('手数料マスタ'!$A$5:$A$104,C701)&lt;&gt;1,COUNTIFS('手数料マスタ'!$A$5:$A$104,C701,'手数料マスタ'!$B$5:$B$104,"&lt;&gt;")&lt;&gt;1,NOT(ISNUMBER(VLOOKUP(C701,'手数料マスタ'!$A$5:$B$104,2,FALSE))),VLOOKUP(C701,'手数料マスタ'!$A$5:$B$104,2,FALSE)&lt;0,VLOOKUP(C701,'手数料マスタ'!$A$5:$B$104,2,FALSE)&gt;1),"要確認",ROUND(E701*VLOOKUP(C701,'手数料マスタ'!$A$5:$B$104,2,FALSE),0)),"要確認"))</ns0:f>
        <ns0:v/>
      </ns0:c>
      <ns0:c r="G701" s="7" t="n"/>
      <ns0:c r="H701" s="7" t="n"/>
      <ns0:c r="I701" s="8" t="str">
        <ns0:f>IF(OR(B701="",J701&lt;&gt;"販売済み",D701="",E701="",G701="",H701=""),"",IF(ISNUMBER(F701),E701-D701-F701-G701-H701,"要確認"))</ns0:f>
        <ns0:v/>
      </ns0:c>
      <ns0:c r="J701" s="6" t="n"/>
      <ns0:c r="K701" s="5" t="n"/>
      <ns0:c r="L701" s="9" t="str">
        <ns0:f>IF(AND(B701&lt;&gt;"",J701="在庫"),COUNTIFS($J$5:J701,"在庫",$B$5:B701,"&lt;&gt;"),"")</ns0:f>
        <ns0:v/>
      </ns0:c>
    </ns0:row>
    <ns0:row r="702">
      <ns0:c r="A702" s="5" t="n"/>
      <ns0:c r="B702" s="6" t="n"/>
      <ns0:c r="C702" s="6" t="n"/>
      <ns0:c r="D702" s="7" t="n"/>
      <ns0:c r="E702" s="7" t="n"/>
      <ns0:c r="F702" s="8" t="str">
        <ns0:f>IF(OR(B702="",J702&lt;&gt;"販売済み",E702="",C702=""),"",IFERROR(IF(OR(COUNTIF('手数料マスタ'!$A$5:$A$104,C702)&lt;&gt;1,COUNTIFS('手数料マスタ'!$A$5:$A$104,C702,'手数料マスタ'!$B$5:$B$104,"&lt;&gt;")&lt;&gt;1,NOT(ISNUMBER(VLOOKUP(C702,'手数料マスタ'!$A$5:$B$104,2,FALSE))),VLOOKUP(C702,'手数料マスタ'!$A$5:$B$104,2,FALSE)&lt;0,VLOOKUP(C702,'手数料マスタ'!$A$5:$B$104,2,FALSE)&gt;1),"要確認",ROUND(E702*VLOOKUP(C702,'手数料マスタ'!$A$5:$B$104,2,FALSE),0)),"要確認"))</ns0:f>
        <ns0:v/>
      </ns0:c>
      <ns0:c r="G702" s="7" t="n"/>
      <ns0:c r="H702" s="7" t="n"/>
      <ns0:c r="I702" s="8" t="str">
        <ns0:f>IF(OR(B702="",J702&lt;&gt;"販売済み",D702="",E702="",G702="",H702=""),"",IF(ISNUMBER(F702),E702-D702-F702-G702-H702,"要確認"))</ns0:f>
        <ns0:v/>
      </ns0:c>
      <ns0:c r="J702" s="6" t="n"/>
      <ns0:c r="K702" s="5" t="n"/>
      <ns0:c r="L702" s="9" t="str">
        <ns0:f>IF(AND(B702&lt;&gt;"",J702="在庫"),COUNTIFS($J$5:J702,"在庫",$B$5:B702,"&lt;&gt;"),"")</ns0:f>
        <ns0:v/>
      </ns0:c>
    </ns0:row>
    <ns0:row r="703">
      <ns0:c r="A703" s="5" t="n"/>
      <ns0:c r="B703" s="6" t="n"/>
      <ns0:c r="C703" s="6" t="n"/>
      <ns0:c r="D703" s="7" t="n"/>
      <ns0:c r="E703" s="7" t="n"/>
      <ns0:c r="F703" s="8" t="str">
        <ns0:f>IF(OR(B703="",J703&lt;&gt;"販売済み",E703="",C703=""),"",IFERROR(IF(OR(COUNTIF('手数料マスタ'!$A$5:$A$104,C703)&lt;&gt;1,COUNTIFS('手数料マスタ'!$A$5:$A$104,C703,'手数料マスタ'!$B$5:$B$104,"&lt;&gt;")&lt;&gt;1,NOT(ISNUMBER(VLOOKUP(C703,'手数料マスタ'!$A$5:$B$104,2,FALSE))),VLOOKUP(C703,'手数料マスタ'!$A$5:$B$104,2,FALSE)&lt;0,VLOOKUP(C703,'手数料マスタ'!$A$5:$B$104,2,FALSE)&gt;1),"要確認",ROUND(E703*VLOOKUP(C703,'手数料マスタ'!$A$5:$B$104,2,FALSE),0)),"要確認"))</ns0:f>
        <ns0:v/>
      </ns0:c>
      <ns0:c r="G703" s="7" t="n"/>
      <ns0:c r="H703" s="7" t="n"/>
      <ns0:c r="I703" s="8" t="str">
        <ns0:f>IF(OR(B703="",J703&lt;&gt;"販売済み",D703="",E703="",G703="",H703=""),"",IF(ISNUMBER(F703),E703-D703-F703-G703-H703,"要確認"))</ns0:f>
        <ns0:v/>
      </ns0:c>
      <ns0:c r="J703" s="6" t="n"/>
      <ns0:c r="K703" s="5" t="n"/>
      <ns0:c r="L703" s="9" t="str">
        <ns0:f>IF(AND(B703&lt;&gt;"",J703="在庫"),COUNTIFS($J$5:J703,"在庫",$B$5:B703,"&lt;&gt;"),"")</ns0:f>
        <ns0:v/>
      </ns0:c>
    </ns0:row>
    <ns0:row r="704">
      <ns0:c r="A704" s="5" t="n"/>
      <ns0:c r="B704" s="6" t="n"/>
      <ns0:c r="C704" s="6" t="n"/>
      <ns0:c r="D704" s="7" t="n"/>
      <ns0:c r="E704" s="7" t="n"/>
      <ns0:c r="F704" s="8" t="str">
        <ns0:f>IF(OR(B704="",J704&lt;&gt;"販売済み",E704="",C704=""),"",IFERROR(IF(OR(COUNTIF('手数料マスタ'!$A$5:$A$104,C704)&lt;&gt;1,COUNTIFS('手数料マスタ'!$A$5:$A$104,C704,'手数料マスタ'!$B$5:$B$104,"&lt;&gt;")&lt;&gt;1,NOT(ISNUMBER(VLOOKUP(C704,'手数料マスタ'!$A$5:$B$104,2,FALSE))),VLOOKUP(C704,'手数料マスタ'!$A$5:$B$104,2,FALSE)&lt;0,VLOOKUP(C704,'手数料マスタ'!$A$5:$B$104,2,FALSE)&gt;1),"要確認",ROUND(E704*VLOOKUP(C704,'手数料マスタ'!$A$5:$B$104,2,FALSE),0)),"要確認"))</ns0:f>
        <ns0:v/>
      </ns0:c>
      <ns0:c r="G704" s="7" t="n"/>
      <ns0:c r="H704" s="7" t="n"/>
      <ns0:c r="I704" s="8" t="str">
        <ns0:f>IF(OR(B704="",J704&lt;&gt;"販売済み",D704="",E704="",G704="",H704=""),"",IF(ISNUMBER(F704),E704-D704-F704-G704-H704,"要確認"))</ns0:f>
        <ns0:v/>
      </ns0:c>
      <ns0:c r="J704" s="6" t="n"/>
      <ns0:c r="K704" s="5" t="n"/>
      <ns0:c r="L704" s="9" t="str">
        <ns0:f>IF(AND(B704&lt;&gt;"",J704="在庫"),COUNTIFS($J$5:J704,"在庫",$B$5:B704,"&lt;&gt;"),"")</ns0:f>
        <ns0:v/>
      </ns0:c>
    </ns0:row>
    <ns0:row r="705">
      <ns0:c r="A705" s="5" t="n"/>
      <ns0:c r="B705" s="6" t="n"/>
      <ns0:c r="C705" s="6" t="n"/>
      <ns0:c r="D705" s="7" t="n"/>
      <ns0:c r="E705" s="7" t="n"/>
      <ns0:c r="F705" s="8" t="str">
        <ns0:f>IF(OR(B705="",J705&lt;&gt;"販売済み",E705="",C705=""),"",IFERROR(IF(OR(COUNTIF('手数料マスタ'!$A$5:$A$104,C705)&lt;&gt;1,COUNTIFS('手数料マスタ'!$A$5:$A$104,C705,'手数料マスタ'!$B$5:$B$104,"&lt;&gt;")&lt;&gt;1,NOT(ISNUMBER(VLOOKUP(C705,'手数料マスタ'!$A$5:$B$104,2,FALSE))),VLOOKUP(C705,'手数料マスタ'!$A$5:$B$104,2,FALSE)&lt;0,VLOOKUP(C705,'手数料マスタ'!$A$5:$B$104,2,FALSE)&gt;1),"要確認",ROUND(E705*VLOOKUP(C705,'手数料マスタ'!$A$5:$B$104,2,FALSE),0)),"要確認"))</ns0:f>
        <ns0:v/>
      </ns0:c>
      <ns0:c r="G705" s="7" t="n"/>
      <ns0:c r="H705" s="7" t="n"/>
      <ns0:c r="I705" s="8" t="str">
        <ns0:f>IF(OR(B705="",J705&lt;&gt;"販売済み",D705="",E705="",G705="",H705=""),"",IF(ISNUMBER(F705),E705-D705-F705-G705-H705,"要確認"))</ns0:f>
        <ns0:v/>
      </ns0:c>
      <ns0:c r="J705" s="6" t="n"/>
      <ns0:c r="K705" s="5" t="n"/>
      <ns0:c r="L705" s="9" t="str">
        <ns0:f>IF(AND(B705&lt;&gt;"",J705="在庫"),COUNTIFS($J$5:J705,"在庫",$B$5:B705,"&lt;&gt;"),"")</ns0:f>
        <ns0:v/>
      </ns0:c>
    </ns0:row>
    <ns0:row r="706">
      <ns0:c r="A706" s="5" t="n"/>
      <ns0:c r="B706" s="6" t="n"/>
      <ns0:c r="C706" s="6" t="n"/>
      <ns0:c r="D706" s="7" t="n"/>
      <ns0:c r="E706" s="7" t="n"/>
      <ns0:c r="F706" s="8" t="str">
        <ns0:f>IF(OR(B706="",J706&lt;&gt;"販売済み",E706="",C706=""),"",IFERROR(IF(OR(COUNTIF('手数料マスタ'!$A$5:$A$104,C706)&lt;&gt;1,COUNTIFS('手数料マスタ'!$A$5:$A$104,C706,'手数料マスタ'!$B$5:$B$104,"&lt;&gt;")&lt;&gt;1,NOT(ISNUMBER(VLOOKUP(C706,'手数料マスタ'!$A$5:$B$104,2,FALSE))),VLOOKUP(C706,'手数料マスタ'!$A$5:$B$104,2,FALSE)&lt;0,VLOOKUP(C706,'手数料マスタ'!$A$5:$B$104,2,FALSE)&gt;1),"要確認",ROUND(E706*VLOOKUP(C706,'手数料マスタ'!$A$5:$B$104,2,FALSE),0)),"要確認"))</ns0:f>
        <ns0:v/>
      </ns0:c>
      <ns0:c r="G706" s="7" t="n"/>
      <ns0:c r="H706" s="7" t="n"/>
      <ns0:c r="I706" s="8" t="str">
        <ns0:f>IF(OR(B706="",J706&lt;&gt;"販売済み",D706="",E706="",G706="",H706=""),"",IF(ISNUMBER(F706),E706-D706-F706-G706-H706,"要確認"))</ns0:f>
        <ns0:v/>
      </ns0:c>
      <ns0:c r="J706" s="6" t="n"/>
      <ns0:c r="K706" s="5" t="n"/>
      <ns0:c r="L706" s="9" t="str">
        <ns0:f>IF(AND(B706&lt;&gt;"",J706="在庫"),COUNTIFS($J$5:J706,"在庫",$B$5:B706,"&lt;&gt;"),"")</ns0:f>
        <ns0:v/>
      </ns0:c>
    </ns0:row>
    <ns0:row r="707">
      <ns0:c r="A707" s="5" t="n"/>
      <ns0:c r="B707" s="6" t="n"/>
      <ns0:c r="C707" s="6" t="n"/>
      <ns0:c r="D707" s="7" t="n"/>
      <ns0:c r="E707" s="7" t="n"/>
      <ns0:c r="F707" s="8" t="str">
        <ns0:f>IF(OR(B707="",J707&lt;&gt;"販売済み",E707="",C707=""),"",IFERROR(IF(OR(COUNTIF('手数料マスタ'!$A$5:$A$104,C707)&lt;&gt;1,COUNTIFS('手数料マスタ'!$A$5:$A$104,C707,'手数料マスタ'!$B$5:$B$104,"&lt;&gt;")&lt;&gt;1,NOT(ISNUMBER(VLOOKUP(C707,'手数料マスタ'!$A$5:$B$104,2,FALSE))),VLOOKUP(C707,'手数料マスタ'!$A$5:$B$104,2,FALSE)&lt;0,VLOOKUP(C707,'手数料マスタ'!$A$5:$B$104,2,FALSE)&gt;1),"要確認",ROUND(E707*VLOOKUP(C707,'手数料マスタ'!$A$5:$B$104,2,FALSE),0)),"要確認"))</ns0:f>
        <ns0:v/>
      </ns0:c>
      <ns0:c r="G707" s="7" t="n"/>
      <ns0:c r="H707" s="7" t="n"/>
      <ns0:c r="I707" s="8" t="str">
        <ns0:f>IF(OR(B707="",J707&lt;&gt;"販売済み",D707="",E707="",G707="",H707=""),"",IF(ISNUMBER(F707),E707-D707-F707-G707-H707,"要確認"))</ns0:f>
        <ns0:v/>
      </ns0:c>
      <ns0:c r="J707" s="6" t="n"/>
      <ns0:c r="K707" s="5" t="n"/>
      <ns0:c r="L707" s="9" t="str">
        <ns0:f>IF(AND(B707&lt;&gt;"",J707="在庫"),COUNTIFS($J$5:J707,"在庫",$B$5:B707,"&lt;&gt;"),"")</ns0:f>
        <ns0:v/>
      </ns0:c>
    </ns0:row>
    <ns0:row r="708">
      <ns0:c r="A708" s="5" t="n"/>
      <ns0:c r="B708" s="6" t="n"/>
      <ns0:c r="C708" s="6" t="n"/>
      <ns0:c r="D708" s="7" t="n"/>
      <ns0:c r="E708" s="7" t="n"/>
      <ns0:c r="F708" s="8" t="str">
        <ns0:f>IF(OR(B708="",J708&lt;&gt;"販売済み",E708="",C708=""),"",IFERROR(IF(OR(COUNTIF('手数料マスタ'!$A$5:$A$104,C708)&lt;&gt;1,COUNTIFS('手数料マスタ'!$A$5:$A$104,C708,'手数料マスタ'!$B$5:$B$104,"&lt;&gt;")&lt;&gt;1,NOT(ISNUMBER(VLOOKUP(C708,'手数料マスタ'!$A$5:$B$104,2,FALSE))),VLOOKUP(C708,'手数料マスタ'!$A$5:$B$104,2,FALSE)&lt;0,VLOOKUP(C708,'手数料マスタ'!$A$5:$B$104,2,FALSE)&gt;1),"要確認",ROUND(E708*VLOOKUP(C708,'手数料マスタ'!$A$5:$B$104,2,FALSE),0)),"要確認"))</ns0:f>
        <ns0:v/>
      </ns0:c>
      <ns0:c r="G708" s="7" t="n"/>
      <ns0:c r="H708" s="7" t="n"/>
      <ns0:c r="I708" s="8" t="str">
        <ns0:f>IF(OR(B708="",J708&lt;&gt;"販売済み",D708="",E708="",G708="",H708=""),"",IF(ISNUMBER(F708),E708-D708-F708-G708-H708,"要確認"))</ns0:f>
        <ns0:v/>
      </ns0:c>
      <ns0:c r="J708" s="6" t="n"/>
      <ns0:c r="K708" s="5" t="n"/>
      <ns0:c r="L708" s="9" t="str">
        <ns0:f>IF(AND(B708&lt;&gt;"",J708="在庫"),COUNTIFS($J$5:J708,"在庫",$B$5:B708,"&lt;&gt;"),"")</ns0:f>
        <ns0:v/>
      </ns0:c>
    </ns0:row>
    <ns0:row r="709">
      <ns0:c r="A709" s="5" t="n"/>
      <ns0:c r="B709" s="6" t="n"/>
      <ns0:c r="C709" s="6" t="n"/>
      <ns0:c r="D709" s="7" t="n"/>
      <ns0:c r="E709" s="7" t="n"/>
      <ns0:c r="F709" s="8" t="str">
        <ns0:f>IF(OR(B709="",J709&lt;&gt;"販売済み",E709="",C709=""),"",IFERROR(IF(OR(COUNTIF('手数料マスタ'!$A$5:$A$104,C709)&lt;&gt;1,COUNTIFS('手数料マスタ'!$A$5:$A$104,C709,'手数料マスタ'!$B$5:$B$104,"&lt;&gt;")&lt;&gt;1,NOT(ISNUMBER(VLOOKUP(C709,'手数料マスタ'!$A$5:$B$104,2,FALSE))),VLOOKUP(C709,'手数料マスタ'!$A$5:$B$104,2,FALSE)&lt;0,VLOOKUP(C709,'手数料マスタ'!$A$5:$B$104,2,FALSE)&gt;1),"要確認",ROUND(E709*VLOOKUP(C709,'手数料マスタ'!$A$5:$B$104,2,FALSE),0)),"要確認"))</ns0:f>
        <ns0:v/>
      </ns0:c>
      <ns0:c r="G709" s="7" t="n"/>
      <ns0:c r="H709" s="7" t="n"/>
      <ns0:c r="I709" s="8" t="str">
        <ns0:f>IF(OR(B709="",J709&lt;&gt;"販売済み",D709="",E709="",G709="",H709=""),"",IF(ISNUMBER(F709),E709-D709-F709-G709-H709,"要確認"))</ns0:f>
        <ns0:v/>
      </ns0:c>
      <ns0:c r="J709" s="6" t="n"/>
      <ns0:c r="K709" s="5" t="n"/>
      <ns0:c r="L709" s="9" t="str">
        <ns0:f>IF(AND(B709&lt;&gt;"",J709="在庫"),COUNTIFS($J$5:J709,"在庫",$B$5:B709,"&lt;&gt;"),"")</ns0:f>
        <ns0:v/>
      </ns0:c>
    </ns0:row>
    <ns0:row r="710">
      <ns0:c r="A710" s="5" t="n"/>
      <ns0:c r="B710" s="6" t="n"/>
      <ns0:c r="C710" s="6" t="n"/>
      <ns0:c r="D710" s="7" t="n"/>
      <ns0:c r="E710" s="7" t="n"/>
      <ns0:c r="F710" s="8" t="str">
        <ns0:f>IF(OR(B710="",J710&lt;&gt;"販売済み",E710="",C710=""),"",IFERROR(IF(OR(COUNTIF('手数料マスタ'!$A$5:$A$104,C710)&lt;&gt;1,COUNTIFS('手数料マスタ'!$A$5:$A$104,C710,'手数料マスタ'!$B$5:$B$104,"&lt;&gt;")&lt;&gt;1,NOT(ISNUMBER(VLOOKUP(C710,'手数料マスタ'!$A$5:$B$104,2,FALSE))),VLOOKUP(C710,'手数料マスタ'!$A$5:$B$104,2,FALSE)&lt;0,VLOOKUP(C710,'手数料マスタ'!$A$5:$B$104,2,FALSE)&gt;1),"要確認",ROUND(E710*VLOOKUP(C710,'手数料マスタ'!$A$5:$B$104,2,FALSE),0)),"要確認"))</ns0:f>
        <ns0:v/>
      </ns0:c>
      <ns0:c r="G710" s="7" t="n"/>
      <ns0:c r="H710" s="7" t="n"/>
      <ns0:c r="I710" s="8" t="str">
        <ns0:f>IF(OR(B710="",J710&lt;&gt;"販売済み",D710="",E710="",G710="",H710=""),"",IF(ISNUMBER(F710),E710-D710-F710-G710-H710,"要確認"))</ns0:f>
        <ns0:v/>
      </ns0:c>
      <ns0:c r="J710" s="6" t="n"/>
      <ns0:c r="K710" s="5" t="n"/>
      <ns0:c r="L710" s="9" t="str">
        <ns0:f>IF(AND(B710&lt;&gt;"",J710="在庫"),COUNTIFS($J$5:J710,"在庫",$B$5:B710,"&lt;&gt;"),"")</ns0:f>
        <ns0:v/>
      </ns0:c>
    </ns0:row>
    <ns0:row r="711">
      <ns0:c r="A711" s="5" t="n"/>
      <ns0:c r="B711" s="6" t="n"/>
      <ns0:c r="C711" s="6" t="n"/>
      <ns0:c r="D711" s="7" t="n"/>
      <ns0:c r="E711" s="7" t="n"/>
      <ns0:c r="F711" s="8" t="str">
        <ns0:f>IF(OR(B711="",J711&lt;&gt;"販売済み",E711="",C711=""),"",IFERROR(IF(OR(COUNTIF('手数料マスタ'!$A$5:$A$104,C711)&lt;&gt;1,COUNTIFS('手数料マスタ'!$A$5:$A$104,C711,'手数料マスタ'!$B$5:$B$104,"&lt;&gt;")&lt;&gt;1,NOT(ISNUMBER(VLOOKUP(C711,'手数料マスタ'!$A$5:$B$104,2,FALSE))),VLOOKUP(C711,'手数料マスタ'!$A$5:$B$104,2,FALSE)&lt;0,VLOOKUP(C711,'手数料マスタ'!$A$5:$B$104,2,FALSE)&gt;1),"要確認",ROUND(E711*VLOOKUP(C711,'手数料マスタ'!$A$5:$B$104,2,FALSE),0)),"要確認"))</ns0:f>
        <ns0:v/>
      </ns0:c>
      <ns0:c r="G711" s="7" t="n"/>
      <ns0:c r="H711" s="7" t="n"/>
      <ns0:c r="I711" s="8" t="str">
        <ns0:f>IF(OR(B711="",J711&lt;&gt;"販売済み",D711="",E711="",G711="",H711=""),"",IF(ISNUMBER(F711),E711-D711-F711-G711-H711,"要確認"))</ns0:f>
        <ns0:v/>
      </ns0:c>
      <ns0:c r="J711" s="6" t="n"/>
      <ns0:c r="K711" s="5" t="n"/>
      <ns0:c r="L711" s="9" t="str">
        <ns0:f>IF(AND(B711&lt;&gt;"",J711="在庫"),COUNTIFS($J$5:J711,"在庫",$B$5:B711,"&lt;&gt;"),"")</ns0:f>
        <ns0:v/>
      </ns0:c>
    </ns0:row>
    <ns0:row r="712">
      <ns0:c r="A712" s="5" t="n"/>
      <ns0:c r="B712" s="6" t="n"/>
      <ns0:c r="C712" s="6" t="n"/>
      <ns0:c r="D712" s="7" t="n"/>
      <ns0:c r="E712" s="7" t="n"/>
      <ns0:c r="F712" s="8" t="str">
        <ns0:f>IF(OR(B712="",J712&lt;&gt;"販売済み",E712="",C712=""),"",IFERROR(IF(OR(COUNTIF('手数料マスタ'!$A$5:$A$104,C712)&lt;&gt;1,COUNTIFS('手数料マスタ'!$A$5:$A$104,C712,'手数料マスタ'!$B$5:$B$104,"&lt;&gt;")&lt;&gt;1,NOT(ISNUMBER(VLOOKUP(C712,'手数料マスタ'!$A$5:$B$104,2,FALSE))),VLOOKUP(C712,'手数料マスタ'!$A$5:$B$104,2,FALSE)&lt;0,VLOOKUP(C712,'手数料マスタ'!$A$5:$B$104,2,FALSE)&gt;1),"要確認",ROUND(E712*VLOOKUP(C712,'手数料マスタ'!$A$5:$B$104,2,FALSE),0)),"要確認"))</ns0:f>
        <ns0:v/>
      </ns0:c>
      <ns0:c r="G712" s="7" t="n"/>
      <ns0:c r="H712" s="7" t="n"/>
      <ns0:c r="I712" s="8" t="str">
        <ns0:f>IF(OR(B712="",J712&lt;&gt;"販売済み",D712="",E712="",G712="",H712=""),"",IF(ISNUMBER(F712),E712-D712-F712-G712-H712,"要確認"))</ns0:f>
        <ns0:v/>
      </ns0:c>
      <ns0:c r="J712" s="6" t="n"/>
      <ns0:c r="K712" s="5" t="n"/>
      <ns0:c r="L712" s="9" t="str">
        <ns0:f>IF(AND(B712&lt;&gt;"",J712="在庫"),COUNTIFS($J$5:J712,"在庫",$B$5:B712,"&lt;&gt;"),"")</ns0:f>
        <ns0:v/>
      </ns0:c>
    </ns0:row>
    <ns0:row r="713">
      <ns0:c r="A713" s="5" t="n"/>
      <ns0:c r="B713" s="6" t="n"/>
      <ns0:c r="C713" s="6" t="n"/>
      <ns0:c r="D713" s="7" t="n"/>
      <ns0:c r="E713" s="7" t="n"/>
      <ns0:c r="F713" s="8" t="str">
        <ns0:f>IF(OR(B713="",J713&lt;&gt;"販売済み",E713="",C713=""),"",IFERROR(IF(OR(COUNTIF('手数料マスタ'!$A$5:$A$104,C713)&lt;&gt;1,COUNTIFS('手数料マスタ'!$A$5:$A$104,C713,'手数料マスタ'!$B$5:$B$104,"&lt;&gt;")&lt;&gt;1,NOT(ISNUMBER(VLOOKUP(C713,'手数料マスタ'!$A$5:$B$104,2,FALSE))),VLOOKUP(C713,'手数料マスタ'!$A$5:$B$104,2,FALSE)&lt;0,VLOOKUP(C713,'手数料マスタ'!$A$5:$B$104,2,FALSE)&gt;1),"要確認",ROUND(E713*VLOOKUP(C713,'手数料マスタ'!$A$5:$B$104,2,FALSE),0)),"要確認"))</ns0:f>
        <ns0:v/>
      </ns0:c>
      <ns0:c r="G713" s="7" t="n"/>
      <ns0:c r="H713" s="7" t="n"/>
      <ns0:c r="I713" s="8" t="str">
        <ns0:f>IF(OR(B713="",J713&lt;&gt;"販売済み",D713="",E713="",G713="",H713=""),"",IF(ISNUMBER(F713),E713-D713-F713-G713-H713,"要確認"))</ns0:f>
        <ns0:v/>
      </ns0:c>
      <ns0:c r="J713" s="6" t="n"/>
      <ns0:c r="K713" s="5" t="n"/>
      <ns0:c r="L713" s="9" t="str">
        <ns0:f>IF(AND(B713&lt;&gt;"",J713="在庫"),COUNTIFS($J$5:J713,"在庫",$B$5:B713,"&lt;&gt;"),"")</ns0:f>
        <ns0:v/>
      </ns0:c>
    </ns0:row>
    <ns0:row r="714">
      <ns0:c r="A714" s="5" t="n"/>
      <ns0:c r="B714" s="6" t="n"/>
      <ns0:c r="C714" s="6" t="n"/>
      <ns0:c r="D714" s="7" t="n"/>
      <ns0:c r="E714" s="7" t="n"/>
      <ns0:c r="F714" s="8" t="str">
        <ns0:f>IF(OR(B714="",J714&lt;&gt;"販売済み",E714="",C714=""),"",IFERROR(IF(OR(COUNTIF('手数料マスタ'!$A$5:$A$104,C714)&lt;&gt;1,COUNTIFS('手数料マスタ'!$A$5:$A$104,C714,'手数料マスタ'!$B$5:$B$104,"&lt;&gt;")&lt;&gt;1,NOT(ISNUMBER(VLOOKUP(C714,'手数料マスタ'!$A$5:$B$104,2,FALSE))),VLOOKUP(C714,'手数料マスタ'!$A$5:$B$104,2,FALSE)&lt;0,VLOOKUP(C714,'手数料マスタ'!$A$5:$B$104,2,FALSE)&gt;1),"要確認",ROUND(E714*VLOOKUP(C714,'手数料マスタ'!$A$5:$B$104,2,FALSE),0)),"要確認"))</ns0:f>
        <ns0:v/>
      </ns0:c>
      <ns0:c r="G714" s="7" t="n"/>
      <ns0:c r="H714" s="7" t="n"/>
      <ns0:c r="I714" s="8" t="str">
        <ns0:f>IF(OR(B714="",J714&lt;&gt;"販売済み",D714="",E714="",G714="",H714=""),"",IF(ISNUMBER(F714),E714-D714-F714-G714-H714,"要確認"))</ns0:f>
        <ns0:v/>
      </ns0:c>
      <ns0:c r="J714" s="6" t="n"/>
      <ns0:c r="K714" s="5" t="n"/>
      <ns0:c r="L714" s="9" t="str">
        <ns0:f>IF(AND(B714&lt;&gt;"",J714="在庫"),COUNTIFS($J$5:J714,"在庫",$B$5:B714,"&lt;&gt;"),"")</ns0:f>
        <ns0:v/>
      </ns0:c>
    </ns0:row>
    <ns0:row r="715">
      <ns0:c r="A715" s="5" t="n"/>
      <ns0:c r="B715" s="6" t="n"/>
      <ns0:c r="C715" s="6" t="n"/>
      <ns0:c r="D715" s="7" t="n"/>
      <ns0:c r="E715" s="7" t="n"/>
      <ns0:c r="F715" s="8" t="str">
        <ns0:f>IF(OR(B715="",J715&lt;&gt;"販売済み",E715="",C715=""),"",IFERROR(IF(OR(COUNTIF('手数料マスタ'!$A$5:$A$104,C715)&lt;&gt;1,COUNTIFS('手数料マスタ'!$A$5:$A$104,C715,'手数料マスタ'!$B$5:$B$104,"&lt;&gt;")&lt;&gt;1,NOT(ISNUMBER(VLOOKUP(C715,'手数料マスタ'!$A$5:$B$104,2,FALSE))),VLOOKUP(C715,'手数料マスタ'!$A$5:$B$104,2,FALSE)&lt;0,VLOOKUP(C715,'手数料マスタ'!$A$5:$B$104,2,FALSE)&gt;1),"要確認",ROUND(E715*VLOOKUP(C715,'手数料マスタ'!$A$5:$B$104,2,FALSE),0)),"要確認"))</ns0:f>
        <ns0:v/>
      </ns0:c>
      <ns0:c r="G715" s="7" t="n"/>
      <ns0:c r="H715" s="7" t="n"/>
      <ns0:c r="I715" s="8" t="str">
        <ns0:f>IF(OR(B715="",J715&lt;&gt;"販売済み",D715="",E715="",G715="",H715=""),"",IF(ISNUMBER(F715),E715-D715-F715-G715-H715,"要確認"))</ns0:f>
        <ns0:v/>
      </ns0:c>
      <ns0:c r="J715" s="6" t="n"/>
      <ns0:c r="K715" s="5" t="n"/>
      <ns0:c r="L715" s="9" t="str">
        <ns0:f>IF(AND(B715&lt;&gt;"",J715="在庫"),COUNTIFS($J$5:J715,"在庫",$B$5:B715,"&lt;&gt;"),"")</ns0:f>
        <ns0:v/>
      </ns0:c>
    </ns0:row>
    <ns0:row r="716">
      <ns0:c r="A716" s="5" t="n"/>
      <ns0:c r="B716" s="6" t="n"/>
      <ns0:c r="C716" s="6" t="n"/>
      <ns0:c r="D716" s="7" t="n"/>
      <ns0:c r="E716" s="7" t="n"/>
      <ns0:c r="F716" s="8" t="str">
        <ns0:f>IF(OR(B716="",J716&lt;&gt;"販売済み",E716="",C716=""),"",IFERROR(IF(OR(COUNTIF('手数料マスタ'!$A$5:$A$104,C716)&lt;&gt;1,COUNTIFS('手数料マスタ'!$A$5:$A$104,C716,'手数料マスタ'!$B$5:$B$104,"&lt;&gt;")&lt;&gt;1,NOT(ISNUMBER(VLOOKUP(C716,'手数料マスタ'!$A$5:$B$104,2,FALSE))),VLOOKUP(C716,'手数料マスタ'!$A$5:$B$104,2,FALSE)&lt;0,VLOOKUP(C716,'手数料マスタ'!$A$5:$B$104,2,FALSE)&gt;1),"要確認",ROUND(E716*VLOOKUP(C716,'手数料マスタ'!$A$5:$B$104,2,FALSE),0)),"要確認"))</ns0:f>
        <ns0:v/>
      </ns0:c>
      <ns0:c r="G716" s="7" t="n"/>
      <ns0:c r="H716" s="7" t="n"/>
      <ns0:c r="I716" s="8" t="str">
        <ns0:f>IF(OR(B716="",J716&lt;&gt;"販売済み",D716="",E716="",G716="",H716=""),"",IF(ISNUMBER(F716),E716-D716-F716-G716-H716,"要確認"))</ns0:f>
        <ns0:v/>
      </ns0:c>
      <ns0:c r="J716" s="6" t="n"/>
      <ns0:c r="K716" s="5" t="n"/>
      <ns0:c r="L716" s="9" t="str">
        <ns0:f>IF(AND(B716&lt;&gt;"",J716="在庫"),COUNTIFS($J$5:J716,"在庫",$B$5:B716,"&lt;&gt;"),"")</ns0:f>
        <ns0:v/>
      </ns0:c>
    </ns0:row>
    <ns0:row r="717">
      <ns0:c r="A717" s="5" t="n"/>
      <ns0:c r="B717" s="6" t="n"/>
      <ns0:c r="C717" s="6" t="n"/>
      <ns0:c r="D717" s="7" t="n"/>
      <ns0:c r="E717" s="7" t="n"/>
      <ns0:c r="F717" s="8" t="str">
        <ns0:f>IF(OR(B717="",J717&lt;&gt;"販売済み",E717="",C717=""),"",IFERROR(IF(OR(COUNTIF('手数料マスタ'!$A$5:$A$104,C717)&lt;&gt;1,COUNTIFS('手数料マスタ'!$A$5:$A$104,C717,'手数料マスタ'!$B$5:$B$104,"&lt;&gt;")&lt;&gt;1,NOT(ISNUMBER(VLOOKUP(C717,'手数料マスタ'!$A$5:$B$104,2,FALSE))),VLOOKUP(C717,'手数料マスタ'!$A$5:$B$104,2,FALSE)&lt;0,VLOOKUP(C717,'手数料マスタ'!$A$5:$B$104,2,FALSE)&gt;1),"要確認",ROUND(E717*VLOOKUP(C717,'手数料マスタ'!$A$5:$B$104,2,FALSE),0)),"要確認"))</ns0:f>
        <ns0:v/>
      </ns0:c>
      <ns0:c r="G717" s="7" t="n"/>
      <ns0:c r="H717" s="7" t="n"/>
      <ns0:c r="I717" s="8" t="str">
        <ns0:f>IF(OR(B717="",J717&lt;&gt;"販売済み",D717="",E717="",G717="",H717=""),"",IF(ISNUMBER(F717),E717-D717-F717-G717-H717,"要確認"))</ns0:f>
        <ns0:v/>
      </ns0:c>
      <ns0:c r="J717" s="6" t="n"/>
      <ns0:c r="K717" s="5" t="n"/>
      <ns0:c r="L717" s="9" t="str">
        <ns0:f>IF(AND(B717&lt;&gt;"",J717="在庫"),COUNTIFS($J$5:J717,"在庫",$B$5:B717,"&lt;&gt;"),"")</ns0:f>
        <ns0:v/>
      </ns0:c>
    </ns0:row>
    <ns0:row r="718">
      <ns0:c r="A718" s="5" t="n"/>
      <ns0:c r="B718" s="6" t="n"/>
      <ns0:c r="C718" s="6" t="n"/>
      <ns0:c r="D718" s="7" t="n"/>
      <ns0:c r="E718" s="7" t="n"/>
      <ns0:c r="F718" s="8" t="str">
        <ns0:f>IF(OR(B718="",J718&lt;&gt;"販売済み",E718="",C718=""),"",IFERROR(IF(OR(COUNTIF('手数料マスタ'!$A$5:$A$104,C718)&lt;&gt;1,COUNTIFS('手数料マスタ'!$A$5:$A$104,C718,'手数料マスタ'!$B$5:$B$104,"&lt;&gt;")&lt;&gt;1,NOT(ISNUMBER(VLOOKUP(C718,'手数料マスタ'!$A$5:$B$104,2,FALSE))),VLOOKUP(C718,'手数料マスタ'!$A$5:$B$104,2,FALSE)&lt;0,VLOOKUP(C718,'手数料マスタ'!$A$5:$B$104,2,FALSE)&gt;1),"要確認",ROUND(E718*VLOOKUP(C718,'手数料マスタ'!$A$5:$B$104,2,FALSE),0)),"要確認"))</ns0:f>
        <ns0:v/>
      </ns0:c>
      <ns0:c r="G718" s="7" t="n"/>
      <ns0:c r="H718" s="7" t="n"/>
      <ns0:c r="I718" s="8" t="str">
        <ns0:f>IF(OR(B718="",J718&lt;&gt;"販売済み",D718="",E718="",G718="",H718=""),"",IF(ISNUMBER(F718),E718-D718-F718-G718-H718,"要確認"))</ns0:f>
        <ns0:v/>
      </ns0:c>
      <ns0:c r="J718" s="6" t="n"/>
      <ns0:c r="K718" s="5" t="n"/>
      <ns0:c r="L718" s="9" t="str">
        <ns0:f>IF(AND(B718&lt;&gt;"",J718="在庫"),COUNTIFS($J$5:J718,"在庫",$B$5:B718,"&lt;&gt;"),"")</ns0:f>
        <ns0:v/>
      </ns0:c>
    </ns0:row>
    <ns0:row r="719">
      <ns0:c r="A719" s="5" t="n"/>
      <ns0:c r="B719" s="6" t="n"/>
      <ns0:c r="C719" s="6" t="n"/>
      <ns0:c r="D719" s="7" t="n"/>
      <ns0:c r="E719" s="7" t="n"/>
      <ns0:c r="F719" s="8" t="str">
        <ns0:f>IF(OR(B719="",J719&lt;&gt;"販売済み",E719="",C719=""),"",IFERROR(IF(OR(COUNTIF('手数料マスタ'!$A$5:$A$104,C719)&lt;&gt;1,COUNTIFS('手数料マスタ'!$A$5:$A$104,C719,'手数料マスタ'!$B$5:$B$104,"&lt;&gt;")&lt;&gt;1,NOT(ISNUMBER(VLOOKUP(C719,'手数料マスタ'!$A$5:$B$104,2,FALSE))),VLOOKUP(C719,'手数料マスタ'!$A$5:$B$104,2,FALSE)&lt;0,VLOOKUP(C719,'手数料マスタ'!$A$5:$B$104,2,FALSE)&gt;1),"要確認",ROUND(E719*VLOOKUP(C719,'手数料マスタ'!$A$5:$B$104,2,FALSE),0)),"要確認"))</ns0:f>
        <ns0:v/>
      </ns0:c>
      <ns0:c r="G719" s="7" t="n"/>
      <ns0:c r="H719" s="7" t="n"/>
      <ns0:c r="I719" s="8" t="str">
        <ns0:f>IF(OR(B719="",J719&lt;&gt;"販売済み",D719="",E719="",G719="",H719=""),"",IF(ISNUMBER(F719),E719-D719-F719-G719-H719,"要確認"))</ns0:f>
        <ns0:v/>
      </ns0:c>
      <ns0:c r="J719" s="6" t="n"/>
      <ns0:c r="K719" s="5" t="n"/>
      <ns0:c r="L719" s="9" t="str">
        <ns0:f>IF(AND(B719&lt;&gt;"",J719="在庫"),COUNTIFS($J$5:J719,"在庫",$B$5:B719,"&lt;&gt;"),"")</ns0:f>
        <ns0:v/>
      </ns0:c>
    </ns0:row>
    <ns0:row r="720">
      <ns0:c r="A720" s="5" t="n"/>
      <ns0:c r="B720" s="6" t="n"/>
      <ns0:c r="C720" s="6" t="n"/>
      <ns0:c r="D720" s="7" t="n"/>
      <ns0:c r="E720" s="7" t="n"/>
      <ns0:c r="F720" s="8" t="str">
        <ns0:f>IF(OR(B720="",J720&lt;&gt;"販売済み",E720="",C720=""),"",IFERROR(IF(OR(COUNTIF('手数料マスタ'!$A$5:$A$104,C720)&lt;&gt;1,COUNTIFS('手数料マスタ'!$A$5:$A$104,C720,'手数料マスタ'!$B$5:$B$104,"&lt;&gt;")&lt;&gt;1,NOT(ISNUMBER(VLOOKUP(C720,'手数料マスタ'!$A$5:$B$104,2,FALSE))),VLOOKUP(C720,'手数料マスタ'!$A$5:$B$104,2,FALSE)&lt;0,VLOOKUP(C720,'手数料マスタ'!$A$5:$B$104,2,FALSE)&gt;1),"要確認",ROUND(E720*VLOOKUP(C720,'手数料マスタ'!$A$5:$B$104,2,FALSE),0)),"要確認"))</ns0:f>
        <ns0:v/>
      </ns0:c>
      <ns0:c r="G720" s="7" t="n"/>
      <ns0:c r="H720" s="7" t="n"/>
      <ns0:c r="I720" s="8" t="str">
        <ns0:f>IF(OR(B720="",J720&lt;&gt;"販売済み",D720="",E720="",G720="",H720=""),"",IF(ISNUMBER(F720),E720-D720-F720-G720-H720,"要確認"))</ns0:f>
        <ns0:v/>
      </ns0:c>
      <ns0:c r="J720" s="6" t="n"/>
      <ns0:c r="K720" s="5" t="n"/>
      <ns0:c r="L720" s="9" t="str">
        <ns0:f>IF(AND(B720&lt;&gt;"",J720="在庫"),COUNTIFS($J$5:J720,"在庫",$B$5:B720,"&lt;&gt;"),"")</ns0:f>
        <ns0:v/>
      </ns0:c>
    </ns0:row>
    <ns0:row r="721">
      <ns0:c r="A721" s="5" t="n"/>
      <ns0:c r="B721" s="6" t="n"/>
      <ns0:c r="C721" s="6" t="n"/>
      <ns0:c r="D721" s="7" t="n"/>
      <ns0:c r="E721" s="7" t="n"/>
      <ns0:c r="F721" s="8" t="str">
        <ns0:f>IF(OR(B721="",J721&lt;&gt;"販売済み",E721="",C721=""),"",IFERROR(IF(OR(COUNTIF('手数料マスタ'!$A$5:$A$104,C721)&lt;&gt;1,COUNTIFS('手数料マスタ'!$A$5:$A$104,C721,'手数料マスタ'!$B$5:$B$104,"&lt;&gt;")&lt;&gt;1,NOT(ISNUMBER(VLOOKUP(C721,'手数料マスタ'!$A$5:$B$104,2,FALSE))),VLOOKUP(C721,'手数料マスタ'!$A$5:$B$104,2,FALSE)&lt;0,VLOOKUP(C721,'手数料マスタ'!$A$5:$B$104,2,FALSE)&gt;1),"要確認",ROUND(E721*VLOOKUP(C721,'手数料マスタ'!$A$5:$B$104,2,FALSE),0)),"要確認"))</ns0:f>
        <ns0:v/>
      </ns0:c>
      <ns0:c r="G721" s="7" t="n"/>
      <ns0:c r="H721" s="7" t="n"/>
      <ns0:c r="I721" s="8" t="str">
        <ns0:f>IF(OR(B721="",J721&lt;&gt;"販売済み",D721="",E721="",G721="",H721=""),"",IF(ISNUMBER(F721),E721-D721-F721-G721-H721,"要確認"))</ns0:f>
        <ns0:v/>
      </ns0:c>
      <ns0:c r="J721" s="6" t="n"/>
      <ns0:c r="K721" s="5" t="n"/>
      <ns0:c r="L721" s="9" t="str">
        <ns0:f>IF(AND(B721&lt;&gt;"",J721="在庫"),COUNTIFS($J$5:J721,"在庫",$B$5:B721,"&lt;&gt;"),"")</ns0:f>
        <ns0:v/>
      </ns0:c>
    </ns0:row>
    <ns0:row r="722">
      <ns0:c r="A722" s="5" t="n"/>
      <ns0:c r="B722" s="6" t="n"/>
      <ns0:c r="C722" s="6" t="n"/>
      <ns0:c r="D722" s="7" t="n"/>
      <ns0:c r="E722" s="7" t="n"/>
      <ns0:c r="F722" s="8" t="str">
        <ns0:f>IF(OR(B722="",J722&lt;&gt;"販売済み",E722="",C722=""),"",IFERROR(IF(OR(COUNTIF('手数料マスタ'!$A$5:$A$104,C722)&lt;&gt;1,COUNTIFS('手数料マスタ'!$A$5:$A$104,C722,'手数料マスタ'!$B$5:$B$104,"&lt;&gt;")&lt;&gt;1,NOT(ISNUMBER(VLOOKUP(C722,'手数料マスタ'!$A$5:$B$104,2,FALSE))),VLOOKUP(C722,'手数料マスタ'!$A$5:$B$104,2,FALSE)&lt;0,VLOOKUP(C722,'手数料マスタ'!$A$5:$B$104,2,FALSE)&gt;1),"要確認",ROUND(E722*VLOOKUP(C722,'手数料マスタ'!$A$5:$B$104,2,FALSE),0)),"要確認"))</ns0:f>
        <ns0:v/>
      </ns0:c>
      <ns0:c r="G722" s="7" t="n"/>
      <ns0:c r="H722" s="7" t="n"/>
      <ns0:c r="I722" s="8" t="str">
        <ns0:f>IF(OR(B722="",J722&lt;&gt;"販売済み",D722="",E722="",G722="",H722=""),"",IF(ISNUMBER(F722),E722-D722-F722-G722-H722,"要確認"))</ns0:f>
        <ns0:v/>
      </ns0:c>
      <ns0:c r="J722" s="6" t="n"/>
      <ns0:c r="K722" s="5" t="n"/>
      <ns0:c r="L722" s="9" t="str">
        <ns0:f>IF(AND(B722&lt;&gt;"",J722="在庫"),COUNTIFS($J$5:J722,"在庫",$B$5:B722,"&lt;&gt;"),"")</ns0:f>
        <ns0:v/>
      </ns0:c>
    </ns0:row>
    <ns0:row r="723">
      <ns0:c r="A723" s="5" t="n"/>
      <ns0:c r="B723" s="6" t="n"/>
      <ns0:c r="C723" s="6" t="n"/>
      <ns0:c r="D723" s="7" t="n"/>
      <ns0:c r="E723" s="7" t="n"/>
      <ns0:c r="F723" s="8" t="str">
        <ns0:f>IF(OR(B723="",J723&lt;&gt;"販売済み",E723="",C723=""),"",IFERROR(IF(OR(COUNTIF('手数料マスタ'!$A$5:$A$104,C723)&lt;&gt;1,COUNTIFS('手数料マスタ'!$A$5:$A$104,C723,'手数料マスタ'!$B$5:$B$104,"&lt;&gt;")&lt;&gt;1,NOT(ISNUMBER(VLOOKUP(C723,'手数料マスタ'!$A$5:$B$104,2,FALSE))),VLOOKUP(C723,'手数料マスタ'!$A$5:$B$104,2,FALSE)&lt;0,VLOOKUP(C723,'手数料マスタ'!$A$5:$B$104,2,FALSE)&gt;1),"要確認",ROUND(E723*VLOOKUP(C723,'手数料マスタ'!$A$5:$B$104,2,FALSE),0)),"要確認"))</ns0:f>
        <ns0:v/>
      </ns0:c>
      <ns0:c r="G723" s="7" t="n"/>
      <ns0:c r="H723" s="7" t="n"/>
      <ns0:c r="I723" s="8" t="str">
        <ns0:f>IF(OR(B723="",J723&lt;&gt;"販売済み",D723="",E723="",G723="",H723=""),"",IF(ISNUMBER(F723),E723-D723-F723-G723-H723,"要確認"))</ns0:f>
        <ns0:v/>
      </ns0:c>
      <ns0:c r="J723" s="6" t="n"/>
      <ns0:c r="K723" s="5" t="n"/>
      <ns0:c r="L723" s="9" t="str">
        <ns0:f>IF(AND(B723&lt;&gt;"",J723="在庫"),COUNTIFS($J$5:J723,"在庫",$B$5:B723,"&lt;&gt;"),"")</ns0:f>
        <ns0:v/>
      </ns0:c>
    </ns0:row>
    <ns0:row r="724">
      <ns0:c r="A724" s="5" t="n"/>
      <ns0:c r="B724" s="6" t="n"/>
      <ns0:c r="C724" s="6" t="n"/>
      <ns0:c r="D724" s="7" t="n"/>
      <ns0:c r="E724" s="7" t="n"/>
      <ns0:c r="F724" s="8" t="str">
        <ns0:f>IF(OR(B724="",J724&lt;&gt;"販売済み",E724="",C724=""),"",IFERROR(IF(OR(COUNTIF('手数料マスタ'!$A$5:$A$104,C724)&lt;&gt;1,COUNTIFS('手数料マスタ'!$A$5:$A$104,C724,'手数料マスタ'!$B$5:$B$104,"&lt;&gt;")&lt;&gt;1,NOT(ISNUMBER(VLOOKUP(C724,'手数料マスタ'!$A$5:$B$104,2,FALSE))),VLOOKUP(C724,'手数料マスタ'!$A$5:$B$104,2,FALSE)&lt;0,VLOOKUP(C724,'手数料マスタ'!$A$5:$B$104,2,FALSE)&gt;1),"要確認",ROUND(E724*VLOOKUP(C724,'手数料マスタ'!$A$5:$B$104,2,FALSE),0)),"要確認"))</ns0:f>
        <ns0:v/>
      </ns0:c>
      <ns0:c r="G724" s="7" t="n"/>
      <ns0:c r="H724" s="7" t="n"/>
      <ns0:c r="I724" s="8" t="str">
        <ns0:f>IF(OR(B724="",J724&lt;&gt;"販売済み",D724="",E724="",G724="",H724=""),"",IF(ISNUMBER(F724),E724-D724-F724-G724-H724,"要確認"))</ns0:f>
        <ns0:v/>
      </ns0:c>
      <ns0:c r="J724" s="6" t="n"/>
      <ns0:c r="K724" s="5" t="n"/>
      <ns0:c r="L724" s="9" t="str">
        <ns0:f>IF(AND(B724&lt;&gt;"",J724="在庫"),COUNTIFS($J$5:J724,"在庫",$B$5:B724,"&lt;&gt;"),"")</ns0:f>
        <ns0:v/>
      </ns0:c>
    </ns0:row>
    <ns0:row r="725">
      <ns0:c r="A725" s="5" t="n"/>
      <ns0:c r="B725" s="6" t="n"/>
      <ns0:c r="C725" s="6" t="n"/>
      <ns0:c r="D725" s="7" t="n"/>
      <ns0:c r="E725" s="7" t="n"/>
      <ns0:c r="F725" s="8" t="str">
        <ns0:f>IF(OR(B725="",J725&lt;&gt;"販売済み",E725="",C725=""),"",IFERROR(IF(OR(COUNTIF('手数料マスタ'!$A$5:$A$104,C725)&lt;&gt;1,COUNTIFS('手数料マスタ'!$A$5:$A$104,C725,'手数料マスタ'!$B$5:$B$104,"&lt;&gt;")&lt;&gt;1,NOT(ISNUMBER(VLOOKUP(C725,'手数料マスタ'!$A$5:$B$104,2,FALSE))),VLOOKUP(C725,'手数料マスタ'!$A$5:$B$104,2,FALSE)&lt;0,VLOOKUP(C725,'手数料マスタ'!$A$5:$B$104,2,FALSE)&gt;1),"要確認",ROUND(E725*VLOOKUP(C725,'手数料マスタ'!$A$5:$B$104,2,FALSE),0)),"要確認"))</ns0:f>
        <ns0:v/>
      </ns0:c>
      <ns0:c r="G725" s="7" t="n"/>
      <ns0:c r="H725" s="7" t="n"/>
      <ns0:c r="I725" s="8" t="str">
        <ns0:f>IF(OR(B725="",J725&lt;&gt;"販売済み",D725="",E725="",G725="",H725=""),"",IF(ISNUMBER(F725),E725-D725-F725-G725-H725,"要確認"))</ns0:f>
        <ns0:v/>
      </ns0:c>
      <ns0:c r="J725" s="6" t="n"/>
      <ns0:c r="K725" s="5" t="n"/>
      <ns0:c r="L725" s="9" t="str">
        <ns0:f>IF(AND(B725&lt;&gt;"",J725="在庫"),COUNTIFS($J$5:J725,"在庫",$B$5:B725,"&lt;&gt;"),"")</ns0:f>
        <ns0:v/>
      </ns0:c>
    </ns0:row>
    <ns0:row r="726">
      <ns0:c r="A726" s="5" t="n"/>
      <ns0:c r="B726" s="6" t="n"/>
      <ns0:c r="C726" s="6" t="n"/>
      <ns0:c r="D726" s="7" t="n"/>
      <ns0:c r="E726" s="7" t="n"/>
      <ns0:c r="F726" s="8" t="str">
        <ns0:f>IF(OR(B726="",J726&lt;&gt;"販売済み",E726="",C726=""),"",IFERROR(IF(OR(COUNTIF('手数料マスタ'!$A$5:$A$104,C726)&lt;&gt;1,COUNTIFS('手数料マスタ'!$A$5:$A$104,C726,'手数料マスタ'!$B$5:$B$104,"&lt;&gt;")&lt;&gt;1,NOT(ISNUMBER(VLOOKUP(C726,'手数料マスタ'!$A$5:$B$104,2,FALSE))),VLOOKUP(C726,'手数料マスタ'!$A$5:$B$104,2,FALSE)&lt;0,VLOOKUP(C726,'手数料マスタ'!$A$5:$B$104,2,FALSE)&gt;1),"要確認",ROUND(E726*VLOOKUP(C726,'手数料マスタ'!$A$5:$B$104,2,FALSE),0)),"要確認"))</ns0:f>
        <ns0:v/>
      </ns0:c>
      <ns0:c r="G726" s="7" t="n"/>
      <ns0:c r="H726" s="7" t="n"/>
      <ns0:c r="I726" s="8" t="str">
        <ns0:f>IF(OR(B726="",J726&lt;&gt;"販売済み",D726="",E726="",G726="",H726=""),"",IF(ISNUMBER(F726),E726-D726-F726-G726-H726,"要確認"))</ns0:f>
        <ns0:v/>
      </ns0:c>
      <ns0:c r="J726" s="6" t="n"/>
      <ns0:c r="K726" s="5" t="n"/>
      <ns0:c r="L726" s="9" t="str">
        <ns0:f>IF(AND(B726&lt;&gt;"",J726="在庫"),COUNTIFS($J$5:J726,"在庫",$B$5:B726,"&lt;&gt;"),"")</ns0:f>
        <ns0:v/>
      </ns0:c>
    </ns0:row>
    <ns0:row r="727">
      <ns0:c r="A727" s="5" t="n"/>
      <ns0:c r="B727" s="6" t="n"/>
      <ns0:c r="C727" s="6" t="n"/>
      <ns0:c r="D727" s="7" t="n"/>
      <ns0:c r="E727" s="7" t="n"/>
      <ns0:c r="F727" s="8" t="str">
        <ns0:f>IF(OR(B727="",J727&lt;&gt;"販売済み",E727="",C727=""),"",IFERROR(IF(OR(COUNTIF('手数料マスタ'!$A$5:$A$104,C727)&lt;&gt;1,COUNTIFS('手数料マスタ'!$A$5:$A$104,C727,'手数料マスタ'!$B$5:$B$104,"&lt;&gt;")&lt;&gt;1,NOT(ISNUMBER(VLOOKUP(C727,'手数料マスタ'!$A$5:$B$104,2,FALSE))),VLOOKUP(C727,'手数料マスタ'!$A$5:$B$104,2,FALSE)&lt;0,VLOOKUP(C727,'手数料マスタ'!$A$5:$B$104,2,FALSE)&gt;1),"要確認",ROUND(E727*VLOOKUP(C727,'手数料マスタ'!$A$5:$B$104,2,FALSE),0)),"要確認"))</ns0:f>
        <ns0:v/>
      </ns0:c>
      <ns0:c r="G727" s="7" t="n"/>
      <ns0:c r="H727" s="7" t="n"/>
      <ns0:c r="I727" s="8" t="str">
        <ns0:f>IF(OR(B727="",J727&lt;&gt;"販売済み",D727="",E727="",G727="",H727=""),"",IF(ISNUMBER(F727),E727-D727-F727-G727-H727,"要確認"))</ns0:f>
        <ns0:v/>
      </ns0:c>
      <ns0:c r="J727" s="6" t="n"/>
      <ns0:c r="K727" s="5" t="n"/>
      <ns0:c r="L727" s="9" t="str">
        <ns0:f>IF(AND(B727&lt;&gt;"",J727="在庫"),COUNTIFS($J$5:J727,"在庫",$B$5:B727,"&lt;&gt;"),"")</ns0:f>
        <ns0:v/>
      </ns0:c>
    </ns0:row>
    <ns0:row r="728">
      <ns0:c r="A728" s="5" t="n"/>
      <ns0:c r="B728" s="6" t="n"/>
      <ns0:c r="C728" s="6" t="n"/>
      <ns0:c r="D728" s="7" t="n"/>
      <ns0:c r="E728" s="7" t="n"/>
      <ns0:c r="F728" s="8" t="str">
        <ns0:f>IF(OR(B728="",J728&lt;&gt;"販売済み",E728="",C728=""),"",IFERROR(IF(OR(COUNTIF('手数料マスタ'!$A$5:$A$104,C728)&lt;&gt;1,COUNTIFS('手数料マスタ'!$A$5:$A$104,C728,'手数料マスタ'!$B$5:$B$104,"&lt;&gt;")&lt;&gt;1,NOT(ISNUMBER(VLOOKUP(C728,'手数料マスタ'!$A$5:$B$104,2,FALSE))),VLOOKUP(C728,'手数料マスタ'!$A$5:$B$104,2,FALSE)&lt;0,VLOOKUP(C728,'手数料マスタ'!$A$5:$B$104,2,FALSE)&gt;1),"要確認",ROUND(E728*VLOOKUP(C728,'手数料マスタ'!$A$5:$B$104,2,FALSE),0)),"要確認"))</ns0:f>
        <ns0:v/>
      </ns0:c>
      <ns0:c r="G728" s="7" t="n"/>
      <ns0:c r="H728" s="7" t="n"/>
      <ns0:c r="I728" s="8" t="str">
        <ns0:f>IF(OR(B728="",J728&lt;&gt;"販売済み",D728="",E728="",G728="",H728=""),"",IF(ISNUMBER(F728),E728-D728-F728-G728-H728,"要確認"))</ns0:f>
        <ns0:v/>
      </ns0:c>
      <ns0:c r="J728" s="6" t="n"/>
      <ns0:c r="K728" s="5" t="n"/>
      <ns0:c r="L728" s="9" t="str">
        <ns0:f>IF(AND(B728&lt;&gt;"",J728="在庫"),COUNTIFS($J$5:J728,"在庫",$B$5:B728,"&lt;&gt;"),"")</ns0:f>
        <ns0:v/>
      </ns0:c>
    </ns0:row>
    <ns0:row r="729">
      <ns0:c r="A729" s="5" t="n"/>
      <ns0:c r="B729" s="6" t="n"/>
      <ns0:c r="C729" s="6" t="n"/>
      <ns0:c r="D729" s="7" t="n"/>
      <ns0:c r="E729" s="7" t="n"/>
      <ns0:c r="F729" s="8" t="str">
        <ns0:f>IF(OR(B729="",J729&lt;&gt;"販売済み",E729="",C729=""),"",IFERROR(IF(OR(COUNTIF('手数料マスタ'!$A$5:$A$104,C729)&lt;&gt;1,COUNTIFS('手数料マスタ'!$A$5:$A$104,C729,'手数料マスタ'!$B$5:$B$104,"&lt;&gt;")&lt;&gt;1,NOT(ISNUMBER(VLOOKUP(C729,'手数料マスタ'!$A$5:$B$104,2,FALSE))),VLOOKUP(C729,'手数料マスタ'!$A$5:$B$104,2,FALSE)&lt;0,VLOOKUP(C729,'手数料マスタ'!$A$5:$B$104,2,FALSE)&gt;1),"要確認",ROUND(E729*VLOOKUP(C729,'手数料マスタ'!$A$5:$B$104,2,FALSE),0)),"要確認"))</ns0:f>
        <ns0:v/>
      </ns0:c>
      <ns0:c r="G729" s="7" t="n"/>
      <ns0:c r="H729" s="7" t="n"/>
      <ns0:c r="I729" s="8" t="str">
        <ns0:f>IF(OR(B729="",J729&lt;&gt;"販売済み",D729="",E729="",G729="",H729=""),"",IF(ISNUMBER(F729),E729-D729-F729-G729-H729,"要確認"))</ns0:f>
        <ns0:v/>
      </ns0:c>
      <ns0:c r="J729" s="6" t="n"/>
      <ns0:c r="K729" s="5" t="n"/>
      <ns0:c r="L729" s="9" t="str">
        <ns0:f>IF(AND(B729&lt;&gt;"",J729="在庫"),COUNTIFS($J$5:J729,"在庫",$B$5:B729,"&lt;&gt;"),"")</ns0:f>
        <ns0:v/>
      </ns0:c>
    </ns0:row>
    <ns0:row r="730">
      <ns0:c r="A730" s="5" t="n"/>
      <ns0:c r="B730" s="6" t="n"/>
      <ns0:c r="C730" s="6" t="n"/>
      <ns0:c r="D730" s="7" t="n"/>
      <ns0:c r="E730" s="7" t="n"/>
      <ns0:c r="F730" s="8" t="str">
        <ns0:f>IF(OR(B730="",J730&lt;&gt;"販売済み",E730="",C730=""),"",IFERROR(IF(OR(COUNTIF('手数料マスタ'!$A$5:$A$104,C730)&lt;&gt;1,COUNTIFS('手数料マスタ'!$A$5:$A$104,C730,'手数料マスタ'!$B$5:$B$104,"&lt;&gt;")&lt;&gt;1,NOT(ISNUMBER(VLOOKUP(C730,'手数料マスタ'!$A$5:$B$104,2,FALSE))),VLOOKUP(C730,'手数料マスタ'!$A$5:$B$104,2,FALSE)&lt;0,VLOOKUP(C730,'手数料マスタ'!$A$5:$B$104,2,FALSE)&gt;1),"要確認",ROUND(E730*VLOOKUP(C730,'手数料マスタ'!$A$5:$B$104,2,FALSE),0)),"要確認"))</ns0:f>
        <ns0:v/>
      </ns0:c>
      <ns0:c r="G730" s="7" t="n"/>
      <ns0:c r="H730" s="7" t="n"/>
      <ns0:c r="I730" s="8" t="str">
        <ns0:f>IF(OR(B730="",J730&lt;&gt;"販売済み",D730="",E730="",G730="",H730=""),"",IF(ISNUMBER(F730),E730-D730-F730-G730-H730,"要確認"))</ns0:f>
        <ns0:v/>
      </ns0:c>
      <ns0:c r="J730" s="6" t="n"/>
      <ns0:c r="K730" s="5" t="n"/>
      <ns0:c r="L730" s="9" t="str">
        <ns0:f>IF(AND(B730&lt;&gt;"",J730="在庫"),COUNTIFS($J$5:J730,"在庫",$B$5:B730,"&lt;&gt;"),"")</ns0:f>
        <ns0:v/>
      </ns0:c>
    </ns0:row>
    <ns0:row r="731">
      <ns0:c r="A731" s="5" t="n"/>
      <ns0:c r="B731" s="6" t="n"/>
      <ns0:c r="C731" s="6" t="n"/>
      <ns0:c r="D731" s="7" t="n"/>
      <ns0:c r="E731" s="7" t="n"/>
      <ns0:c r="F731" s="8" t="str">
        <ns0:f>IF(OR(B731="",J731&lt;&gt;"販売済み",E731="",C731=""),"",IFERROR(IF(OR(COUNTIF('手数料マスタ'!$A$5:$A$104,C731)&lt;&gt;1,COUNTIFS('手数料マスタ'!$A$5:$A$104,C731,'手数料マスタ'!$B$5:$B$104,"&lt;&gt;")&lt;&gt;1,NOT(ISNUMBER(VLOOKUP(C731,'手数料マスタ'!$A$5:$B$104,2,FALSE))),VLOOKUP(C731,'手数料マスタ'!$A$5:$B$104,2,FALSE)&lt;0,VLOOKUP(C731,'手数料マスタ'!$A$5:$B$104,2,FALSE)&gt;1),"要確認",ROUND(E731*VLOOKUP(C731,'手数料マスタ'!$A$5:$B$104,2,FALSE),0)),"要確認"))</ns0:f>
        <ns0:v/>
      </ns0:c>
      <ns0:c r="G731" s="7" t="n"/>
      <ns0:c r="H731" s="7" t="n"/>
      <ns0:c r="I731" s="8" t="str">
        <ns0:f>IF(OR(B731="",J731&lt;&gt;"販売済み",D731="",E731="",G731="",H731=""),"",IF(ISNUMBER(F731),E731-D731-F731-G731-H731,"要確認"))</ns0:f>
        <ns0:v/>
      </ns0:c>
      <ns0:c r="J731" s="6" t="n"/>
      <ns0:c r="K731" s="5" t="n"/>
      <ns0:c r="L731" s="9" t="str">
        <ns0:f>IF(AND(B731&lt;&gt;"",J731="在庫"),COUNTIFS($J$5:J731,"在庫",$B$5:B731,"&lt;&gt;"),"")</ns0:f>
        <ns0:v/>
      </ns0:c>
    </ns0:row>
    <ns0:row r="732">
      <ns0:c r="A732" s="5" t="n"/>
      <ns0:c r="B732" s="6" t="n"/>
      <ns0:c r="C732" s="6" t="n"/>
      <ns0:c r="D732" s="7" t="n"/>
      <ns0:c r="E732" s="7" t="n"/>
      <ns0:c r="F732" s="8" t="str">
        <ns0:f>IF(OR(B732="",J732&lt;&gt;"販売済み",E732="",C732=""),"",IFERROR(IF(OR(COUNTIF('手数料マスタ'!$A$5:$A$104,C732)&lt;&gt;1,COUNTIFS('手数料マスタ'!$A$5:$A$104,C732,'手数料マスタ'!$B$5:$B$104,"&lt;&gt;")&lt;&gt;1,NOT(ISNUMBER(VLOOKUP(C732,'手数料マスタ'!$A$5:$B$104,2,FALSE))),VLOOKUP(C732,'手数料マスタ'!$A$5:$B$104,2,FALSE)&lt;0,VLOOKUP(C732,'手数料マスタ'!$A$5:$B$104,2,FALSE)&gt;1),"要確認",ROUND(E732*VLOOKUP(C732,'手数料マスタ'!$A$5:$B$104,2,FALSE),0)),"要確認"))</ns0:f>
        <ns0:v/>
      </ns0:c>
      <ns0:c r="G732" s="7" t="n"/>
      <ns0:c r="H732" s="7" t="n"/>
      <ns0:c r="I732" s="8" t="str">
        <ns0:f>IF(OR(B732="",J732&lt;&gt;"販売済み",D732="",E732="",G732="",H732=""),"",IF(ISNUMBER(F732),E732-D732-F732-G732-H732,"要確認"))</ns0:f>
        <ns0:v/>
      </ns0:c>
      <ns0:c r="J732" s="6" t="n"/>
      <ns0:c r="K732" s="5" t="n"/>
      <ns0:c r="L732" s="9" t="str">
        <ns0:f>IF(AND(B732&lt;&gt;"",J732="在庫"),COUNTIFS($J$5:J732,"在庫",$B$5:B732,"&lt;&gt;"),"")</ns0:f>
        <ns0:v/>
      </ns0:c>
    </ns0:row>
    <ns0:row r="733">
      <ns0:c r="A733" s="5" t="n"/>
      <ns0:c r="B733" s="6" t="n"/>
      <ns0:c r="C733" s="6" t="n"/>
      <ns0:c r="D733" s="7" t="n"/>
      <ns0:c r="E733" s="7" t="n"/>
      <ns0:c r="F733" s="8" t="str">
        <ns0:f>IF(OR(B733="",J733&lt;&gt;"販売済み",E733="",C733=""),"",IFERROR(IF(OR(COUNTIF('手数料マスタ'!$A$5:$A$104,C733)&lt;&gt;1,COUNTIFS('手数料マスタ'!$A$5:$A$104,C733,'手数料マスタ'!$B$5:$B$104,"&lt;&gt;")&lt;&gt;1,NOT(ISNUMBER(VLOOKUP(C733,'手数料マスタ'!$A$5:$B$104,2,FALSE))),VLOOKUP(C733,'手数料マスタ'!$A$5:$B$104,2,FALSE)&lt;0,VLOOKUP(C733,'手数料マスタ'!$A$5:$B$104,2,FALSE)&gt;1),"要確認",ROUND(E733*VLOOKUP(C733,'手数料マスタ'!$A$5:$B$104,2,FALSE),0)),"要確認"))</ns0:f>
        <ns0:v/>
      </ns0:c>
      <ns0:c r="G733" s="7" t="n"/>
      <ns0:c r="H733" s="7" t="n"/>
      <ns0:c r="I733" s="8" t="str">
        <ns0:f>IF(OR(B733="",J733&lt;&gt;"販売済み",D733="",E733="",G733="",H733=""),"",IF(ISNUMBER(F733),E733-D733-F733-G733-H733,"要確認"))</ns0:f>
        <ns0:v/>
      </ns0:c>
      <ns0:c r="J733" s="6" t="n"/>
      <ns0:c r="K733" s="5" t="n"/>
      <ns0:c r="L733" s="9" t="str">
        <ns0:f>IF(AND(B733&lt;&gt;"",J733="在庫"),COUNTIFS($J$5:J733,"在庫",$B$5:B733,"&lt;&gt;"),"")</ns0:f>
        <ns0:v/>
      </ns0:c>
    </ns0:row>
    <ns0:row r="734">
      <ns0:c r="A734" s="5" t="n"/>
      <ns0:c r="B734" s="6" t="n"/>
      <ns0:c r="C734" s="6" t="n"/>
      <ns0:c r="D734" s="7" t="n"/>
      <ns0:c r="E734" s="7" t="n"/>
      <ns0:c r="F734" s="8" t="str">
        <ns0:f>IF(OR(B734="",J734&lt;&gt;"販売済み",E734="",C734=""),"",IFERROR(IF(OR(COUNTIF('手数料マスタ'!$A$5:$A$104,C734)&lt;&gt;1,COUNTIFS('手数料マスタ'!$A$5:$A$104,C734,'手数料マスタ'!$B$5:$B$104,"&lt;&gt;")&lt;&gt;1,NOT(ISNUMBER(VLOOKUP(C734,'手数料マスタ'!$A$5:$B$104,2,FALSE))),VLOOKUP(C734,'手数料マスタ'!$A$5:$B$104,2,FALSE)&lt;0,VLOOKUP(C734,'手数料マスタ'!$A$5:$B$104,2,FALSE)&gt;1),"要確認",ROUND(E734*VLOOKUP(C734,'手数料マスタ'!$A$5:$B$104,2,FALSE),0)),"要確認"))</ns0:f>
        <ns0:v/>
      </ns0:c>
      <ns0:c r="G734" s="7" t="n"/>
      <ns0:c r="H734" s="7" t="n"/>
      <ns0:c r="I734" s="8" t="str">
        <ns0:f>IF(OR(B734="",J734&lt;&gt;"販売済み",D734="",E734="",G734="",H734=""),"",IF(ISNUMBER(F734),E734-D734-F734-G734-H734,"要確認"))</ns0:f>
        <ns0:v/>
      </ns0:c>
      <ns0:c r="J734" s="6" t="n"/>
      <ns0:c r="K734" s="5" t="n"/>
      <ns0:c r="L734" s="9" t="str">
        <ns0:f>IF(AND(B734&lt;&gt;"",J734="在庫"),COUNTIFS($J$5:J734,"在庫",$B$5:B734,"&lt;&gt;"),"")</ns0:f>
        <ns0:v/>
      </ns0:c>
    </ns0:row>
    <ns0:row r="735">
      <ns0:c r="A735" s="5" t="n"/>
      <ns0:c r="B735" s="6" t="n"/>
      <ns0:c r="C735" s="6" t="n"/>
      <ns0:c r="D735" s="7" t="n"/>
      <ns0:c r="E735" s="7" t="n"/>
      <ns0:c r="F735" s="8" t="str">
        <ns0:f>IF(OR(B735="",J735&lt;&gt;"販売済み",E735="",C735=""),"",IFERROR(IF(OR(COUNTIF('手数料マスタ'!$A$5:$A$104,C735)&lt;&gt;1,COUNTIFS('手数料マスタ'!$A$5:$A$104,C735,'手数料マスタ'!$B$5:$B$104,"&lt;&gt;")&lt;&gt;1,NOT(ISNUMBER(VLOOKUP(C735,'手数料マスタ'!$A$5:$B$104,2,FALSE))),VLOOKUP(C735,'手数料マスタ'!$A$5:$B$104,2,FALSE)&lt;0,VLOOKUP(C735,'手数料マスタ'!$A$5:$B$104,2,FALSE)&gt;1),"要確認",ROUND(E735*VLOOKUP(C735,'手数料マスタ'!$A$5:$B$104,2,FALSE),0)),"要確認"))</ns0:f>
        <ns0:v/>
      </ns0:c>
      <ns0:c r="G735" s="7" t="n"/>
      <ns0:c r="H735" s="7" t="n"/>
      <ns0:c r="I735" s="8" t="str">
        <ns0:f>IF(OR(B735="",J735&lt;&gt;"販売済み",D735="",E735="",G735="",H735=""),"",IF(ISNUMBER(F735),E735-D735-F735-G735-H735,"要確認"))</ns0:f>
        <ns0:v/>
      </ns0:c>
      <ns0:c r="J735" s="6" t="n"/>
      <ns0:c r="K735" s="5" t="n"/>
      <ns0:c r="L735" s="9" t="str">
        <ns0:f>IF(AND(B735&lt;&gt;"",J735="在庫"),COUNTIFS($J$5:J735,"在庫",$B$5:B735,"&lt;&gt;"),"")</ns0:f>
        <ns0:v/>
      </ns0:c>
    </ns0:row>
    <ns0:row r="736">
      <ns0:c r="A736" s="5" t="n"/>
      <ns0:c r="B736" s="6" t="n"/>
      <ns0:c r="C736" s="6" t="n"/>
      <ns0:c r="D736" s="7" t="n"/>
      <ns0:c r="E736" s="7" t="n"/>
      <ns0:c r="F736" s="8" t="str">
        <ns0:f>IF(OR(B736="",J736&lt;&gt;"販売済み",E736="",C736=""),"",IFERROR(IF(OR(COUNTIF('手数料マスタ'!$A$5:$A$104,C736)&lt;&gt;1,COUNTIFS('手数料マスタ'!$A$5:$A$104,C736,'手数料マスタ'!$B$5:$B$104,"&lt;&gt;")&lt;&gt;1,NOT(ISNUMBER(VLOOKUP(C736,'手数料マスタ'!$A$5:$B$104,2,FALSE))),VLOOKUP(C736,'手数料マスタ'!$A$5:$B$104,2,FALSE)&lt;0,VLOOKUP(C736,'手数料マスタ'!$A$5:$B$104,2,FALSE)&gt;1),"要確認",ROUND(E736*VLOOKUP(C736,'手数料マスタ'!$A$5:$B$104,2,FALSE),0)),"要確認"))</ns0:f>
        <ns0:v/>
      </ns0:c>
      <ns0:c r="G736" s="7" t="n"/>
      <ns0:c r="H736" s="7" t="n"/>
      <ns0:c r="I736" s="8" t="str">
        <ns0:f>IF(OR(B736="",J736&lt;&gt;"販売済み",D736="",E736="",G736="",H736=""),"",IF(ISNUMBER(F736),E736-D736-F736-G736-H736,"要確認"))</ns0:f>
        <ns0:v/>
      </ns0:c>
      <ns0:c r="J736" s="6" t="n"/>
      <ns0:c r="K736" s="5" t="n"/>
      <ns0:c r="L736" s="9" t="str">
        <ns0:f>IF(AND(B736&lt;&gt;"",J736="在庫"),COUNTIFS($J$5:J736,"在庫",$B$5:B736,"&lt;&gt;"),"")</ns0:f>
        <ns0:v/>
      </ns0:c>
    </ns0:row>
    <ns0:row r="737">
      <ns0:c r="A737" s="5" t="n"/>
      <ns0:c r="B737" s="6" t="n"/>
      <ns0:c r="C737" s="6" t="n"/>
      <ns0:c r="D737" s="7" t="n"/>
      <ns0:c r="E737" s="7" t="n"/>
      <ns0:c r="F737" s="8" t="str">
        <ns0:f>IF(OR(B737="",J737&lt;&gt;"販売済み",E737="",C737=""),"",IFERROR(IF(OR(COUNTIF('手数料マスタ'!$A$5:$A$104,C737)&lt;&gt;1,COUNTIFS('手数料マスタ'!$A$5:$A$104,C737,'手数料マスタ'!$B$5:$B$104,"&lt;&gt;")&lt;&gt;1,NOT(ISNUMBER(VLOOKUP(C737,'手数料マスタ'!$A$5:$B$104,2,FALSE))),VLOOKUP(C737,'手数料マスタ'!$A$5:$B$104,2,FALSE)&lt;0,VLOOKUP(C737,'手数料マスタ'!$A$5:$B$104,2,FALSE)&gt;1),"要確認",ROUND(E737*VLOOKUP(C737,'手数料マスタ'!$A$5:$B$104,2,FALSE),0)),"要確認"))</ns0:f>
        <ns0:v/>
      </ns0:c>
      <ns0:c r="G737" s="7" t="n"/>
      <ns0:c r="H737" s="7" t="n"/>
      <ns0:c r="I737" s="8" t="str">
        <ns0:f>IF(OR(B737="",J737&lt;&gt;"販売済み",D737="",E737="",G737="",H737=""),"",IF(ISNUMBER(F737),E737-D737-F737-G737-H737,"要確認"))</ns0:f>
        <ns0:v/>
      </ns0:c>
      <ns0:c r="J737" s="6" t="n"/>
      <ns0:c r="K737" s="5" t="n"/>
      <ns0:c r="L737" s="9" t="str">
        <ns0:f>IF(AND(B737&lt;&gt;"",J737="在庫"),COUNTIFS($J$5:J737,"在庫",$B$5:B737,"&lt;&gt;"),"")</ns0:f>
        <ns0:v/>
      </ns0:c>
    </ns0:row>
    <ns0:row r="738">
      <ns0:c r="A738" s="5" t="n"/>
      <ns0:c r="B738" s="6" t="n"/>
      <ns0:c r="C738" s="6" t="n"/>
      <ns0:c r="D738" s="7" t="n"/>
      <ns0:c r="E738" s="7" t="n"/>
      <ns0:c r="F738" s="8" t="str">
        <ns0:f>IF(OR(B738="",J738&lt;&gt;"販売済み",E738="",C738=""),"",IFERROR(IF(OR(COUNTIF('手数料マスタ'!$A$5:$A$104,C738)&lt;&gt;1,COUNTIFS('手数料マスタ'!$A$5:$A$104,C738,'手数料マスタ'!$B$5:$B$104,"&lt;&gt;")&lt;&gt;1,NOT(ISNUMBER(VLOOKUP(C738,'手数料マスタ'!$A$5:$B$104,2,FALSE))),VLOOKUP(C738,'手数料マスタ'!$A$5:$B$104,2,FALSE)&lt;0,VLOOKUP(C738,'手数料マスタ'!$A$5:$B$104,2,FALSE)&gt;1),"要確認",ROUND(E738*VLOOKUP(C738,'手数料マスタ'!$A$5:$B$104,2,FALSE),0)),"要確認"))</ns0:f>
        <ns0:v/>
      </ns0:c>
      <ns0:c r="G738" s="7" t="n"/>
      <ns0:c r="H738" s="7" t="n"/>
      <ns0:c r="I738" s="8" t="str">
        <ns0:f>IF(OR(B738="",J738&lt;&gt;"販売済み",D738="",E738="",G738="",H738=""),"",IF(ISNUMBER(F738),E738-D738-F738-G738-H738,"要確認"))</ns0:f>
        <ns0:v/>
      </ns0:c>
      <ns0:c r="J738" s="6" t="n"/>
      <ns0:c r="K738" s="5" t="n"/>
      <ns0:c r="L738" s="9" t="str">
        <ns0:f>IF(AND(B738&lt;&gt;"",J738="在庫"),COUNTIFS($J$5:J738,"在庫",$B$5:B738,"&lt;&gt;"),"")</ns0:f>
        <ns0:v/>
      </ns0:c>
    </ns0:row>
    <ns0:row r="739">
      <ns0:c r="A739" s="5" t="n"/>
      <ns0:c r="B739" s="6" t="n"/>
      <ns0:c r="C739" s="6" t="n"/>
      <ns0:c r="D739" s="7" t="n"/>
      <ns0:c r="E739" s="7" t="n"/>
      <ns0:c r="F739" s="8" t="str">
        <ns0:f>IF(OR(B739="",J739&lt;&gt;"販売済み",E739="",C739=""),"",IFERROR(IF(OR(COUNTIF('手数料マスタ'!$A$5:$A$104,C739)&lt;&gt;1,COUNTIFS('手数料マスタ'!$A$5:$A$104,C739,'手数料マスタ'!$B$5:$B$104,"&lt;&gt;")&lt;&gt;1,NOT(ISNUMBER(VLOOKUP(C739,'手数料マスタ'!$A$5:$B$104,2,FALSE))),VLOOKUP(C739,'手数料マスタ'!$A$5:$B$104,2,FALSE)&lt;0,VLOOKUP(C739,'手数料マスタ'!$A$5:$B$104,2,FALSE)&gt;1),"要確認",ROUND(E739*VLOOKUP(C739,'手数料マスタ'!$A$5:$B$104,2,FALSE),0)),"要確認"))</ns0:f>
        <ns0:v/>
      </ns0:c>
      <ns0:c r="G739" s="7" t="n"/>
      <ns0:c r="H739" s="7" t="n"/>
      <ns0:c r="I739" s="8" t="str">
        <ns0:f>IF(OR(B739="",J739&lt;&gt;"販売済み",D739="",E739="",G739="",H739=""),"",IF(ISNUMBER(F739),E739-D739-F739-G739-H739,"要確認"))</ns0:f>
        <ns0:v/>
      </ns0:c>
      <ns0:c r="J739" s="6" t="n"/>
      <ns0:c r="K739" s="5" t="n"/>
      <ns0:c r="L739" s="9" t="str">
        <ns0:f>IF(AND(B739&lt;&gt;"",J739="在庫"),COUNTIFS($J$5:J739,"在庫",$B$5:B739,"&lt;&gt;"),"")</ns0:f>
        <ns0:v/>
      </ns0:c>
    </ns0:row>
    <ns0:row r="740">
      <ns0:c r="A740" s="5" t="n"/>
      <ns0:c r="B740" s="6" t="n"/>
      <ns0:c r="C740" s="6" t="n"/>
      <ns0:c r="D740" s="7" t="n"/>
      <ns0:c r="E740" s="7" t="n"/>
      <ns0:c r="F740" s="8" t="str">
        <ns0:f>IF(OR(B740="",J740&lt;&gt;"販売済み",E740="",C740=""),"",IFERROR(IF(OR(COUNTIF('手数料マスタ'!$A$5:$A$104,C740)&lt;&gt;1,COUNTIFS('手数料マスタ'!$A$5:$A$104,C740,'手数料マスタ'!$B$5:$B$104,"&lt;&gt;")&lt;&gt;1,NOT(ISNUMBER(VLOOKUP(C740,'手数料マスタ'!$A$5:$B$104,2,FALSE))),VLOOKUP(C740,'手数料マスタ'!$A$5:$B$104,2,FALSE)&lt;0,VLOOKUP(C740,'手数料マスタ'!$A$5:$B$104,2,FALSE)&gt;1),"要確認",ROUND(E740*VLOOKUP(C740,'手数料マスタ'!$A$5:$B$104,2,FALSE),0)),"要確認"))</ns0:f>
        <ns0:v/>
      </ns0:c>
      <ns0:c r="G740" s="7" t="n"/>
      <ns0:c r="H740" s="7" t="n"/>
      <ns0:c r="I740" s="8" t="str">
        <ns0:f>IF(OR(B740="",J740&lt;&gt;"販売済み",D740="",E740="",G740="",H740=""),"",IF(ISNUMBER(F740),E740-D740-F740-G740-H740,"要確認"))</ns0:f>
        <ns0:v/>
      </ns0:c>
      <ns0:c r="J740" s="6" t="n"/>
      <ns0:c r="K740" s="5" t="n"/>
      <ns0:c r="L740" s="9" t="str">
        <ns0:f>IF(AND(B740&lt;&gt;"",J740="在庫"),COUNTIFS($J$5:J740,"在庫",$B$5:B740,"&lt;&gt;"),"")</ns0:f>
        <ns0:v/>
      </ns0:c>
    </ns0:row>
    <ns0:row r="741">
      <ns0:c r="A741" s="5" t="n"/>
      <ns0:c r="B741" s="6" t="n"/>
      <ns0:c r="C741" s="6" t="n"/>
      <ns0:c r="D741" s="7" t="n"/>
      <ns0:c r="E741" s="7" t="n"/>
      <ns0:c r="F741" s="8" t="str">
        <ns0:f>IF(OR(B741="",J741&lt;&gt;"販売済み",E741="",C741=""),"",IFERROR(IF(OR(COUNTIF('手数料マスタ'!$A$5:$A$104,C741)&lt;&gt;1,COUNTIFS('手数料マスタ'!$A$5:$A$104,C741,'手数料マスタ'!$B$5:$B$104,"&lt;&gt;")&lt;&gt;1,NOT(ISNUMBER(VLOOKUP(C741,'手数料マスタ'!$A$5:$B$104,2,FALSE))),VLOOKUP(C741,'手数料マスタ'!$A$5:$B$104,2,FALSE)&lt;0,VLOOKUP(C741,'手数料マスタ'!$A$5:$B$104,2,FALSE)&gt;1),"要確認",ROUND(E741*VLOOKUP(C741,'手数料マスタ'!$A$5:$B$104,2,FALSE),0)),"要確認"))</ns0:f>
        <ns0:v/>
      </ns0:c>
      <ns0:c r="G741" s="7" t="n"/>
      <ns0:c r="H741" s="7" t="n"/>
      <ns0:c r="I741" s="8" t="str">
        <ns0:f>IF(OR(B741="",J741&lt;&gt;"販売済み",D741="",E741="",G741="",H741=""),"",IF(ISNUMBER(F741),E741-D741-F741-G741-H741,"要確認"))</ns0:f>
        <ns0:v/>
      </ns0:c>
      <ns0:c r="J741" s="6" t="n"/>
      <ns0:c r="K741" s="5" t="n"/>
      <ns0:c r="L741" s="9" t="str">
        <ns0:f>IF(AND(B741&lt;&gt;"",J741="在庫"),COUNTIFS($J$5:J741,"在庫",$B$5:B741,"&lt;&gt;"),"")</ns0:f>
        <ns0:v/>
      </ns0:c>
    </ns0:row>
    <ns0:row r="742">
      <ns0:c r="A742" s="5" t="n"/>
      <ns0:c r="B742" s="6" t="n"/>
      <ns0:c r="C742" s="6" t="n"/>
      <ns0:c r="D742" s="7" t="n"/>
      <ns0:c r="E742" s="7" t="n"/>
      <ns0:c r="F742" s="8" t="str">
        <ns0:f>IF(OR(B742="",J742&lt;&gt;"販売済み",E742="",C742=""),"",IFERROR(IF(OR(COUNTIF('手数料マスタ'!$A$5:$A$104,C742)&lt;&gt;1,COUNTIFS('手数料マスタ'!$A$5:$A$104,C742,'手数料マスタ'!$B$5:$B$104,"&lt;&gt;")&lt;&gt;1,NOT(ISNUMBER(VLOOKUP(C742,'手数料マスタ'!$A$5:$B$104,2,FALSE))),VLOOKUP(C742,'手数料マスタ'!$A$5:$B$104,2,FALSE)&lt;0,VLOOKUP(C742,'手数料マスタ'!$A$5:$B$104,2,FALSE)&gt;1),"要確認",ROUND(E742*VLOOKUP(C742,'手数料マスタ'!$A$5:$B$104,2,FALSE),0)),"要確認"))</ns0:f>
        <ns0:v/>
      </ns0:c>
      <ns0:c r="G742" s="7" t="n"/>
      <ns0:c r="H742" s="7" t="n"/>
      <ns0:c r="I742" s="8" t="str">
        <ns0:f>IF(OR(B742="",J742&lt;&gt;"販売済み",D742="",E742="",G742="",H742=""),"",IF(ISNUMBER(F742),E742-D742-F742-G742-H742,"要確認"))</ns0:f>
        <ns0:v/>
      </ns0:c>
      <ns0:c r="J742" s="6" t="n"/>
      <ns0:c r="K742" s="5" t="n"/>
      <ns0:c r="L742" s="9" t="str">
        <ns0:f>IF(AND(B742&lt;&gt;"",J742="在庫"),COUNTIFS($J$5:J742,"在庫",$B$5:B742,"&lt;&gt;"),"")</ns0:f>
        <ns0:v/>
      </ns0:c>
    </ns0:row>
    <ns0:row r="743">
      <ns0:c r="A743" s="5" t="n"/>
      <ns0:c r="B743" s="6" t="n"/>
      <ns0:c r="C743" s="6" t="n"/>
      <ns0:c r="D743" s="7" t="n"/>
      <ns0:c r="E743" s="7" t="n"/>
      <ns0:c r="F743" s="8" t="str">
        <ns0:f>IF(OR(B743="",J743&lt;&gt;"販売済み",E743="",C743=""),"",IFERROR(IF(OR(COUNTIF('手数料マスタ'!$A$5:$A$104,C743)&lt;&gt;1,COUNTIFS('手数料マスタ'!$A$5:$A$104,C743,'手数料マスタ'!$B$5:$B$104,"&lt;&gt;")&lt;&gt;1,NOT(ISNUMBER(VLOOKUP(C743,'手数料マスタ'!$A$5:$B$104,2,FALSE))),VLOOKUP(C743,'手数料マスタ'!$A$5:$B$104,2,FALSE)&lt;0,VLOOKUP(C743,'手数料マスタ'!$A$5:$B$104,2,FALSE)&gt;1),"要確認",ROUND(E743*VLOOKUP(C743,'手数料マスタ'!$A$5:$B$104,2,FALSE),0)),"要確認"))</ns0:f>
        <ns0:v/>
      </ns0:c>
      <ns0:c r="G743" s="7" t="n"/>
      <ns0:c r="H743" s="7" t="n"/>
      <ns0:c r="I743" s="8" t="str">
        <ns0:f>IF(OR(B743="",J743&lt;&gt;"販売済み",D743="",E743="",G743="",H743=""),"",IF(ISNUMBER(F743),E743-D743-F743-G743-H743,"要確認"))</ns0:f>
        <ns0:v/>
      </ns0:c>
      <ns0:c r="J743" s="6" t="n"/>
      <ns0:c r="K743" s="5" t="n"/>
      <ns0:c r="L743" s="9" t="str">
        <ns0:f>IF(AND(B743&lt;&gt;"",J743="在庫"),COUNTIFS($J$5:J743,"在庫",$B$5:B743,"&lt;&gt;"),"")</ns0:f>
        <ns0:v/>
      </ns0:c>
    </ns0:row>
    <ns0:row r="744">
      <ns0:c r="A744" s="5" t="n"/>
      <ns0:c r="B744" s="6" t="n"/>
      <ns0:c r="C744" s="6" t="n"/>
      <ns0:c r="D744" s="7" t="n"/>
      <ns0:c r="E744" s="7" t="n"/>
      <ns0:c r="F744" s="8" t="str">
        <ns0:f>IF(OR(B744="",J744&lt;&gt;"販売済み",E744="",C744=""),"",IFERROR(IF(OR(COUNTIF('手数料マスタ'!$A$5:$A$104,C744)&lt;&gt;1,COUNTIFS('手数料マスタ'!$A$5:$A$104,C744,'手数料マスタ'!$B$5:$B$104,"&lt;&gt;")&lt;&gt;1,NOT(ISNUMBER(VLOOKUP(C744,'手数料マスタ'!$A$5:$B$104,2,FALSE))),VLOOKUP(C744,'手数料マスタ'!$A$5:$B$104,2,FALSE)&lt;0,VLOOKUP(C744,'手数料マスタ'!$A$5:$B$104,2,FALSE)&gt;1),"要確認",ROUND(E744*VLOOKUP(C744,'手数料マスタ'!$A$5:$B$104,2,FALSE),0)),"要確認"))</ns0:f>
        <ns0:v/>
      </ns0:c>
      <ns0:c r="G744" s="7" t="n"/>
      <ns0:c r="H744" s="7" t="n"/>
      <ns0:c r="I744" s="8" t="str">
        <ns0:f>IF(OR(B744="",J744&lt;&gt;"販売済み",D744="",E744="",G744="",H744=""),"",IF(ISNUMBER(F744),E744-D744-F744-G744-H744,"要確認"))</ns0:f>
        <ns0:v/>
      </ns0:c>
      <ns0:c r="J744" s="6" t="n"/>
      <ns0:c r="K744" s="5" t="n"/>
      <ns0:c r="L744" s="9" t="str">
        <ns0:f>IF(AND(B744&lt;&gt;"",J744="在庫"),COUNTIFS($J$5:J744,"在庫",$B$5:B744,"&lt;&gt;"),"")</ns0:f>
        <ns0:v/>
      </ns0:c>
    </ns0:row>
    <ns0:row r="745">
      <ns0:c r="A745" s="5" t="n"/>
      <ns0:c r="B745" s="6" t="n"/>
      <ns0:c r="C745" s="6" t="n"/>
      <ns0:c r="D745" s="7" t="n"/>
      <ns0:c r="E745" s="7" t="n"/>
      <ns0:c r="F745" s="8" t="str">
        <ns0:f>IF(OR(B745="",J745&lt;&gt;"販売済み",E745="",C745=""),"",IFERROR(IF(OR(COUNTIF('手数料マスタ'!$A$5:$A$104,C745)&lt;&gt;1,COUNTIFS('手数料マスタ'!$A$5:$A$104,C745,'手数料マスタ'!$B$5:$B$104,"&lt;&gt;")&lt;&gt;1,NOT(ISNUMBER(VLOOKUP(C745,'手数料マスタ'!$A$5:$B$104,2,FALSE))),VLOOKUP(C745,'手数料マスタ'!$A$5:$B$104,2,FALSE)&lt;0,VLOOKUP(C745,'手数料マスタ'!$A$5:$B$104,2,FALSE)&gt;1),"要確認",ROUND(E745*VLOOKUP(C745,'手数料マスタ'!$A$5:$B$104,2,FALSE),0)),"要確認"))</ns0:f>
        <ns0:v/>
      </ns0:c>
      <ns0:c r="G745" s="7" t="n"/>
      <ns0:c r="H745" s="7" t="n"/>
      <ns0:c r="I745" s="8" t="str">
        <ns0:f>IF(OR(B745="",J745&lt;&gt;"販売済み",D745="",E745="",G745="",H745=""),"",IF(ISNUMBER(F745),E745-D745-F745-G745-H745,"要確認"))</ns0:f>
        <ns0:v/>
      </ns0:c>
      <ns0:c r="J745" s="6" t="n"/>
      <ns0:c r="K745" s="5" t="n"/>
      <ns0:c r="L745" s="9" t="str">
        <ns0:f>IF(AND(B745&lt;&gt;"",J745="在庫"),COUNTIFS($J$5:J745,"在庫",$B$5:B745,"&lt;&gt;"),"")</ns0:f>
        <ns0:v/>
      </ns0:c>
    </ns0:row>
    <ns0:row r="746">
      <ns0:c r="A746" s="5" t="n"/>
      <ns0:c r="B746" s="6" t="n"/>
      <ns0:c r="C746" s="6" t="n"/>
      <ns0:c r="D746" s="7" t="n"/>
      <ns0:c r="E746" s="7" t="n"/>
      <ns0:c r="F746" s="8" t="str">
        <ns0:f>IF(OR(B746="",J746&lt;&gt;"販売済み",E746="",C746=""),"",IFERROR(IF(OR(COUNTIF('手数料マスタ'!$A$5:$A$104,C746)&lt;&gt;1,COUNTIFS('手数料マスタ'!$A$5:$A$104,C746,'手数料マスタ'!$B$5:$B$104,"&lt;&gt;")&lt;&gt;1,NOT(ISNUMBER(VLOOKUP(C746,'手数料マスタ'!$A$5:$B$104,2,FALSE))),VLOOKUP(C746,'手数料マスタ'!$A$5:$B$104,2,FALSE)&lt;0,VLOOKUP(C746,'手数料マスタ'!$A$5:$B$104,2,FALSE)&gt;1),"要確認",ROUND(E746*VLOOKUP(C746,'手数料マスタ'!$A$5:$B$104,2,FALSE),0)),"要確認"))</ns0:f>
        <ns0:v/>
      </ns0:c>
      <ns0:c r="G746" s="7" t="n"/>
      <ns0:c r="H746" s="7" t="n"/>
      <ns0:c r="I746" s="8" t="str">
        <ns0:f>IF(OR(B746="",J746&lt;&gt;"販売済み",D746="",E746="",G746="",H746=""),"",IF(ISNUMBER(F746),E746-D746-F746-G746-H746,"要確認"))</ns0:f>
        <ns0:v/>
      </ns0:c>
      <ns0:c r="J746" s="6" t="n"/>
      <ns0:c r="K746" s="5" t="n"/>
      <ns0:c r="L746" s="9" t="str">
        <ns0:f>IF(AND(B746&lt;&gt;"",J746="在庫"),COUNTIFS($J$5:J746,"在庫",$B$5:B746,"&lt;&gt;"),"")</ns0:f>
        <ns0:v/>
      </ns0:c>
    </ns0:row>
    <ns0:row r="747">
      <ns0:c r="A747" s="5" t="n"/>
      <ns0:c r="B747" s="6" t="n"/>
      <ns0:c r="C747" s="6" t="n"/>
      <ns0:c r="D747" s="7" t="n"/>
      <ns0:c r="E747" s="7" t="n"/>
      <ns0:c r="F747" s="8" t="str">
        <ns0:f>IF(OR(B747="",J747&lt;&gt;"販売済み",E747="",C747=""),"",IFERROR(IF(OR(COUNTIF('手数料マスタ'!$A$5:$A$104,C747)&lt;&gt;1,COUNTIFS('手数料マスタ'!$A$5:$A$104,C747,'手数料マスタ'!$B$5:$B$104,"&lt;&gt;")&lt;&gt;1,NOT(ISNUMBER(VLOOKUP(C747,'手数料マスタ'!$A$5:$B$104,2,FALSE))),VLOOKUP(C747,'手数料マスタ'!$A$5:$B$104,2,FALSE)&lt;0,VLOOKUP(C747,'手数料マスタ'!$A$5:$B$104,2,FALSE)&gt;1),"要確認",ROUND(E747*VLOOKUP(C747,'手数料マスタ'!$A$5:$B$104,2,FALSE),0)),"要確認"))</ns0:f>
        <ns0:v/>
      </ns0:c>
      <ns0:c r="G747" s="7" t="n"/>
      <ns0:c r="H747" s="7" t="n"/>
      <ns0:c r="I747" s="8" t="str">
        <ns0:f>IF(OR(B747="",J747&lt;&gt;"販売済み",D747="",E747="",G747="",H747=""),"",IF(ISNUMBER(F747),E747-D747-F747-G747-H747,"要確認"))</ns0:f>
        <ns0:v/>
      </ns0:c>
      <ns0:c r="J747" s="6" t="n"/>
      <ns0:c r="K747" s="5" t="n"/>
      <ns0:c r="L747" s="9" t="str">
        <ns0:f>IF(AND(B747&lt;&gt;"",J747="在庫"),COUNTIFS($J$5:J747,"在庫",$B$5:B747,"&lt;&gt;"),"")</ns0:f>
        <ns0:v/>
      </ns0:c>
    </ns0:row>
    <ns0:row r="748">
      <ns0:c r="A748" s="5" t="n"/>
      <ns0:c r="B748" s="6" t="n"/>
      <ns0:c r="C748" s="6" t="n"/>
      <ns0:c r="D748" s="7" t="n"/>
      <ns0:c r="E748" s="7" t="n"/>
      <ns0:c r="F748" s="8" t="str">
        <ns0:f>IF(OR(B748="",J748&lt;&gt;"販売済み",E748="",C748=""),"",IFERROR(IF(OR(COUNTIF('手数料マスタ'!$A$5:$A$104,C748)&lt;&gt;1,COUNTIFS('手数料マスタ'!$A$5:$A$104,C748,'手数料マスタ'!$B$5:$B$104,"&lt;&gt;")&lt;&gt;1,NOT(ISNUMBER(VLOOKUP(C748,'手数料マスタ'!$A$5:$B$104,2,FALSE))),VLOOKUP(C748,'手数料マスタ'!$A$5:$B$104,2,FALSE)&lt;0,VLOOKUP(C748,'手数料マスタ'!$A$5:$B$104,2,FALSE)&gt;1),"要確認",ROUND(E748*VLOOKUP(C748,'手数料マスタ'!$A$5:$B$104,2,FALSE),0)),"要確認"))</ns0:f>
        <ns0:v/>
      </ns0:c>
      <ns0:c r="G748" s="7" t="n"/>
      <ns0:c r="H748" s="7" t="n"/>
      <ns0:c r="I748" s="8" t="str">
        <ns0:f>IF(OR(B748="",J748&lt;&gt;"販売済み",D748="",E748="",G748="",H748=""),"",IF(ISNUMBER(F748),E748-D748-F748-G748-H748,"要確認"))</ns0:f>
        <ns0:v/>
      </ns0:c>
      <ns0:c r="J748" s="6" t="n"/>
      <ns0:c r="K748" s="5" t="n"/>
      <ns0:c r="L748" s="9" t="str">
        <ns0:f>IF(AND(B748&lt;&gt;"",J748="在庫"),COUNTIFS($J$5:J748,"在庫",$B$5:B748,"&lt;&gt;"),"")</ns0:f>
        <ns0:v/>
      </ns0:c>
    </ns0:row>
    <ns0:row r="749">
      <ns0:c r="A749" s="5" t="n"/>
      <ns0:c r="B749" s="6" t="n"/>
      <ns0:c r="C749" s="6" t="n"/>
      <ns0:c r="D749" s="7" t="n"/>
      <ns0:c r="E749" s="7" t="n"/>
      <ns0:c r="F749" s="8" t="str">
        <ns0:f>IF(OR(B749="",J749&lt;&gt;"販売済み",E749="",C749=""),"",IFERROR(IF(OR(COUNTIF('手数料マスタ'!$A$5:$A$104,C749)&lt;&gt;1,COUNTIFS('手数料マスタ'!$A$5:$A$104,C749,'手数料マスタ'!$B$5:$B$104,"&lt;&gt;")&lt;&gt;1,NOT(ISNUMBER(VLOOKUP(C749,'手数料マスタ'!$A$5:$B$104,2,FALSE))),VLOOKUP(C749,'手数料マスタ'!$A$5:$B$104,2,FALSE)&lt;0,VLOOKUP(C749,'手数料マスタ'!$A$5:$B$104,2,FALSE)&gt;1),"要確認",ROUND(E749*VLOOKUP(C749,'手数料マスタ'!$A$5:$B$104,2,FALSE),0)),"要確認"))</ns0:f>
        <ns0:v/>
      </ns0:c>
      <ns0:c r="G749" s="7" t="n"/>
      <ns0:c r="H749" s="7" t="n"/>
      <ns0:c r="I749" s="8" t="str">
        <ns0:f>IF(OR(B749="",J749&lt;&gt;"販売済み",D749="",E749="",G749="",H749=""),"",IF(ISNUMBER(F749),E749-D749-F749-G749-H749,"要確認"))</ns0:f>
        <ns0:v/>
      </ns0:c>
      <ns0:c r="J749" s="6" t="n"/>
      <ns0:c r="K749" s="5" t="n"/>
      <ns0:c r="L749" s="9" t="str">
        <ns0:f>IF(AND(B749&lt;&gt;"",J749="在庫"),COUNTIFS($J$5:J749,"在庫",$B$5:B749,"&lt;&gt;"),"")</ns0:f>
        <ns0:v/>
      </ns0:c>
    </ns0:row>
    <ns0:row r="750">
      <ns0:c r="A750" s="5" t="n"/>
      <ns0:c r="B750" s="6" t="n"/>
      <ns0:c r="C750" s="6" t="n"/>
      <ns0:c r="D750" s="7" t="n"/>
      <ns0:c r="E750" s="7" t="n"/>
      <ns0:c r="F750" s="8" t="str">
        <ns0:f>IF(OR(B750="",J750&lt;&gt;"販売済み",E750="",C750=""),"",IFERROR(IF(OR(COUNTIF('手数料マスタ'!$A$5:$A$104,C750)&lt;&gt;1,COUNTIFS('手数料マスタ'!$A$5:$A$104,C750,'手数料マスタ'!$B$5:$B$104,"&lt;&gt;")&lt;&gt;1,NOT(ISNUMBER(VLOOKUP(C750,'手数料マスタ'!$A$5:$B$104,2,FALSE))),VLOOKUP(C750,'手数料マスタ'!$A$5:$B$104,2,FALSE)&lt;0,VLOOKUP(C750,'手数料マスタ'!$A$5:$B$104,2,FALSE)&gt;1),"要確認",ROUND(E750*VLOOKUP(C750,'手数料マスタ'!$A$5:$B$104,2,FALSE),0)),"要確認"))</ns0:f>
        <ns0:v/>
      </ns0:c>
      <ns0:c r="G750" s="7" t="n"/>
      <ns0:c r="H750" s="7" t="n"/>
      <ns0:c r="I750" s="8" t="str">
        <ns0:f>IF(OR(B750="",J750&lt;&gt;"販売済み",D750="",E750="",G750="",H750=""),"",IF(ISNUMBER(F750),E750-D750-F750-G750-H750,"要確認"))</ns0:f>
        <ns0:v/>
      </ns0:c>
      <ns0:c r="J750" s="6" t="n"/>
      <ns0:c r="K750" s="5" t="n"/>
      <ns0:c r="L750" s="9" t="str">
        <ns0:f>IF(AND(B750&lt;&gt;"",J750="在庫"),COUNTIFS($J$5:J750,"在庫",$B$5:B750,"&lt;&gt;"),"")</ns0:f>
        <ns0:v/>
      </ns0:c>
    </ns0:row>
    <ns0:row r="751">
      <ns0:c r="A751" s="5" t="n"/>
      <ns0:c r="B751" s="6" t="n"/>
      <ns0:c r="C751" s="6" t="n"/>
      <ns0:c r="D751" s="7" t="n"/>
      <ns0:c r="E751" s="7" t="n"/>
      <ns0:c r="F751" s="8" t="str">
        <ns0:f>IF(OR(B751="",J751&lt;&gt;"販売済み",E751="",C751=""),"",IFERROR(IF(OR(COUNTIF('手数料マスタ'!$A$5:$A$104,C751)&lt;&gt;1,COUNTIFS('手数料マスタ'!$A$5:$A$104,C751,'手数料マスタ'!$B$5:$B$104,"&lt;&gt;")&lt;&gt;1,NOT(ISNUMBER(VLOOKUP(C751,'手数料マスタ'!$A$5:$B$104,2,FALSE))),VLOOKUP(C751,'手数料マスタ'!$A$5:$B$104,2,FALSE)&lt;0,VLOOKUP(C751,'手数料マスタ'!$A$5:$B$104,2,FALSE)&gt;1),"要確認",ROUND(E751*VLOOKUP(C751,'手数料マスタ'!$A$5:$B$104,2,FALSE),0)),"要確認"))</ns0:f>
        <ns0:v/>
      </ns0:c>
      <ns0:c r="G751" s="7" t="n"/>
      <ns0:c r="H751" s="7" t="n"/>
      <ns0:c r="I751" s="8" t="str">
        <ns0:f>IF(OR(B751="",J751&lt;&gt;"販売済み",D751="",E751="",G751="",H751=""),"",IF(ISNUMBER(F751),E751-D751-F751-G751-H751,"要確認"))</ns0:f>
        <ns0:v/>
      </ns0:c>
      <ns0:c r="J751" s="6" t="n"/>
      <ns0:c r="K751" s="5" t="n"/>
      <ns0:c r="L751" s="9" t="str">
        <ns0:f>IF(AND(B751&lt;&gt;"",J751="在庫"),COUNTIFS($J$5:J751,"在庫",$B$5:B751,"&lt;&gt;"),"")</ns0:f>
        <ns0:v/>
      </ns0:c>
    </ns0:row>
    <ns0:row r="752">
      <ns0:c r="A752" s="5" t="n"/>
      <ns0:c r="B752" s="6" t="n"/>
      <ns0:c r="C752" s="6" t="n"/>
      <ns0:c r="D752" s="7" t="n"/>
      <ns0:c r="E752" s="7" t="n"/>
      <ns0:c r="F752" s="8" t="str">
        <ns0:f>IF(OR(B752="",J752&lt;&gt;"販売済み",E752="",C752=""),"",IFERROR(IF(OR(COUNTIF('手数料マスタ'!$A$5:$A$104,C752)&lt;&gt;1,COUNTIFS('手数料マスタ'!$A$5:$A$104,C752,'手数料マスタ'!$B$5:$B$104,"&lt;&gt;")&lt;&gt;1,NOT(ISNUMBER(VLOOKUP(C752,'手数料マスタ'!$A$5:$B$104,2,FALSE))),VLOOKUP(C752,'手数料マスタ'!$A$5:$B$104,2,FALSE)&lt;0,VLOOKUP(C752,'手数料マスタ'!$A$5:$B$104,2,FALSE)&gt;1),"要確認",ROUND(E752*VLOOKUP(C752,'手数料マスタ'!$A$5:$B$104,2,FALSE),0)),"要確認"))</ns0:f>
        <ns0:v/>
      </ns0:c>
      <ns0:c r="G752" s="7" t="n"/>
      <ns0:c r="H752" s="7" t="n"/>
      <ns0:c r="I752" s="8" t="str">
        <ns0:f>IF(OR(B752="",J752&lt;&gt;"販売済み",D752="",E752="",G752="",H752=""),"",IF(ISNUMBER(F752),E752-D752-F752-G752-H752,"要確認"))</ns0:f>
        <ns0:v/>
      </ns0:c>
      <ns0:c r="J752" s="6" t="n"/>
      <ns0:c r="K752" s="5" t="n"/>
      <ns0:c r="L752" s="9" t="str">
        <ns0:f>IF(AND(B752&lt;&gt;"",J752="在庫"),COUNTIFS($J$5:J752,"在庫",$B$5:B752,"&lt;&gt;"),"")</ns0:f>
        <ns0:v/>
      </ns0:c>
    </ns0:row>
    <ns0:row r="753">
      <ns0:c r="A753" s="5" t="n"/>
      <ns0:c r="B753" s="6" t="n"/>
      <ns0:c r="C753" s="6" t="n"/>
      <ns0:c r="D753" s="7" t="n"/>
      <ns0:c r="E753" s="7" t="n"/>
      <ns0:c r="F753" s="8" t="str">
        <ns0:f>IF(OR(B753="",J753&lt;&gt;"販売済み",E753="",C753=""),"",IFERROR(IF(OR(COUNTIF('手数料マスタ'!$A$5:$A$104,C753)&lt;&gt;1,COUNTIFS('手数料マスタ'!$A$5:$A$104,C753,'手数料マスタ'!$B$5:$B$104,"&lt;&gt;")&lt;&gt;1,NOT(ISNUMBER(VLOOKUP(C753,'手数料マスタ'!$A$5:$B$104,2,FALSE))),VLOOKUP(C753,'手数料マスタ'!$A$5:$B$104,2,FALSE)&lt;0,VLOOKUP(C753,'手数料マスタ'!$A$5:$B$104,2,FALSE)&gt;1),"要確認",ROUND(E753*VLOOKUP(C753,'手数料マスタ'!$A$5:$B$104,2,FALSE),0)),"要確認"))</ns0:f>
        <ns0:v/>
      </ns0:c>
      <ns0:c r="G753" s="7" t="n"/>
      <ns0:c r="H753" s="7" t="n"/>
      <ns0:c r="I753" s="8" t="str">
        <ns0:f>IF(OR(B753="",J753&lt;&gt;"販売済み",D753="",E753="",G753="",H753=""),"",IF(ISNUMBER(F753),E753-D753-F753-G753-H753,"要確認"))</ns0:f>
        <ns0:v/>
      </ns0:c>
      <ns0:c r="J753" s="6" t="n"/>
      <ns0:c r="K753" s="5" t="n"/>
      <ns0:c r="L753" s="9" t="str">
        <ns0:f>IF(AND(B753&lt;&gt;"",J753="在庫"),COUNTIFS($J$5:J753,"在庫",$B$5:B753,"&lt;&gt;"),"")</ns0:f>
        <ns0:v/>
      </ns0:c>
    </ns0:row>
    <ns0:row r="754">
      <ns0:c r="A754" s="5" t="n"/>
      <ns0:c r="B754" s="6" t="n"/>
      <ns0:c r="C754" s="6" t="n"/>
      <ns0:c r="D754" s="7" t="n"/>
      <ns0:c r="E754" s="7" t="n"/>
      <ns0:c r="F754" s="8" t="str">
        <ns0:f>IF(OR(B754="",J754&lt;&gt;"販売済み",E754="",C754=""),"",IFERROR(IF(OR(COUNTIF('手数料マスタ'!$A$5:$A$104,C754)&lt;&gt;1,COUNTIFS('手数料マスタ'!$A$5:$A$104,C754,'手数料マスタ'!$B$5:$B$104,"&lt;&gt;")&lt;&gt;1,NOT(ISNUMBER(VLOOKUP(C754,'手数料マスタ'!$A$5:$B$104,2,FALSE))),VLOOKUP(C754,'手数料マスタ'!$A$5:$B$104,2,FALSE)&lt;0,VLOOKUP(C754,'手数料マスタ'!$A$5:$B$104,2,FALSE)&gt;1),"要確認",ROUND(E754*VLOOKUP(C754,'手数料マスタ'!$A$5:$B$104,2,FALSE),0)),"要確認"))</ns0:f>
        <ns0:v/>
      </ns0:c>
      <ns0:c r="G754" s="7" t="n"/>
      <ns0:c r="H754" s="7" t="n"/>
      <ns0:c r="I754" s="8" t="str">
        <ns0:f>IF(OR(B754="",J754&lt;&gt;"販売済み",D754="",E754="",G754="",H754=""),"",IF(ISNUMBER(F754),E754-D754-F754-G754-H754,"要確認"))</ns0:f>
        <ns0:v/>
      </ns0:c>
      <ns0:c r="J754" s="6" t="n"/>
      <ns0:c r="K754" s="5" t="n"/>
      <ns0:c r="L754" s="9" t="str">
        <ns0:f>IF(AND(B754&lt;&gt;"",J754="在庫"),COUNTIFS($J$5:J754,"在庫",$B$5:B754,"&lt;&gt;"),"")</ns0:f>
        <ns0:v/>
      </ns0:c>
    </ns0:row>
    <ns0:row r="755">
      <ns0:c r="A755" s="5" t="n"/>
      <ns0:c r="B755" s="6" t="n"/>
      <ns0:c r="C755" s="6" t="n"/>
      <ns0:c r="D755" s="7" t="n"/>
      <ns0:c r="E755" s="7" t="n"/>
      <ns0:c r="F755" s="8" t="str">
        <ns0:f>IF(OR(B755="",J755&lt;&gt;"販売済み",E755="",C755=""),"",IFERROR(IF(OR(COUNTIF('手数料マスタ'!$A$5:$A$104,C755)&lt;&gt;1,COUNTIFS('手数料マスタ'!$A$5:$A$104,C755,'手数料マスタ'!$B$5:$B$104,"&lt;&gt;")&lt;&gt;1,NOT(ISNUMBER(VLOOKUP(C755,'手数料マスタ'!$A$5:$B$104,2,FALSE))),VLOOKUP(C755,'手数料マスタ'!$A$5:$B$104,2,FALSE)&lt;0,VLOOKUP(C755,'手数料マスタ'!$A$5:$B$104,2,FALSE)&gt;1),"要確認",ROUND(E755*VLOOKUP(C755,'手数料マスタ'!$A$5:$B$104,2,FALSE),0)),"要確認"))</ns0:f>
        <ns0:v/>
      </ns0:c>
      <ns0:c r="G755" s="7" t="n"/>
      <ns0:c r="H755" s="7" t="n"/>
      <ns0:c r="I755" s="8" t="str">
        <ns0:f>IF(OR(B755="",J755&lt;&gt;"販売済み",D755="",E755="",G755="",H755=""),"",IF(ISNUMBER(F755),E755-D755-F755-G755-H755,"要確認"))</ns0:f>
        <ns0:v/>
      </ns0:c>
      <ns0:c r="J755" s="6" t="n"/>
      <ns0:c r="K755" s="5" t="n"/>
      <ns0:c r="L755" s="9" t="str">
        <ns0:f>IF(AND(B755&lt;&gt;"",J755="在庫"),COUNTIFS($J$5:J755,"在庫",$B$5:B755,"&lt;&gt;"),"")</ns0:f>
        <ns0:v/>
      </ns0:c>
    </ns0:row>
    <ns0:row r="756">
      <ns0:c r="A756" s="5" t="n"/>
      <ns0:c r="B756" s="6" t="n"/>
      <ns0:c r="C756" s="6" t="n"/>
      <ns0:c r="D756" s="7" t="n"/>
      <ns0:c r="E756" s="7" t="n"/>
      <ns0:c r="F756" s="8" t="str">
        <ns0:f>IF(OR(B756="",J756&lt;&gt;"販売済み",E756="",C756=""),"",IFERROR(IF(OR(COUNTIF('手数料マスタ'!$A$5:$A$104,C756)&lt;&gt;1,COUNTIFS('手数料マスタ'!$A$5:$A$104,C756,'手数料マスタ'!$B$5:$B$104,"&lt;&gt;")&lt;&gt;1,NOT(ISNUMBER(VLOOKUP(C756,'手数料マスタ'!$A$5:$B$104,2,FALSE))),VLOOKUP(C756,'手数料マスタ'!$A$5:$B$104,2,FALSE)&lt;0,VLOOKUP(C756,'手数料マスタ'!$A$5:$B$104,2,FALSE)&gt;1),"要確認",ROUND(E756*VLOOKUP(C756,'手数料マスタ'!$A$5:$B$104,2,FALSE),0)),"要確認"))</ns0:f>
        <ns0:v/>
      </ns0:c>
      <ns0:c r="G756" s="7" t="n"/>
      <ns0:c r="H756" s="7" t="n"/>
      <ns0:c r="I756" s="8" t="str">
        <ns0:f>IF(OR(B756="",J756&lt;&gt;"販売済み",D756="",E756="",G756="",H756=""),"",IF(ISNUMBER(F756),E756-D756-F756-G756-H756,"要確認"))</ns0:f>
        <ns0:v/>
      </ns0:c>
      <ns0:c r="J756" s="6" t="n"/>
      <ns0:c r="K756" s="5" t="n"/>
      <ns0:c r="L756" s="9" t="str">
        <ns0:f>IF(AND(B756&lt;&gt;"",J756="在庫"),COUNTIFS($J$5:J756,"在庫",$B$5:B756,"&lt;&gt;"),"")</ns0:f>
        <ns0:v/>
      </ns0:c>
    </ns0:row>
    <ns0:row r="757">
      <ns0:c r="A757" s="5" t="n"/>
      <ns0:c r="B757" s="6" t="n"/>
      <ns0:c r="C757" s="6" t="n"/>
      <ns0:c r="D757" s="7" t="n"/>
      <ns0:c r="E757" s="7" t="n"/>
      <ns0:c r="F757" s="8" t="str">
        <ns0:f>IF(OR(B757="",J757&lt;&gt;"販売済み",E757="",C757=""),"",IFERROR(IF(OR(COUNTIF('手数料マスタ'!$A$5:$A$104,C757)&lt;&gt;1,COUNTIFS('手数料マスタ'!$A$5:$A$104,C757,'手数料マスタ'!$B$5:$B$104,"&lt;&gt;")&lt;&gt;1,NOT(ISNUMBER(VLOOKUP(C757,'手数料マスタ'!$A$5:$B$104,2,FALSE))),VLOOKUP(C757,'手数料マスタ'!$A$5:$B$104,2,FALSE)&lt;0,VLOOKUP(C757,'手数料マスタ'!$A$5:$B$104,2,FALSE)&gt;1),"要確認",ROUND(E757*VLOOKUP(C757,'手数料マスタ'!$A$5:$B$104,2,FALSE),0)),"要確認"))</ns0:f>
        <ns0:v/>
      </ns0:c>
      <ns0:c r="G757" s="7" t="n"/>
      <ns0:c r="H757" s="7" t="n"/>
      <ns0:c r="I757" s="8" t="str">
        <ns0:f>IF(OR(B757="",J757&lt;&gt;"販売済み",D757="",E757="",G757="",H757=""),"",IF(ISNUMBER(F757),E757-D757-F757-G757-H757,"要確認"))</ns0:f>
        <ns0:v/>
      </ns0:c>
      <ns0:c r="J757" s="6" t="n"/>
      <ns0:c r="K757" s="5" t="n"/>
      <ns0:c r="L757" s="9" t="str">
        <ns0:f>IF(AND(B757&lt;&gt;"",J757="在庫"),COUNTIFS($J$5:J757,"在庫",$B$5:B757,"&lt;&gt;"),"")</ns0:f>
        <ns0:v/>
      </ns0:c>
    </ns0:row>
    <ns0:row r="758">
      <ns0:c r="A758" s="5" t="n"/>
      <ns0:c r="B758" s="6" t="n"/>
      <ns0:c r="C758" s="6" t="n"/>
      <ns0:c r="D758" s="7" t="n"/>
      <ns0:c r="E758" s="7" t="n"/>
      <ns0:c r="F758" s="8" t="str">
        <ns0:f>IF(OR(B758="",J758&lt;&gt;"販売済み",E758="",C758=""),"",IFERROR(IF(OR(COUNTIF('手数料マスタ'!$A$5:$A$104,C758)&lt;&gt;1,COUNTIFS('手数料マスタ'!$A$5:$A$104,C758,'手数料マスタ'!$B$5:$B$104,"&lt;&gt;")&lt;&gt;1,NOT(ISNUMBER(VLOOKUP(C758,'手数料マスタ'!$A$5:$B$104,2,FALSE))),VLOOKUP(C758,'手数料マスタ'!$A$5:$B$104,2,FALSE)&lt;0,VLOOKUP(C758,'手数料マスタ'!$A$5:$B$104,2,FALSE)&gt;1),"要確認",ROUND(E758*VLOOKUP(C758,'手数料マスタ'!$A$5:$B$104,2,FALSE),0)),"要確認"))</ns0:f>
        <ns0:v/>
      </ns0:c>
      <ns0:c r="G758" s="7" t="n"/>
      <ns0:c r="H758" s="7" t="n"/>
      <ns0:c r="I758" s="8" t="str">
        <ns0:f>IF(OR(B758="",J758&lt;&gt;"販売済み",D758="",E758="",G758="",H758=""),"",IF(ISNUMBER(F758),E758-D758-F758-G758-H758,"要確認"))</ns0:f>
        <ns0:v/>
      </ns0:c>
      <ns0:c r="J758" s="6" t="n"/>
      <ns0:c r="K758" s="5" t="n"/>
      <ns0:c r="L758" s="9" t="str">
        <ns0:f>IF(AND(B758&lt;&gt;"",J758="在庫"),COUNTIFS($J$5:J758,"在庫",$B$5:B758,"&lt;&gt;"),"")</ns0:f>
        <ns0:v/>
      </ns0:c>
    </ns0:row>
    <ns0:row r="759">
      <ns0:c r="A759" s="5" t="n"/>
      <ns0:c r="B759" s="6" t="n"/>
      <ns0:c r="C759" s="6" t="n"/>
      <ns0:c r="D759" s="7" t="n"/>
      <ns0:c r="E759" s="7" t="n"/>
      <ns0:c r="F759" s="8" t="str">
        <ns0:f>IF(OR(B759="",J759&lt;&gt;"販売済み",E759="",C759=""),"",IFERROR(IF(OR(COUNTIF('手数料マスタ'!$A$5:$A$104,C759)&lt;&gt;1,COUNTIFS('手数料マスタ'!$A$5:$A$104,C759,'手数料マスタ'!$B$5:$B$104,"&lt;&gt;")&lt;&gt;1,NOT(ISNUMBER(VLOOKUP(C759,'手数料マスタ'!$A$5:$B$104,2,FALSE))),VLOOKUP(C759,'手数料マスタ'!$A$5:$B$104,2,FALSE)&lt;0,VLOOKUP(C759,'手数料マスタ'!$A$5:$B$104,2,FALSE)&gt;1),"要確認",ROUND(E759*VLOOKUP(C759,'手数料マスタ'!$A$5:$B$104,2,FALSE),0)),"要確認"))</ns0:f>
        <ns0:v/>
      </ns0:c>
      <ns0:c r="G759" s="7" t="n"/>
      <ns0:c r="H759" s="7" t="n"/>
      <ns0:c r="I759" s="8" t="str">
        <ns0:f>IF(OR(B759="",J759&lt;&gt;"販売済み",D759="",E759="",G759="",H759=""),"",IF(ISNUMBER(F759),E759-D759-F759-G759-H759,"要確認"))</ns0:f>
        <ns0:v/>
      </ns0:c>
      <ns0:c r="J759" s="6" t="n"/>
      <ns0:c r="K759" s="5" t="n"/>
      <ns0:c r="L759" s="9" t="str">
        <ns0:f>IF(AND(B759&lt;&gt;"",J759="在庫"),COUNTIFS($J$5:J759,"在庫",$B$5:B759,"&lt;&gt;"),"")</ns0:f>
        <ns0:v/>
      </ns0:c>
    </ns0:row>
    <ns0:row r="760">
      <ns0:c r="A760" s="5" t="n"/>
      <ns0:c r="B760" s="6" t="n"/>
      <ns0:c r="C760" s="6" t="n"/>
      <ns0:c r="D760" s="7" t="n"/>
      <ns0:c r="E760" s="7" t="n"/>
      <ns0:c r="F760" s="8" t="str">
        <ns0:f>IF(OR(B760="",J760&lt;&gt;"販売済み",E760="",C760=""),"",IFERROR(IF(OR(COUNTIF('手数料マスタ'!$A$5:$A$104,C760)&lt;&gt;1,COUNTIFS('手数料マスタ'!$A$5:$A$104,C760,'手数料マスタ'!$B$5:$B$104,"&lt;&gt;")&lt;&gt;1,NOT(ISNUMBER(VLOOKUP(C760,'手数料マスタ'!$A$5:$B$104,2,FALSE))),VLOOKUP(C760,'手数料マスタ'!$A$5:$B$104,2,FALSE)&lt;0,VLOOKUP(C760,'手数料マスタ'!$A$5:$B$104,2,FALSE)&gt;1),"要確認",ROUND(E760*VLOOKUP(C760,'手数料マスタ'!$A$5:$B$104,2,FALSE),0)),"要確認"))</ns0:f>
        <ns0:v/>
      </ns0:c>
      <ns0:c r="G760" s="7" t="n"/>
      <ns0:c r="H760" s="7" t="n"/>
      <ns0:c r="I760" s="8" t="str">
        <ns0:f>IF(OR(B760="",J760&lt;&gt;"販売済み",D760="",E760="",G760="",H760=""),"",IF(ISNUMBER(F760),E760-D760-F760-G760-H760,"要確認"))</ns0:f>
        <ns0:v/>
      </ns0:c>
      <ns0:c r="J760" s="6" t="n"/>
      <ns0:c r="K760" s="5" t="n"/>
      <ns0:c r="L760" s="9" t="str">
        <ns0:f>IF(AND(B760&lt;&gt;"",J760="在庫"),COUNTIFS($J$5:J760,"在庫",$B$5:B760,"&lt;&gt;"),"")</ns0:f>
        <ns0:v/>
      </ns0:c>
    </ns0:row>
    <ns0:row r="761">
      <ns0:c r="A761" s="5" t="n"/>
      <ns0:c r="B761" s="6" t="n"/>
      <ns0:c r="C761" s="6" t="n"/>
      <ns0:c r="D761" s="7" t="n"/>
      <ns0:c r="E761" s="7" t="n"/>
      <ns0:c r="F761" s="8" t="str">
        <ns0:f>IF(OR(B761="",J761&lt;&gt;"販売済み",E761="",C761=""),"",IFERROR(IF(OR(COUNTIF('手数料マスタ'!$A$5:$A$104,C761)&lt;&gt;1,COUNTIFS('手数料マスタ'!$A$5:$A$104,C761,'手数料マスタ'!$B$5:$B$104,"&lt;&gt;")&lt;&gt;1,NOT(ISNUMBER(VLOOKUP(C761,'手数料マスタ'!$A$5:$B$104,2,FALSE))),VLOOKUP(C761,'手数料マスタ'!$A$5:$B$104,2,FALSE)&lt;0,VLOOKUP(C761,'手数料マスタ'!$A$5:$B$104,2,FALSE)&gt;1),"要確認",ROUND(E761*VLOOKUP(C761,'手数料マスタ'!$A$5:$B$104,2,FALSE),0)),"要確認"))</ns0:f>
        <ns0:v/>
      </ns0:c>
      <ns0:c r="G761" s="7" t="n"/>
      <ns0:c r="H761" s="7" t="n"/>
      <ns0:c r="I761" s="8" t="str">
        <ns0:f>IF(OR(B761="",J761&lt;&gt;"販売済み",D761="",E761="",G761="",H761=""),"",IF(ISNUMBER(F761),E761-D761-F761-G761-H761,"要確認"))</ns0:f>
        <ns0:v/>
      </ns0:c>
      <ns0:c r="J761" s="6" t="n"/>
      <ns0:c r="K761" s="5" t="n"/>
      <ns0:c r="L761" s="9" t="str">
        <ns0:f>IF(AND(B761&lt;&gt;"",J761="在庫"),COUNTIFS($J$5:J761,"在庫",$B$5:B761,"&lt;&gt;"),"")</ns0:f>
        <ns0:v/>
      </ns0:c>
    </ns0:row>
    <ns0:row r="762">
      <ns0:c r="A762" s="5" t="n"/>
      <ns0:c r="B762" s="6" t="n"/>
      <ns0:c r="C762" s="6" t="n"/>
      <ns0:c r="D762" s="7" t="n"/>
      <ns0:c r="E762" s="7" t="n"/>
      <ns0:c r="F762" s="8" t="str">
        <ns0:f>IF(OR(B762="",J762&lt;&gt;"販売済み",E762="",C762=""),"",IFERROR(IF(OR(COUNTIF('手数料マスタ'!$A$5:$A$104,C762)&lt;&gt;1,COUNTIFS('手数料マスタ'!$A$5:$A$104,C762,'手数料マスタ'!$B$5:$B$104,"&lt;&gt;")&lt;&gt;1,NOT(ISNUMBER(VLOOKUP(C762,'手数料マスタ'!$A$5:$B$104,2,FALSE))),VLOOKUP(C762,'手数料マスタ'!$A$5:$B$104,2,FALSE)&lt;0,VLOOKUP(C762,'手数料マスタ'!$A$5:$B$104,2,FALSE)&gt;1),"要確認",ROUND(E762*VLOOKUP(C762,'手数料マスタ'!$A$5:$B$104,2,FALSE),0)),"要確認"))</ns0:f>
        <ns0:v/>
      </ns0:c>
      <ns0:c r="G762" s="7" t="n"/>
      <ns0:c r="H762" s="7" t="n"/>
      <ns0:c r="I762" s="8" t="str">
        <ns0:f>IF(OR(B762="",J762&lt;&gt;"販売済み",D762="",E762="",G762="",H762=""),"",IF(ISNUMBER(F762),E762-D762-F762-G762-H762,"要確認"))</ns0:f>
        <ns0:v/>
      </ns0:c>
      <ns0:c r="J762" s="6" t="n"/>
      <ns0:c r="K762" s="5" t="n"/>
      <ns0:c r="L762" s="9" t="str">
        <ns0:f>IF(AND(B762&lt;&gt;"",J762="在庫"),COUNTIFS($J$5:J762,"在庫",$B$5:B762,"&lt;&gt;"),"")</ns0:f>
        <ns0:v/>
      </ns0:c>
    </ns0:row>
    <ns0:row r="763">
      <ns0:c r="A763" s="5" t="n"/>
      <ns0:c r="B763" s="6" t="n"/>
      <ns0:c r="C763" s="6" t="n"/>
      <ns0:c r="D763" s="7" t="n"/>
      <ns0:c r="E763" s="7" t="n"/>
      <ns0:c r="F763" s="8" t="str">
        <ns0:f>IF(OR(B763="",J763&lt;&gt;"販売済み",E763="",C763=""),"",IFERROR(IF(OR(COUNTIF('手数料マスタ'!$A$5:$A$104,C763)&lt;&gt;1,COUNTIFS('手数料マスタ'!$A$5:$A$104,C763,'手数料マスタ'!$B$5:$B$104,"&lt;&gt;")&lt;&gt;1,NOT(ISNUMBER(VLOOKUP(C763,'手数料マスタ'!$A$5:$B$104,2,FALSE))),VLOOKUP(C763,'手数料マスタ'!$A$5:$B$104,2,FALSE)&lt;0,VLOOKUP(C763,'手数料マスタ'!$A$5:$B$104,2,FALSE)&gt;1),"要確認",ROUND(E763*VLOOKUP(C763,'手数料マスタ'!$A$5:$B$104,2,FALSE),0)),"要確認"))</ns0:f>
        <ns0:v/>
      </ns0:c>
      <ns0:c r="G763" s="7" t="n"/>
      <ns0:c r="H763" s="7" t="n"/>
      <ns0:c r="I763" s="8" t="str">
        <ns0:f>IF(OR(B763="",J763&lt;&gt;"販売済み",D763="",E763="",G763="",H763=""),"",IF(ISNUMBER(F763),E763-D763-F763-G763-H763,"要確認"))</ns0:f>
        <ns0:v/>
      </ns0:c>
      <ns0:c r="J763" s="6" t="n"/>
      <ns0:c r="K763" s="5" t="n"/>
      <ns0:c r="L763" s="9" t="str">
        <ns0:f>IF(AND(B763&lt;&gt;"",J763="在庫"),COUNTIFS($J$5:J763,"在庫",$B$5:B763,"&lt;&gt;"),"")</ns0:f>
        <ns0:v/>
      </ns0:c>
    </ns0:row>
    <ns0:row r="764">
      <ns0:c r="A764" s="5" t="n"/>
      <ns0:c r="B764" s="6" t="n"/>
      <ns0:c r="C764" s="6" t="n"/>
      <ns0:c r="D764" s="7" t="n"/>
      <ns0:c r="E764" s="7" t="n"/>
      <ns0:c r="F764" s="8" t="str">
        <ns0:f>IF(OR(B764="",J764&lt;&gt;"販売済み",E764="",C764=""),"",IFERROR(IF(OR(COUNTIF('手数料マスタ'!$A$5:$A$104,C764)&lt;&gt;1,COUNTIFS('手数料マスタ'!$A$5:$A$104,C764,'手数料マスタ'!$B$5:$B$104,"&lt;&gt;")&lt;&gt;1,NOT(ISNUMBER(VLOOKUP(C764,'手数料マスタ'!$A$5:$B$104,2,FALSE))),VLOOKUP(C764,'手数料マスタ'!$A$5:$B$104,2,FALSE)&lt;0,VLOOKUP(C764,'手数料マスタ'!$A$5:$B$104,2,FALSE)&gt;1),"要確認",ROUND(E764*VLOOKUP(C764,'手数料マスタ'!$A$5:$B$104,2,FALSE),0)),"要確認"))</ns0:f>
        <ns0:v/>
      </ns0:c>
      <ns0:c r="G764" s="7" t="n"/>
      <ns0:c r="H764" s="7" t="n"/>
      <ns0:c r="I764" s="8" t="str">
        <ns0:f>IF(OR(B764="",J764&lt;&gt;"販売済み",D764="",E764="",G764="",H764=""),"",IF(ISNUMBER(F764),E764-D764-F764-G764-H764,"要確認"))</ns0:f>
        <ns0:v/>
      </ns0:c>
      <ns0:c r="J764" s="6" t="n"/>
      <ns0:c r="K764" s="5" t="n"/>
      <ns0:c r="L764" s="9" t="str">
        <ns0:f>IF(AND(B764&lt;&gt;"",J764="在庫"),COUNTIFS($J$5:J764,"在庫",$B$5:B764,"&lt;&gt;"),"")</ns0:f>
        <ns0:v/>
      </ns0:c>
    </ns0:row>
    <ns0:row r="765">
      <ns0:c r="A765" s="5" t="n"/>
      <ns0:c r="B765" s="6" t="n"/>
      <ns0:c r="C765" s="6" t="n"/>
      <ns0:c r="D765" s="7" t="n"/>
      <ns0:c r="E765" s="7" t="n"/>
      <ns0:c r="F765" s="8" t="str">
        <ns0:f>IF(OR(B765="",J765&lt;&gt;"販売済み",E765="",C765=""),"",IFERROR(IF(OR(COUNTIF('手数料マスタ'!$A$5:$A$104,C765)&lt;&gt;1,COUNTIFS('手数料マスタ'!$A$5:$A$104,C765,'手数料マスタ'!$B$5:$B$104,"&lt;&gt;")&lt;&gt;1,NOT(ISNUMBER(VLOOKUP(C765,'手数料マスタ'!$A$5:$B$104,2,FALSE))),VLOOKUP(C765,'手数料マスタ'!$A$5:$B$104,2,FALSE)&lt;0,VLOOKUP(C765,'手数料マスタ'!$A$5:$B$104,2,FALSE)&gt;1),"要確認",ROUND(E765*VLOOKUP(C765,'手数料マスタ'!$A$5:$B$104,2,FALSE),0)),"要確認"))</ns0:f>
        <ns0:v/>
      </ns0:c>
      <ns0:c r="G765" s="7" t="n"/>
      <ns0:c r="H765" s="7" t="n"/>
      <ns0:c r="I765" s="8" t="str">
        <ns0:f>IF(OR(B765="",J765&lt;&gt;"販売済み",D765="",E765="",G765="",H765=""),"",IF(ISNUMBER(F765),E765-D765-F765-G765-H765,"要確認"))</ns0:f>
        <ns0:v/>
      </ns0:c>
      <ns0:c r="J765" s="6" t="n"/>
      <ns0:c r="K765" s="5" t="n"/>
      <ns0:c r="L765" s="9" t="str">
        <ns0:f>IF(AND(B765&lt;&gt;"",J765="在庫"),COUNTIFS($J$5:J765,"在庫",$B$5:B765,"&lt;&gt;"),"")</ns0:f>
        <ns0:v/>
      </ns0:c>
    </ns0:row>
    <ns0:row r="766">
      <ns0:c r="A766" s="5" t="n"/>
      <ns0:c r="B766" s="6" t="n"/>
      <ns0:c r="C766" s="6" t="n"/>
      <ns0:c r="D766" s="7" t="n"/>
      <ns0:c r="E766" s="7" t="n"/>
      <ns0:c r="F766" s="8" t="str">
        <ns0:f>IF(OR(B766="",J766&lt;&gt;"販売済み",E766="",C766=""),"",IFERROR(IF(OR(COUNTIF('手数料マスタ'!$A$5:$A$104,C766)&lt;&gt;1,COUNTIFS('手数料マスタ'!$A$5:$A$104,C766,'手数料マスタ'!$B$5:$B$104,"&lt;&gt;")&lt;&gt;1,NOT(ISNUMBER(VLOOKUP(C766,'手数料マスタ'!$A$5:$B$104,2,FALSE))),VLOOKUP(C766,'手数料マスタ'!$A$5:$B$104,2,FALSE)&lt;0,VLOOKUP(C766,'手数料マスタ'!$A$5:$B$104,2,FALSE)&gt;1),"要確認",ROUND(E766*VLOOKUP(C766,'手数料マスタ'!$A$5:$B$104,2,FALSE),0)),"要確認"))</ns0:f>
        <ns0:v/>
      </ns0:c>
      <ns0:c r="G766" s="7" t="n"/>
      <ns0:c r="H766" s="7" t="n"/>
      <ns0:c r="I766" s="8" t="str">
        <ns0:f>IF(OR(B766="",J766&lt;&gt;"販売済み",D766="",E766="",G766="",H766=""),"",IF(ISNUMBER(F766),E766-D766-F766-G766-H766,"要確認"))</ns0:f>
        <ns0:v/>
      </ns0:c>
      <ns0:c r="J766" s="6" t="n"/>
      <ns0:c r="K766" s="5" t="n"/>
      <ns0:c r="L766" s="9" t="str">
        <ns0:f>IF(AND(B766&lt;&gt;"",J766="在庫"),COUNTIFS($J$5:J766,"在庫",$B$5:B766,"&lt;&gt;"),"")</ns0:f>
        <ns0:v/>
      </ns0:c>
    </ns0:row>
    <ns0:row r="767">
      <ns0:c r="A767" s="5" t="n"/>
      <ns0:c r="B767" s="6" t="n"/>
      <ns0:c r="C767" s="6" t="n"/>
      <ns0:c r="D767" s="7" t="n"/>
      <ns0:c r="E767" s="7" t="n"/>
      <ns0:c r="F767" s="8" t="str">
        <ns0:f>IF(OR(B767="",J767&lt;&gt;"販売済み",E767="",C767=""),"",IFERROR(IF(OR(COUNTIF('手数料マスタ'!$A$5:$A$104,C767)&lt;&gt;1,COUNTIFS('手数料マスタ'!$A$5:$A$104,C767,'手数料マスタ'!$B$5:$B$104,"&lt;&gt;")&lt;&gt;1,NOT(ISNUMBER(VLOOKUP(C767,'手数料マスタ'!$A$5:$B$104,2,FALSE))),VLOOKUP(C767,'手数料マスタ'!$A$5:$B$104,2,FALSE)&lt;0,VLOOKUP(C767,'手数料マスタ'!$A$5:$B$104,2,FALSE)&gt;1),"要確認",ROUND(E767*VLOOKUP(C767,'手数料マスタ'!$A$5:$B$104,2,FALSE),0)),"要確認"))</ns0:f>
        <ns0:v/>
      </ns0:c>
      <ns0:c r="G767" s="7" t="n"/>
      <ns0:c r="H767" s="7" t="n"/>
      <ns0:c r="I767" s="8" t="str">
        <ns0:f>IF(OR(B767="",J767&lt;&gt;"販売済み",D767="",E767="",G767="",H767=""),"",IF(ISNUMBER(F767),E767-D767-F767-G767-H767,"要確認"))</ns0:f>
        <ns0:v/>
      </ns0:c>
      <ns0:c r="J767" s="6" t="n"/>
      <ns0:c r="K767" s="5" t="n"/>
      <ns0:c r="L767" s="9" t="str">
        <ns0:f>IF(AND(B767&lt;&gt;"",J767="在庫"),COUNTIFS($J$5:J767,"在庫",$B$5:B767,"&lt;&gt;"),"")</ns0:f>
        <ns0:v/>
      </ns0:c>
    </ns0:row>
    <ns0:row r="768">
      <ns0:c r="A768" s="5" t="n"/>
      <ns0:c r="B768" s="6" t="n"/>
      <ns0:c r="C768" s="6" t="n"/>
      <ns0:c r="D768" s="7" t="n"/>
      <ns0:c r="E768" s="7" t="n"/>
      <ns0:c r="F768" s="8" t="str">
        <ns0:f>IF(OR(B768="",J768&lt;&gt;"販売済み",E768="",C768=""),"",IFERROR(IF(OR(COUNTIF('手数料マスタ'!$A$5:$A$104,C768)&lt;&gt;1,COUNTIFS('手数料マスタ'!$A$5:$A$104,C768,'手数料マスタ'!$B$5:$B$104,"&lt;&gt;")&lt;&gt;1,NOT(ISNUMBER(VLOOKUP(C768,'手数料マスタ'!$A$5:$B$104,2,FALSE))),VLOOKUP(C768,'手数料マスタ'!$A$5:$B$104,2,FALSE)&lt;0,VLOOKUP(C768,'手数料マスタ'!$A$5:$B$104,2,FALSE)&gt;1),"要確認",ROUND(E768*VLOOKUP(C768,'手数料マスタ'!$A$5:$B$104,2,FALSE),0)),"要確認"))</ns0:f>
        <ns0:v/>
      </ns0:c>
      <ns0:c r="G768" s="7" t="n"/>
      <ns0:c r="H768" s="7" t="n"/>
      <ns0:c r="I768" s="8" t="str">
        <ns0:f>IF(OR(B768="",J768&lt;&gt;"販売済み",D768="",E768="",G768="",H768=""),"",IF(ISNUMBER(F768),E768-D768-F768-G768-H768,"要確認"))</ns0:f>
        <ns0:v/>
      </ns0:c>
      <ns0:c r="J768" s="6" t="n"/>
      <ns0:c r="K768" s="5" t="n"/>
      <ns0:c r="L768" s="9" t="str">
        <ns0:f>IF(AND(B768&lt;&gt;"",J768="在庫"),COUNTIFS($J$5:J768,"在庫",$B$5:B768,"&lt;&gt;"),"")</ns0:f>
        <ns0:v/>
      </ns0:c>
    </ns0:row>
    <ns0:row r="769">
      <ns0:c r="A769" s="5" t="n"/>
      <ns0:c r="B769" s="6" t="n"/>
      <ns0:c r="C769" s="6" t="n"/>
      <ns0:c r="D769" s="7" t="n"/>
      <ns0:c r="E769" s="7" t="n"/>
      <ns0:c r="F769" s="8" t="str">
        <ns0:f>IF(OR(B769="",J769&lt;&gt;"販売済み",E769="",C769=""),"",IFERROR(IF(OR(COUNTIF('手数料マスタ'!$A$5:$A$104,C769)&lt;&gt;1,COUNTIFS('手数料マスタ'!$A$5:$A$104,C769,'手数料マスタ'!$B$5:$B$104,"&lt;&gt;")&lt;&gt;1,NOT(ISNUMBER(VLOOKUP(C769,'手数料マスタ'!$A$5:$B$104,2,FALSE))),VLOOKUP(C769,'手数料マスタ'!$A$5:$B$104,2,FALSE)&lt;0,VLOOKUP(C769,'手数料マスタ'!$A$5:$B$104,2,FALSE)&gt;1),"要確認",ROUND(E769*VLOOKUP(C769,'手数料マスタ'!$A$5:$B$104,2,FALSE),0)),"要確認"))</ns0:f>
        <ns0:v/>
      </ns0:c>
      <ns0:c r="G769" s="7" t="n"/>
      <ns0:c r="H769" s="7" t="n"/>
      <ns0:c r="I769" s="8" t="str">
        <ns0:f>IF(OR(B769="",J769&lt;&gt;"販売済み",D769="",E769="",G769="",H769=""),"",IF(ISNUMBER(F769),E769-D769-F769-G769-H769,"要確認"))</ns0:f>
        <ns0:v/>
      </ns0:c>
      <ns0:c r="J769" s="6" t="n"/>
      <ns0:c r="K769" s="5" t="n"/>
      <ns0:c r="L769" s="9" t="str">
        <ns0:f>IF(AND(B769&lt;&gt;"",J769="在庫"),COUNTIFS($J$5:J769,"在庫",$B$5:B769,"&lt;&gt;"),"")</ns0:f>
        <ns0:v/>
      </ns0:c>
    </ns0:row>
    <ns0:row r="770">
      <ns0:c r="A770" s="5" t="n"/>
      <ns0:c r="B770" s="6" t="n"/>
      <ns0:c r="C770" s="6" t="n"/>
      <ns0:c r="D770" s="7" t="n"/>
      <ns0:c r="E770" s="7" t="n"/>
      <ns0:c r="F770" s="8" t="str">
        <ns0:f>IF(OR(B770="",J770&lt;&gt;"販売済み",E770="",C770=""),"",IFERROR(IF(OR(COUNTIF('手数料マスタ'!$A$5:$A$104,C770)&lt;&gt;1,COUNTIFS('手数料マスタ'!$A$5:$A$104,C770,'手数料マスタ'!$B$5:$B$104,"&lt;&gt;")&lt;&gt;1,NOT(ISNUMBER(VLOOKUP(C770,'手数料マスタ'!$A$5:$B$104,2,FALSE))),VLOOKUP(C770,'手数料マスタ'!$A$5:$B$104,2,FALSE)&lt;0,VLOOKUP(C770,'手数料マスタ'!$A$5:$B$104,2,FALSE)&gt;1),"要確認",ROUND(E770*VLOOKUP(C770,'手数料マスタ'!$A$5:$B$104,2,FALSE),0)),"要確認"))</ns0:f>
        <ns0:v/>
      </ns0:c>
      <ns0:c r="G770" s="7" t="n"/>
      <ns0:c r="H770" s="7" t="n"/>
      <ns0:c r="I770" s="8" t="str">
        <ns0:f>IF(OR(B770="",J770&lt;&gt;"販売済み",D770="",E770="",G770="",H770=""),"",IF(ISNUMBER(F770),E770-D770-F770-G770-H770,"要確認"))</ns0:f>
        <ns0:v/>
      </ns0:c>
      <ns0:c r="J770" s="6" t="n"/>
      <ns0:c r="K770" s="5" t="n"/>
      <ns0:c r="L770" s="9" t="str">
        <ns0:f>IF(AND(B770&lt;&gt;"",J770="在庫"),COUNTIFS($J$5:J770,"在庫",$B$5:B770,"&lt;&gt;"),"")</ns0:f>
        <ns0:v/>
      </ns0:c>
    </ns0:row>
    <ns0:row r="771">
      <ns0:c r="A771" s="5" t="n"/>
      <ns0:c r="B771" s="6" t="n"/>
      <ns0:c r="C771" s="6" t="n"/>
      <ns0:c r="D771" s="7" t="n"/>
      <ns0:c r="E771" s="7" t="n"/>
      <ns0:c r="F771" s="8" t="str">
        <ns0:f>IF(OR(B771="",J771&lt;&gt;"販売済み",E771="",C771=""),"",IFERROR(IF(OR(COUNTIF('手数料マスタ'!$A$5:$A$104,C771)&lt;&gt;1,COUNTIFS('手数料マスタ'!$A$5:$A$104,C771,'手数料マスタ'!$B$5:$B$104,"&lt;&gt;")&lt;&gt;1,NOT(ISNUMBER(VLOOKUP(C771,'手数料マスタ'!$A$5:$B$104,2,FALSE))),VLOOKUP(C771,'手数料マスタ'!$A$5:$B$104,2,FALSE)&lt;0,VLOOKUP(C771,'手数料マスタ'!$A$5:$B$104,2,FALSE)&gt;1),"要確認",ROUND(E771*VLOOKUP(C771,'手数料マスタ'!$A$5:$B$104,2,FALSE),0)),"要確認"))</ns0:f>
        <ns0:v/>
      </ns0:c>
      <ns0:c r="G771" s="7" t="n"/>
      <ns0:c r="H771" s="7" t="n"/>
      <ns0:c r="I771" s="8" t="str">
        <ns0:f>IF(OR(B771="",J771&lt;&gt;"販売済み",D771="",E771="",G771="",H771=""),"",IF(ISNUMBER(F771),E771-D771-F771-G771-H771,"要確認"))</ns0:f>
        <ns0:v/>
      </ns0:c>
      <ns0:c r="J771" s="6" t="n"/>
      <ns0:c r="K771" s="5" t="n"/>
      <ns0:c r="L771" s="9" t="str">
        <ns0:f>IF(AND(B771&lt;&gt;"",J771="在庫"),COUNTIFS($J$5:J771,"在庫",$B$5:B771,"&lt;&gt;"),"")</ns0:f>
        <ns0:v/>
      </ns0:c>
    </ns0:row>
    <ns0:row r="772">
      <ns0:c r="A772" s="5" t="n"/>
      <ns0:c r="B772" s="6" t="n"/>
      <ns0:c r="C772" s="6" t="n"/>
      <ns0:c r="D772" s="7" t="n"/>
      <ns0:c r="E772" s="7" t="n"/>
      <ns0:c r="F772" s="8" t="str">
        <ns0:f>IF(OR(B772="",J772&lt;&gt;"販売済み",E772="",C772=""),"",IFERROR(IF(OR(COUNTIF('手数料マスタ'!$A$5:$A$104,C772)&lt;&gt;1,COUNTIFS('手数料マスタ'!$A$5:$A$104,C772,'手数料マスタ'!$B$5:$B$104,"&lt;&gt;")&lt;&gt;1,NOT(ISNUMBER(VLOOKUP(C772,'手数料マスタ'!$A$5:$B$104,2,FALSE))),VLOOKUP(C772,'手数料マスタ'!$A$5:$B$104,2,FALSE)&lt;0,VLOOKUP(C772,'手数料マスタ'!$A$5:$B$104,2,FALSE)&gt;1),"要確認",ROUND(E772*VLOOKUP(C772,'手数料マスタ'!$A$5:$B$104,2,FALSE),0)),"要確認"))</ns0:f>
        <ns0:v/>
      </ns0:c>
      <ns0:c r="G772" s="7" t="n"/>
      <ns0:c r="H772" s="7" t="n"/>
      <ns0:c r="I772" s="8" t="str">
        <ns0:f>IF(OR(B772="",J772&lt;&gt;"販売済み",D772="",E772="",G772="",H772=""),"",IF(ISNUMBER(F772),E772-D772-F772-G772-H772,"要確認"))</ns0:f>
        <ns0:v/>
      </ns0:c>
      <ns0:c r="J772" s="6" t="n"/>
      <ns0:c r="K772" s="5" t="n"/>
      <ns0:c r="L772" s="9" t="str">
        <ns0:f>IF(AND(B772&lt;&gt;"",J772="在庫"),COUNTIFS($J$5:J772,"在庫",$B$5:B772,"&lt;&gt;"),"")</ns0:f>
        <ns0:v/>
      </ns0:c>
    </ns0:row>
    <ns0:row r="773">
      <ns0:c r="A773" s="5" t="n"/>
      <ns0:c r="B773" s="6" t="n"/>
      <ns0:c r="C773" s="6" t="n"/>
      <ns0:c r="D773" s="7" t="n"/>
      <ns0:c r="E773" s="7" t="n"/>
      <ns0:c r="F773" s="8" t="str">
        <ns0:f>IF(OR(B773="",J773&lt;&gt;"販売済み",E773="",C773=""),"",IFERROR(IF(OR(COUNTIF('手数料マスタ'!$A$5:$A$104,C773)&lt;&gt;1,COUNTIFS('手数料マスタ'!$A$5:$A$104,C773,'手数料マスタ'!$B$5:$B$104,"&lt;&gt;")&lt;&gt;1,NOT(ISNUMBER(VLOOKUP(C773,'手数料マスタ'!$A$5:$B$104,2,FALSE))),VLOOKUP(C773,'手数料マスタ'!$A$5:$B$104,2,FALSE)&lt;0,VLOOKUP(C773,'手数料マスタ'!$A$5:$B$104,2,FALSE)&gt;1),"要確認",ROUND(E773*VLOOKUP(C773,'手数料マスタ'!$A$5:$B$104,2,FALSE),0)),"要確認"))</ns0:f>
        <ns0:v/>
      </ns0:c>
      <ns0:c r="G773" s="7" t="n"/>
      <ns0:c r="H773" s="7" t="n"/>
      <ns0:c r="I773" s="8" t="str">
        <ns0:f>IF(OR(B773="",J773&lt;&gt;"販売済み",D773="",E773="",G773="",H773=""),"",IF(ISNUMBER(F773),E773-D773-F773-G773-H773,"要確認"))</ns0:f>
        <ns0:v/>
      </ns0:c>
      <ns0:c r="J773" s="6" t="n"/>
      <ns0:c r="K773" s="5" t="n"/>
      <ns0:c r="L773" s="9" t="str">
        <ns0:f>IF(AND(B773&lt;&gt;"",J773="在庫"),COUNTIFS($J$5:J773,"在庫",$B$5:B773,"&lt;&gt;"),"")</ns0:f>
        <ns0:v/>
      </ns0:c>
    </ns0:row>
    <ns0:row r="774">
      <ns0:c r="A774" s="5" t="n"/>
      <ns0:c r="B774" s="6" t="n"/>
      <ns0:c r="C774" s="6" t="n"/>
      <ns0:c r="D774" s="7" t="n"/>
      <ns0:c r="E774" s="7" t="n"/>
      <ns0:c r="F774" s="8" t="str">
        <ns0:f>IF(OR(B774="",J774&lt;&gt;"販売済み",E774="",C774=""),"",IFERROR(IF(OR(COUNTIF('手数料マスタ'!$A$5:$A$104,C774)&lt;&gt;1,COUNTIFS('手数料マスタ'!$A$5:$A$104,C774,'手数料マスタ'!$B$5:$B$104,"&lt;&gt;")&lt;&gt;1,NOT(ISNUMBER(VLOOKUP(C774,'手数料マスタ'!$A$5:$B$104,2,FALSE))),VLOOKUP(C774,'手数料マスタ'!$A$5:$B$104,2,FALSE)&lt;0,VLOOKUP(C774,'手数料マスタ'!$A$5:$B$104,2,FALSE)&gt;1),"要確認",ROUND(E774*VLOOKUP(C774,'手数料マスタ'!$A$5:$B$104,2,FALSE),0)),"要確認"))</ns0:f>
        <ns0:v/>
      </ns0:c>
      <ns0:c r="G774" s="7" t="n"/>
      <ns0:c r="H774" s="7" t="n"/>
      <ns0:c r="I774" s="8" t="str">
        <ns0:f>IF(OR(B774="",J774&lt;&gt;"販売済み",D774="",E774="",G774="",H774=""),"",IF(ISNUMBER(F774),E774-D774-F774-G774-H774,"要確認"))</ns0:f>
        <ns0:v/>
      </ns0:c>
      <ns0:c r="J774" s="6" t="n"/>
      <ns0:c r="K774" s="5" t="n"/>
      <ns0:c r="L774" s="9" t="str">
        <ns0:f>IF(AND(B774&lt;&gt;"",J774="在庫"),COUNTIFS($J$5:J774,"在庫",$B$5:B774,"&lt;&gt;"),"")</ns0:f>
        <ns0:v/>
      </ns0:c>
    </ns0:row>
    <ns0:row r="775">
      <ns0:c r="A775" s="5" t="n"/>
      <ns0:c r="B775" s="6" t="n"/>
      <ns0:c r="C775" s="6" t="n"/>
      <ns0:c r="D775" s="7" t="n"/>
      <ns0:c r="E775" s="7" t="n"/>
      <ns0:c r="F775" s="8" t="str">
        <ns0:f>IF(OR(B775="",J775&lt;&gt;"販売済み",E775="",C775=""),"",IFERROR(IF(OR(COUNTIF('手数料マスタ'!$A$5:$A$104,C775)&lt;&gt;1,COUNTIFS('手数料マスタ'!$A$5:$A$104,C775,'手数料マスタ'!$B$5:$B$104,"&lt;&gt;")&lt;&gt;1,NOT(ISNUMBER(VLOOKUP(C775,'手数料マスタ'!$A$5:$B$104,2,FALSE))),VLOOKUP(C775,'手数料マスタ'!$A$5:$B$104,2,FALSE)&lt;0,VLOOKUP(C775,'手数料マスタ'!$A$5:$B$104,2,FALSE)&gt;1),"要確認",ROUND(E775*VLOOKUP(C775,'手数料マスタ'!$A$5:$B$104,2,FALSE),0)),"要確認"))</ns0:f>
        <ns0:v/>
      </ns0:c>
      <ns0:c r="G775" s="7" t="n"/>
      <ns0:c r="H775" s="7" t="n"/>
      <ns0:c r="I775" s="8" t="str">
        <ns0:f>IF(OR(B775="",J775&lt;&gt;"販売済み",D775="",E775="",G775="",H775=""),"",IF(ISNUMBER(F775),E775-D775-F775-G775-H775,"要確認"))</ns0:f>
        <ns0:v/>
      </ns0:c>
      <ns0:c r="J775" s="6" t="n"/>
      <ns0:c r="K775" s="5" t="n"/>
      <ns0:c r="L775" s="9" t="str">
        <ns0:f>IF(AND(B775&lt;&gt;"",J775="在庫"),COUNTIFS($J$5:J775,"在庫",$B$5:B775,"&lt;&gt;"),"")</ns0:f>
        <ns0:v/>
      </ns0:c>
    </ns0:row>
    <ns0:row r="776">
      <ns0:c r="A776" s="5" t="n"/>
      <ns0:c r="B776" s="6" t="n"/>
      <ns0:c r="C776" s="6" t="n"/>
      <ns0:c r="D776" s="7" t="n"/>
      <ns0:c r="E776" s="7" t="n"/>
      <ns0:c r="F776" s="8" t="str">
        <ns0:f>IF(OR(B776="",J776&lt;&gt;"販売済み",E776="",C776=""),"",IFERROR(IF(OR(COUNTIF('手数料マスタ'!$A$5:$A$104,C776)&lt;&gt;1,COUNTIFS('手数料マスタ'!$A$5:$A$104,C776,'手数料マスタ'!$B$5:$B$104,"&lt;&gt;")&lt;&gt;1,NOT(ISNUMBER(VLOOKUP(C776,'手数料マスタ'!$A$5:$B$104,2,FALSE))),VLOOKUP(C776,'手数料マスタ'!$A$5:$B$104,2,FALSE)&lt;0,VLOOKUP(C776,'手数料マスタ'!$A$5:$B$104,2,FALSE)&gt;1),"要確認",ROUND(E776*VLOOKUP(C776,'手数料マスタ'!$A$5:$B$104,2,FALSE),0)),"要確認"))</ns0:f>
        <ns0:v/>
      </ns0:c>
      <ns0:c r="G776" s="7" t="n"/>
      <ns0:c r="H776" s="7" t="n"/>
      <ns0:c r="I776" s="8" t="str">
        <ns0:f>IF(OR(B776="",J776&lt;&gt;"販売済み",D776="",E776="",G776="",H776=""),"",IF(ISNUMBER(F776),E776-D776-F776-G776-H776,"要確認"))</ns0:f>
        <ns0:v/>
      </ns0:c>
      <ns0:c r="J776" s="6" t="n"/>
      <ns0:c r="K776" s="5" t="n"/>
      <ns0:c r="L776" s="9" t="str">
        <ns0:f>IF(AND(B776&lt;&gt;"",J776="在庫"),COUNTIFS($J$5:J776,"在庫",$B$5:B776,"&lt;&gt;"),"")</ns0:f>
        <ns0:v/>
      </ns0:c>
    </ns0:row>
    <ns0:row r="777">
      <ns0:c r="A777" s="5" t="n"/>
      <ns0:c r="B777" s="6" t="n"/>
      <ns0:c r="C777" s="6" t="n"/>
      <ns0:c r="D777" s="7" t="n"/>
      <ns0:c r="E777" s="7" t="n"/>
      <ns0:c r="F777" s="8" t="str">
        <ns0:f>IF(OR(B777="",J777&lt;&gt;"販売済み",E777="",C777=""),"",IFERROR(IF(OR(COUNTIF('手数料マスタ'!$A$5:$A$104,C777)&lt;&gt;1,COUNTIFS('手数料マスタ'!$A$5:$A$104,C777,'手数料マスタ'!$B$5:$B$104,"&lt;&gt;")&lt;&gt;1,NOT(ISNUMBER(VLOOKUP(C777,'手数料マスタ'!$A$5:$B$104,2,FALSE))),VLOOKUP(C777,'手数料マスタ'!$A$5:$B$104,2,FALSE)&lt;0,VLOOKUP(C777,'手数料マスタ'!$A$5:$B$104,2,FALSE)&gt;1),"要確認",ROUND(E777*VLOOKUP(C777,'手数料マスタ'!$A$5:$B$104,2,FALSE),0)),"要確認"))</ns0:f>
        <ns0:v/>
      </ns0:c>
      <ns0:c r="G777" s="7" t="n"/>
      <ns0:c r="H777" s="7" t="n"/>
      <ns0:c r="I777" s="8" t="str">
        <ns0:f>IF(OR(B777="",J777&lt;&gt;"販売済み",D777="",E777="",G777="",H777=""),"",IF(ISNUMBER(F777),E777-D777-F777-G777-H777,"要確認"))</ns0:f>
        <ns0:v/>
      </ns0:c>
      <ns0:c r="J777" s="6" t="n"/>
      <ns0:c r="K777" s="5" t="n"/>
      <ns0:c r="L777" s="9" t="str">
        <ns0:f>IF(AND(B777&lt;&gt;"",J777="在庫"),COUNTIFS($J$5:J777,"在庫",$B$5:B777,"&lt;&gt;"),"")</ns0:f>
        <ns0:v/>
      </ns0:c>
    </ns0:row>
    <ns0:row r="778">
      <ns0:c r="A778" s="5" t="n"/>
      <ns0:c r="B778" s="6" t="n"/>
      <ns0:c r="C778" s="6" t="n"/>
      <ns0:c r="D778" s="7" t="n"/>
      <ns0:c r="E778" s="7" t="n"/>
      <ns0:c r="F778" s="8" t="str">
        <ns0:f>IF(OR(B778="",J778&lt;&gt;"販売済み",E778="",C778=""),"",IFERROR(IF(OR(COUNTIF('手数料マスタ'!$A$5:$A$104,C778)&lt;&gt;1,COUNTIFS('手数料マスタ'!$A$5:$A$104,C778,'手数料マスタ'!$B$5:$B$104,"&lt;&gt;")&lt;&gt;1,NOT(ISNUMBER(VLOOKUP(C778,'手数料マスタ'!$A$5:$B$104,2,FALSE))),VLOOKUP(C778,'手数料マスタ'!$A$5:$B$104,2,FALSE)&lt;0,VLOOKUP(C778,'手数料マスタ'!$A$5:$B$104,2,FALSE)&gt;1),"要確認",ROUND(E778*VLOOKUP(C778,'手数料マスタ'!$A$5:$B$104,2,FALSE),0)),"要確認"))</ns0:f>
        <ns0:v/>
      </ns0:c>
      <ns0:c r="G778" s="7" t="n"/>
      <ns0:c r="H778" s="7" t="n"/>
      <ns0:c r="I778" s="8" t="str">
        <ns0:f>IF(OR(B778="",J778&lt;&gt;"販売済み",D778="",E778="",G778="",H778=""),"",IF(ISNUMBER(F778),E778-D778-F778-G778-H778,"要確認"))</ns0:f>
        <ns0:v/>
      </ns0:c>
      <ns0:c r="J778" s="6" t="n"/>
      <ns0:c r="K778" s="5" t="n"/>
      <ns0:c r="L778" s="9" t="str">
        <ns0:f>IF(AND(B778&lt;&gt;"",J778="在庫"),COUNTIFS($J$5:J778,"在庫",$B$5:B778,"&lt;&gt;"),"")</ns0:f>
        <ns0:v/>
      </ns0:c>
    </ns0:row>
    <ns0:row r="779">
      <ns0:c r="A779" s="5" t="n"/>
      <ns0:c r="B779" s="6" t="n"/>
      <ns0:c r="C779" s="6" t="n"/>
      <ns0:c r="D779" s="7" t="n"/>
      <ns0:c r="E779" s="7" t="n"/>
      <ns0:c r="F779" s="8" t="str">
        <ns0:f>IF(OR(B779="",J779&lt;&gt;"販売済み",E779="",C779=""),"",IFERROR(IF(OR(COUNTIF('手数料マスタ'!$A$5:$A$104,C779)&lt;&gt;1,COUNTIFS('手数料マスタ'!$A$5:$A$104,C779,'手数料マスタ'!$B$5:$B$104,"&lt;&gt;")&lt;&gt;1,NOT(ISNUMBER(VLOOKUP(C779,'手数料マスタ'!$A$5:$B$104,2,FALSE))),VLOOKUP(C779,'手数料マスタ'!$A$5:$B$104,2,FALSE)&lt;0,VLOOKUP(C779,'手数料マスタ'!$A$5:$B$104,2,FALSE)&gt;1),"要確認",ROUND(E779*VLOOKUP(C779,'手数料マスタ'!$A$5:$B$104,2,FALSE),0)),"要確認"))</ns0:f>
        <ns0:v/>
      </ns0:c>
      <ns0:c r="G779" s="7" t="n"/>
      <ns0:c r="H779" s="7" t="n"/>
      <ns0:c r="I779" s="8" t="str">
        <ns0:f>IF(OR(B779="",J779&lt;&gt;"販売済み",D779="",E779="",G779="",H779=""),"",IF(ISNUMBER(F779),E779-D779-F779-G779-H779,"要確認"))</ns0:f>
        <ns0:v/>
      </ns0:c>
      <ns0:c r="J779" s="6" t="n"/>
      <ns0:c r="K779" s="5" t="n"/>
      <ns0:c r="L779" s="9" t="str">
        <ns0:f>IF(AND(B779&lt;&gt;"",J779="在庫"),COUNTIFS($J$5:J779,"在庫",$B$5:B779,"&lt;&gt;"),"")</ns0:f>
        <ns0:v/>
      </ns0:c>
    </ns0:row>
    <ns0:row r="780">
      <ns0:c r="A780" s="5" t="n"/>
      <ns0:c r="B780" s="6" t="n"/>
      <ns0:c r="C780" s="6" t="n"/>
      <ns0:c r="D780" s="7" t="n"/>
      <ns0:c r="E780" s="7" t="n"/>
      <ns0:c r="F780" s="8" t="str">
        <ns0:f>IF(OR(B780="",J780&lt;&gt;"販売済み",E780="",C780=""),"",IFERROR(IF(OR(COUNTIF('手数料マスタ'!$A$5:$A$104,C780)&lt;&gt;1,COUNTIFS('手数料マスタ'!$A$5:$A$104,C780,'手数料マスタ'!$B$5:$B$104,"&lt;&gt;")&lt;&gt;1,NOT(ISNUMBER(VLOOKUP(C780,'手数料マスタ'!$A$5:$B$104,2,FALSE))),VLOOKUP(C780,'手数料マスタ'!$A$5:$B$104,2,FALSE)&lt;0,VLOOKUP(C780,'手数料マスタ'!$A$5:$B$104,2,FALSE)&gt;1),"要確認",ROUND(E780*VLOOKUP(C780,'手数料マスタ'!$A$5:$B$104,2,FALSE),0)),"要確認"))</ns0:f>
        <ns0:v/>
      </ns0:c>
      <ns0:c r="G780" s="7" t="n"/>
      <ns0:c r="H780" s="7" t="n"/>
      <ns0:c r="I780" s="8" t="str">
        <ns0:f>IF(OR(B780="",J780&lt;&gt;"販売済み",D780="",E780="",G780="",H780=""),"",IF(ISNUMBER(F780),E780-D780-F780-G780-H780,"要確認"))</ns0:f>
        <ns0:v/>
      </ns0:c>
      <ns0:c r="J780" s="6" t="n"/>
      <ns0:c r="K780" s="5" t="n"/>
      <ns0:c r="L780" s="9" t="str">
        <ns0:f>IF(AND(B780&lt;&gt;"",J780="在庫"),COUNTIFS($J$5:J780,"在庫",$B$5:B780,"&lt;&gt;"),"")</ns0:f>
        <ns0:v/>
      </ns0:c>
    </ns0:row>
    <ns0:row r="781">
      <ns0:c r="A781" s="5" t="n"/>
      <ns0:c r="B781" s="6" t="n"/>
      <ns0:c r="C781" s="6" t="n"/>
      <ns0:c r="D781" s="7" t="n"/>
      <ns0:c r="E781" s="7" t="n"/>
      <ns0:c r="F781" s="8" t="str">
        <ns0:f>IF(OR(B781="",J781&lt;&gt;"販売済み",E781="",C781=""),"",IFERROR(IF(OR(COUNTIF('手数料マスタ'!$A$5:$A$104,C781)&lt;&gt;1,COUNTIFS('手数料マスタ'!$A$5:$A$104,C781,'手数料マスタ'!$B$5:$B$104,"&lt;&gt;")&lt;&gt;1,NOT(ISNUMBER(VLOOKUP(C781,'手数料マスタ'!$A$5:$B$104,2,FALSE))),VLOOKUP(C781,'手数料マスタ'!$A$5:$B$104,2,FALSE)&lt;0,VLOOKUP(C781,'手数料マスタ'!$A$5:$B$104,2,FALSE)&gt;1),"要確認",ROUND(E781*VLOOKUP(C781,'手数料マスタ'!$A$5:$B$104,2,FALSE),0)),"要確認"))</ns0:f>
        <ns0:v/>
      </ns0:c>
      <ns0:c r="G781" s="7" t="n"/>
      <ns0:c r="H781" s="7" t="n"/>
      <ns0:c r="I781" s="8" t="str">
        <ns0:f>IF(OR(B781="",J781&lt;&gt;"販売済み",D781="",E781="",G781="",H781=""),"",IF(ISNUMBER(F781),E781-D781-F781-G781-H781,"要確認"))</ns0:f>
        <ns0:v/>
      </ns0:c>
      <ns0:c r="J781" s="6" t="n"/>
      <ns0:c r="K781" s="5" t="n"/>
      <ns0:c r="L781" s="9" t="str">
        <ns0:f>IF(AND(B781&lt;&gt;"",J781="在庫"),COUNTIFS($J$5:J781,"在庫",$B$5:B781,"&lt;&gt;"),"")</ns0:f>
        <ns0:v/>
      </ns0:c>
    </ns0:row>
    <ns0:row r="782">
      <ns0:c r="A782" s="5" t="n"/>
      <ns0:c r="B782" s="6" t="n"/>
      <ns0:c r="C782" s="6" t="n"/>
      <ns0:c r="D782" s="7" t="n"/>
      <ns0:c r="E782" s="7" t="n"/>
      <ns0:c r="F782" s="8" t="str">
        <ns0:f>IF(OR(B782="",J782&lt;&gt;"販売済み",E782="",C782=""),"",IFERROR(IF(OR(COUNTIF('手数料マスタ'!$A$5:$A$104,C782)&lt;&gt;1,COUNTIFS('手数料マスタ'!$A$5:$A$104,C782,'手数料マスタ'!$B$5:$B$104,"&lt;&gt;")&lt;&gt;1,NOT(ISNUMBER(VLOOKUP(C782,'手数料マスタ'!$A$5:$B$104,2,FALSE))),VLOOKUP(C782,'手数料マスタ'!$A$5:$B$104,2,FALSE)&lt;0,VLOOKUP(C782,'手数料マスタ'!$A$5:$B$104,2,FALSE)&gt;1),"要確認",ROUND(E782*VLOOKUP(C782,'手数料マスタ'!$A$5:$B$104,2,FALSE),0)),"要確認"))</ns0:f>
        <ns0:v/>
      </ns0:c>
      <ns0:c r="G782" s="7" t="n"/>
      <ns0:c r="H782" s="7" t="n"/>
      <ns0:c r="I782" s="8" t="str">
        <ns0:f>IF(OR(B782="",J782&lt;&gt;"販売済み",D782="",E782="",G782="",H782=""),"",IF(ISNUMBER(F782),E782-D782-F782-G782-H782,"要確認"))</ns0:f>
        <ns0:v/>
      </ns0:c>
      <ns0:c r="J782" s="6" t="n"/>
      <ns0:c r="K782" s="5" t="n"/>
      <ns0:c r="L782" s="9" t="str">
        <ns0:f>IF(AND(B782&lt;&gt;"",J782="在庫"),COUNTIFS($J$5:J782,"在庫",$B$5:B782,"&lt;&gt;"),"")</ns0:f>
        <ns0:v/>
      </ns0:c>
    </ns0:row>
    <ns0:row r="783">
      <ns0:c r="A783" s="5" t="n"/>
      <ns0:c r="B783" s="6" t="n"/>
      <ns0:c r="C783" s="6" t="n"/>
      <ns0:c r="D783" s="7" t="n"/>
      <ns0:c r="E783" s="7" t="n"/>
      <ns0:c r="F783" s="8" t="str">
        <ns0:f>IF(OR(B783="",J783&lt;&gt;"販売済み",E783="",C783=""),"",IFERROR(IF(OR(COUNTIF('手数料マスタ'!$A$5:$A$104,C783)&lt;&gt;1,COUNTIFS('手数料マスタ'!$A$5:$A$104,C783,'手数料マスタ'!$B$5:$B$104,"&lt;&gt;")&lt;&gt;1,NOT(ISNUMBER(VLOOKUP(C783,'手数料マスタ'!$A$5:$B$104,2,FALSE))),VLOOKUP(C783,'手数料マスタ'!$A$5:$B$104,2,FALSE)&lt;0,VLOOKUP(C783,'手数料マスタ'!$A$5:$B$104,2,FALSE)&gt;1),"要確認",ROUND(E783*VLOOKUP(C783,'手数料マスタ'!$A$5:$B$104,2,FALSE),0)),"要確認"))</ns0:f>
        <ns0:v/>
      </ns0:c>
      <ns0:c r="G783" s="7" t="n"/>
      <ns0:c r="H783" s="7" t="n"/>
      <ns0:c r="I783" s="8" t="str">
        <ns0:f>IF(OR(B783="",J783&lt;&gt;"販売済み",D783="",E783="",G783="",H783=""),"",IF(ISNUMBER(F783),E783-D783-F783-G783-H783,"要確認"))</ns0:f>
        <ns0:v/>
      </ns0:c>
      <ns0:c r="J783" s="6" t="n"/>
      <ns0:c r="K783" s="5" t="n"/>
      <ns0:c r="L783" s="9" t="str">
        <ns0:f>IF(AND(B783&lt;&gt;"",J783="在庫"),COUNTIFS($J$5:J783,"在庫",$B$5:B783,"&lt;&gt;"),"")</ns0:f>
        <ns0:v/>
      </ns0:c>
    </ns0:row>
    <ns0:row r="784">
      <ns0:c r="A784" s="5" t="n"/>
      <ns0:c r="B784" s="6" t="n"/>
      <ns0:c r="C784" s="6" t="n"/>
      <ns0:c r="D784" s="7" t="n"/>
      <ns0:c r="E784" s="7" t="n"/>
      <ns0:c r="F784" s="8" t="str">
        <ns0:f>IF(OR(B784="",J784&lt;&gt;"販売済み",E784="",C784=""),"",IFERROR(IF(OR(COUNTIF('手数料マスタ'!$A$5:$A$104,C784)&lt;&gt;1,COUNTIFS('手数料マスタ'!$A$5:$A$104,C784,'手数料マスタ'!$B$5:$B$104,"&lt;&gt;")&lt;&gt;1,NOT(ISNUMBER(VLOOKUP(C784,'手数料マスタ'!$A$5:$B$104,2,FALSE))),VLOOKUP(C784,'手数料マスタ'!$A$5:$B$104,2,FALSE)&lt;0,VLOOKUP(C784,'手数料マスタ'!$A$5:$B$104,2,FALSE)&gt;1),"要確認",ROUND(E784*VLOOKUP(C784,'手数料マスタ'!$A$5:$B$104,2,FALSE),0)),"要確認"))</ns0:f>
        <ns0:v/>
      </ns0:c>
      <ns0:c r="G784" s="7" t="n"/>
      <ns0:c r="H784" s="7" t="n"/>
      <ns0:c r="I784" s="8" t="str">
        <ns0:f>IF(OR(B784="",J784&lt;&gt;"販売済み",D784="",E784="",G784="",H784=""),"",IF(ISNUMBER(F784),E784-D784-F784-G784-H784,"要確認"))</ns0:f>
        <ns0:v/>
      </ns0:c>
      <ns0:c r="J784" s="6" t="n"/>
      <ns0:c r="K784" s="5" t="n"/>
      <ns0:c r="L784" s="9" t="str">
        <ns0:f>IF(AND(B784&lt;&gt;"",J784="在庫"),COUNTIFS($J$5:J784,"在庫",$B$5:B784,"&lt;&gt;"),"")</ns0:f>
        <ns0:v/>
      </ns0:c>
    </ns0:row>
    <ns0:row r="785">
      <ns0:c r="A785" s="5" t="n"/>
      <ns0:c r="B785" s="6" t="n"/>
      <ns0:c r="C785" s="6" t="n"/>
      <ns0:c r="D785" s="7" t="n"/>
      <ns0:c r="E785" s="7" t="n"/>
      <ns0:c r="F785" s="8" t="str">
        <ns0:f>IF(OR(B785="",J785&lt;&gt;"販売済み",E785="",C785=""),"",IFERROR(IF(OR(COUNTIF('手数料マスタ'!$A$5:$A$104,C785)&lt;&gt;1,COUNTIFS('手数料マスタ'!$A$5:$A$104,C785,'手数料マスタ'!$B$5:$B$104,"&lt;&gt;")&lt;&gt;1,NOT(ISNUMBER(VLOOKUP(C785,'手数料マスタ'!$A$5:$B$104,2,FALSE))),VLOOKUP(C785,'手数料マスタ'!$A$5:$B$104,2,FALSE)&lt;0,VLOOKUP(C785,'手数料マスタ'!$A$5:$B$104,2,FALSE)&gt;1),"要確認",ROUND(E785*VLOOKUP(C785,'手数料マスタ'!$A$5:$B$104,2,FALSE),0)),"要確認"))</ns0:f>
        <ns0:v/>
      </ns0:c>
      <ns0:c r="G785" s="7" t="n"/>
      <ns0:c r="H785" s="7" t="n"/>
      <ns0:c r="I785" s="8" t="str">
        <ns0:f>IF(OR(B785="",J785&lt;&gt;"販売済み",D785="",E785="",G785="",H785=""),"",IF(ISNUMBER(F785),E785-D785-F785-G785-H785,"要確認"))</ns0:f>
        <ns0:v/>
      </ns0:c>
      <ns0:c r="J785" s="6" t="n"/>
      <ns0:c r="K785" s="5" t="n"/>
      <ns0:c r="L785" s="9" t="str">
        <ns0:f>IF(AND(B785&lt;&gt;"",J785="在庫"),COUNTIFS($J$5:J785,"在庫",$B$5:B785,"&lt;&gt;"),"")</ns0:f>
        <ns0:v/>
      </ns0:c>
    </ns0:row>
    <ns0:row r="786">
      <ns0:c r="A786" s="5" t="n"/>
      <ns0:c r="B786" s="6" t="n"/>
      <ns0:c r="C786" s="6" t="n"/>
      <ns0:c r="D786" s="7" t="n"/>
      <ns0:c r="E786" s="7" t="n"/>
      <ns0:c r="F786" s="8" t="str">
        <ns0:f>IF(OR(B786="",J786&lt;&gt;"販売済み",E786="",C786=""),"",IFERROR(IF(OR(COUNTIF('手数料マスタ'!$A$5:$A$104,C786)&lt;&gt;1,COUNTIFS('手数料マスタ'!$A$5:$A$104,C786,'手数料マスタ'!$B$5:$B$104,"&lt;&gt;")&lt;&gt;1,NOT(ISNUMBER(VLOOKUP(C786,'手数料マスタ'!$A$5:$B$104,2,FALSE))),VLOOKUP(C786,'手数料マスタ'!$A$5:$B$104,2,FALSE)&lt;0,VLOOKUP(C786,'手数料マスタ'!$A$5:$B$104,2,FALSE)&gt;1),"要確認",ROUND(E786*VLOOKUP(C786,'手数料マスタ'!$A$5:$B$104,2,FALSE),0)),"要確認"))</ns0:f>
        <ns0:v/>
      </ns0:c>
      <ns0:c r="G786" s="7" t="n"/>
      <ns0:c r="H786" s="7" t="n"/>
      <ns0:c r="I786" s="8" t="str">
        <ns0:f>IF(OR(B786="",J786&lt;&gt;"販売済み",D786="",E786="",G786="",H786=""),"",IF(ISNUMBER(F786),E786-D786-F786-G786-H786,"要確認"))</ns0:f>
        <ns0:v/>
      </ns0:c>
      <ns0:c r="J786" s="6" t="n"/>
      <ns0:c r="K786" s="5" t="n"/>
      <ns0:c r="L786" s="9" t="str">
        <ns0:f>IF(AND(B786&lt;&gt;"",J786="在庫"),COUNTIFS($J$5:J786,"在庫",$B$5:B786,"&lt;&gt;"),"")</ns0:f>
        <ns0:v/>
      </ns0:c>
    </ns0:row>
    <ns0:row r="787">
      <ns0:c r="A787" s="5" t="n"/>
      <ns0:c r="B787" s="6" t="n"/>
      <ns0:c r="C787" s="6" t="n"/>
      <ns0:c r="D787" s="7" t="n"/>
      <ns0:c r="E787" s="7" t="n"/>
      <ns0:c r="F787" s="8" t="str">
        <ns0:f>IF(OR(B787="",J787&lt;&gt;"販売済み",E787="",C787=""),"",IFERROR(IF(OR(COUNTIF('手数料マスタ'!$A$5:$A$104,C787)&lt;&gt;1,COUNTIFS('手数料マスタ'!$A$5:$A$104,C787,'手数料マスタ'!$B$5:$B$104,"&lt;&gt;")&lt;&gt;1,NOT(ISNUMBER(VLOOKUP(C787,'手数料マスタ'!$A$5:$B$104,2,FALSE))),VLOOKUP(C787,'手数料マスタ'!$A$5:$B$104,2,FALSE)&lt;0,VLOOKUP(C787,'手数料マスタ'!$A$5:$B$104,2,FALSE)&gt;1),"要確認",ROUND(E787*VLOOKUP(C787,'手数料マスタ'!$A$5:$B$104,2,FALSE),0)),"要確認"))</ns0:f>
        <ns0:v/>
      </ns0:c>
      <ns0:c r="G787" s="7" t="n"/>
      <ns0:c r="H787" s="7" t="n"/>
      <ns0:c r="I787" s="8" t="str">
        <ns0:f>IF(OR(B787="",J787&lt;&gt;"販売済み",D787="",E787="",G787="",H787=""),"",IF(ISNUMBER(F787),E787-D787-F787-G787-H787,"要確認"))</ns0:f>
        <ns0:v/>
      </ns0:c>
      <ns0:c r="J787" s="6" t="n"/>
      <ns0:c r="K787" s="5" t="n"/>
      <ns0:c r="L787" s="9" t="str">
        <ns0:f>IF(AND(B787&lt;&gt;"",J787="在庫"),COUNTIFS($J$5:J787,"在庫",$B$5:B787,"&lt;&gt;"),"")</ns0:f>
        <ns0:v/>
      </ns0:c>
    </ns0:row>
    <ns0:row r="788">
      <ns0:c r="A788" s="5" t="n"/>
      <ns0:c r="B788" s="6" t="n"/>
      <ns0:c r="C788" s="6" t="n"/>
      <ns0:c r="D788" s="7" t="n"/>
      <ns0:c r="E788" s="7" t="n"/>
      <ns0:c r="F788" s="8" t="str">
        <ns0:f>IF(OR(B788="",J788&lt;&gt;"販売済み",E788="",C788=""),"",IFERROR(IF(OR(COUNTIF('手数料マスタ'!$A$5:$A$104,C788)&lt;&gt;1,COUNTIFS('手数料マスタ'!$A$5:$A$104,C788,'手数料マスタ'!$B$5:$B$104,"&lt;&gt;")&lt;&gt;1,NOT(ISNUMBER(VLOOKUP(C788,'手数料マスタ'!$A$5:$B$104,2,FALSE))),VLOOKUP(C788,'手数料マスタ'!$A$5:$B$104,2,FALSE)&lt;0,VLOOKUP(C788,'手数料マスタ'!$A$5:$B$104,2,FALSE)&gt;1),"要確認",ROUND(E788*VLOOKUP(C788,'手数料マスタ'!$A$5:$B$104,2,FALSE),0)),"要確認"))</ns0:f>
        <ns0:v/>
      </ns0:c>
      <ns0:c r="G788" s="7" t="n"/>
      <ns0:c r="H788" s="7" t="n"/>
      <ns0:c r="I788" s="8" t="str">
        <ns0:f>IF(OR(B788="",J788&lt;&gt;"販売済み",D788="",E788="",G788="",H788=""),"",IF(ISNUMBER(F788),E788-D788-F788-G788-H788,"要確認"))</ns0:f>
        <ns0:v/>
      </ns0:c>
      <ns0:c r="J788" s="6" t="n"/>
      <ns0:c r="K788" s="5" t="n"/>
      <ns0:c r="L788" s="9" t="str">
        <ns0:f>IF(AND(B788&lt;&gt;"",J788="在庫"),COUNTIFS($J$5:J788,"在庫",$B$5:B788,"&lt;&gt;"),"")</ns0:f>
        <ns0:v/>
      </ns0:c>
    </ns0:row>
    <ns0:row r="789">
      <ns0:c r="A789" s="5" t="n"/>
      <ns0:c r="B789" s="6" t="n"/>
      <ns0:c r="C789" s="6" t="n"/>
      <ns0:c r="D789" s="7" t="n"/>
      <ns0:c r="E789" s="7" t="n"/>
      <ns0:c r="F789" s="8" t="str">
        <ns0:f>IF(OR(B789="",J789&lt;&gt;"販売済み",E789="",C789=""),"",IFERROR(IF(OR(COUNTIF('手数料マスタ'!$A$5:$A$104,C789)&lt;&gt;1,COUNTIFS('手数料マスタ'!$A$5:$A$104,C789,'手数料マスタ'!$B$5:$B$104,"&lt;&gt;")&lt;&gt;1,NOT(ISNUMBER(VLOOKUP(C789,'手数料マスタ'!$A$5:$B$104,2,FALSE))),VLOOKUP(C789,'手数料マスタ'!$A$5:$B$104,2,FALSE)&lt;0,VLOOKUP(C789,'手数料マスタ'!$A$5:$B$104,2,FALSE)&gt;1),"要確認",ROUND(E789*VLOOKUP(C789,'手数料マスタ'!$A$5:$B$104,2,FALSE),0)),"要確認"))</ns0:f>
        <ns0:v/>
      </ns0:c>
      <ns0:c r="G789" s="7" t="n"/>
      <ns0:c r="H789" s="7" t="n"/>
      <ns0:c r="I789" s="8" t="str">
        <ns0:f>IF(OR(B789="",J789&lt;&gt;"販売済み",D789="",E789="",G789="",H789=""),"",IF(ISNUMBER(F789),E789-D789-F789-G789-H789,"要確認"))</ns0:f>
        <ns0:v/>
      </ns0:c>
      <ns0:c r="J789" s="6" t="n"/>
      <ns0:c r="K789" s="5" t="n"/>
      <ns0:c r="L789" s="9" t="str">
        <ns0:f>IF(AND(B789&lt;&gt;"",J789="在庫"),COUNTIFS($J$5:J789,"在庫",$B$5:B789,"&lt;&gt;"),"")</ns0:f>
        <ns0:v/>
      </ns0:c>
    </ns0:row>
    <ns0:row r="790">
      <ns0:c r="A790" s="5" t="n"/>
      <ns0:c r="B790" s="6" t="n"/>
      <ns0:c r="C790" s="6" t="n"/>
      <ns0:c r="D790" s="7" t="n"/>
      <ns0:c r="E790" s="7" t="n"/>
      <ns0:c r="F790" s="8" t="str">
        <ns0:f>IF(OR(B790="",J790&lt;&gt;"販売済み",E790="",C790=""),"",IFERROR(IF(OR(COUNTIF('手数料マスタ'!$A$5:$A$104,C790)&lt;&gt;1,COUNTIFS('手数料マスタ'!$A$5:$A$104,C790,'手数料マスタ'!$B$5:$B$104,"&lt;&gt;")&lt;&gt;1,NOT(ISNUMBER(VLOOKUP(C790,'手数料マスタ'!$A$5:$B$104,2,FALSE))),VLOOKUP(C790,'手数料マスタ'!$A$5:$B$104,2,FALSE)&lt;0,VLOOKUP(C790,'手数料マスタ'!$A$5:$B$104,2,FALSE)&gt;1),"要確認",ROUND(E790*VLOOKUP(C790,'手数料マスタ'!$A$5:$B$104,2,FALSE),0)),"要確認"))</ns0:f>
        <ns0:v/>
      </ns0:c>
      <ns0:c r="G790" s="7" t="n"/>
      <ns0:c r="H790" s="7" t="n"/>
      <ns0:c r="I790" s="8" t="str">
        <ns0:f>IF(OR(B790="",J790&lt;&gt;"販売済み",D790="",E790="",G790="",H790=""),"",IF(ISNUMBER(F790),E790-D790-F790-G790-H790,"要確認"))</ns0:f>
        <ns0:v/>
      </ns0:c>
      <ns0:c r="J790" s="6" t="n"/>
      <ns0:c r="K790" s="5" t="n"/>
      <ns0:c r="L790" s="9" t="str">
        <ns0:f>IF(AND(B790&lt;&gt;"",J790="在庫"),COUNTIFS($J$5:J790,"在庫",$B$5:B790,"&lt;&gt;"),"")</ns0:f>
        <ns0:v/>
      </ns0:c>
    </ns0:row>
    <ns0:row r="791">
      <ns0:c r="A791" s="5" t="n"/>
      <ns0:c r="B791" s="6" t="n"/>
      <ns0:c r="C791" s="6" t="n"/>
      <ns0:c r="D791" s="7" t="n"/>
      <ns0:c r="E791" s="7" t="n"/>
      <ns0:c r="F791" s="8" t="str">
        <ns0:f>IF(OR(B791="",J791&lt;&gt;"販売済み",E791="",C791=""),"",IFERROR(IF(OR(COUNTIF('手数料マスタ'!$A$5:$A$104,C791)&lt;&gt;1,COUNTIFS('手数料マスタ'!$A$5:$A$104,C791,'手数料マスタ'!$B$5:$B$104,"&lt;&gt;")&lt;&gt;1,NOT(ISNUMBER(VLOOKUP(C791,'手数料マスタ'!$A$5:$B$104,2,FALSE))),VLOOKUP(C791,'手数料マスタ'!$A$5:$B$104,2,FALSE)&lt;0,VLOOKUP(C791,'手数料マスタ'!$A$5:$B$104,2,FALSE)&gt;1),"要確認",ROUND(E791*VLOOKUP(C791,'手数料マスタ'!$A$5:$B$104,2,FALSE),0)),"要確認"))</ns0:f>
        <ns0:v/>
      </ns0:c>
      <ns0:c r="G791" s="7" t="n"/>
      <ns0:c r="H791" s="7" t="n"/>
      <ns0:c r="I791" s="8" t="str">
        <ns0:f>IF(OR(B791="",J791&lt;&gt;"販売済み",D791="",E791="",G791="",H791=""),"",IF(ISNUMBER(F791),E791-D791-F791-G791-H791,"要確認"))</ns0:f>
        <ns0:v/>
      </ns0:c>
      <ns0:c r="J791" s="6" t="n"/>
      <ns0:c r="K791" s="5" t="n"/>
      <ns0:c r="L791" s="9" t="str">
        <ns0:f>IF(AND(B791&lt;&gt;"",J791="在庫"),COUNTIFS($J$5:J791,"在庫",$B$5:B791,"&lt;&gt;"),"")</ns0:f>
        <ns0:v/>
      </ns0:c>
    </ns0:row>
    <ns0:row r="792">
      <ns0:c r="A792" s="5" t="n"/>
      <ns0:c r="B792" s="6" t="n"/>
      <ns0:c r="C792" s="6" t="n"/>
      <ns0:c r="D792" s="7" t="n"/>
      <ns0:c r="E792" s="7" t="n"/>
      <ns0:c r="F792" s="8" t="str">
        <ns0:f>IF(OR(B792="",J792&lt;&gt;"販売済み",E792="",C792=""),"",IFERROR(IF(OR(COUNTIF('手数料マスタ'!$A$5:$A$104,C792)&lt;&gt;1,COUNTIFS('手数料マスタ'!$A$5:$A$104,C792,'手数料マスタ'!$B$5:$B$104,"&lt;&gt;")&lt;&gt;1,NOT(ISNUMBER(VLOOKUP(C792,'手数料マスタ'!$A$5:$B$104,2,FALSE))),VLOOKUP(C792,'手数料マスタ'!$A$5:$B$104,2,FALSE)&lt;0,VLOOKUP(C792,'手数料マスタ'!$A$5:$B$104,2,FALSE)&gt;1),"要確認",ROUND(E792*VLOOKUP(C792,'手数料マスタ'!$A$5:$B$104,2,FALSE),0)),"要確認"))</ns0:f>
        <ns0:v/>
      </ns0:c>
      <ns0:c r="G792" s="7" t="n"/>
      <ns0:c r="H792" s="7" t="n"/>
      <ns0:c r="I792" s="8" t="str">
        <ns0:f>IF(OR(B792="",J792&lt;&gt;"販売済み",D792="",E792="",G792="",H792=""),"",IF(ISNUMBER(F792),E792-D792-F792-G792-H792,"要確認"))</ns0:f>
        <ns0:v/>
      </ns0:c>
      <ns0:c r="J792" s="6" t="n"/>
      <ns0:c r="K792" s="5" t="n"/>
      <ns0:c r="L792" s="9" t="str">
        <ns0:f>IF(AND(B792&lt;&gt;"",J792="在庫"),COUNTIFS($J$5:J792,"在庫",$B$5:B792,"&lt;&gt;"),"")</ns0:f>
        <ns0:v/>
      </ns0:c>
    </ns0:row>
    <ns0:row r="793">
      <ns0:c r="A793" s="5" t="n"/>
      <ns0:c r="B793" s="6" t="n"/>
      <ns0:c r="C793" s="6" t="n"/>
      <ns0:c r="D793" s="7" t="n"/>
      <ns0:c r="E793" s="7" t="n"/>
      <ns0:c r="F793" s="8" t="str">
        <ns0:f>IF(OR(B793="",J793&lt;&gt;"販売済み",E793="",C793=""),"",IFERROR(IF(OR(COUNTIF('手数料マスタ'!$A$5:$A$104,C793)&lt;&gt;1,COUNTIFS('手数料マスタ'!$A$5:$A$104,C793,'手数料マスタ'!$B$5:$B$104,"&lt;&gt;")&lt;&gt;1,NOT(ISNUMBER(VLOOKUP(C793,'手数料マスタ'!$A$5:$B$104,2,FALSE))),VLOOKUP(C793,'手数料マスタ'!$A$5:$B$104,2,FALSE)&lt;0,VLOOKUP(C793,'手数料マスタ'!$A$5:$B$104,2,FALSE)&gt;1),"要確認",ROUND(E793*VLOOKUP(C793,'手数料マスタ'!$A$5:$B$104,2,FALSE),0)),"要確認"))</ns0:f>
        <ns0:v/>
      </ns0:c>
      <ns0:c r="G793" s="7" t="n"/>
      <ns0:c r="H793" s="7" t="n"/>
      <ns0:c r="I793" s="8" t="str">
        <ns0:f>IF(OR(B793="",J793&lt;&gt;"販売済み",D793="",E793="",G793="",H793=""),"",IF(ISNUMBER(F793),E793-D793-F793-G793-H793,"要確認"))</ns0:f>
        <ns0:v/>
      </ns0:c>
      <ns0:c r="J793" s="6" t="n"/>
      <ns0:c r="K793" s="5" t="n"/>
      <ns0:c r="L793" s="9" t="str">
        <ns0:f>IF(AND(B793&lt;&gt;"",J793="在庫"),COUNTIFS($J$5:J793,"在庫",$B$5:B793,"&lt;&gt;"),"")</ns0:f>
        <ns0:v/>
      </ns0:c>
    </ns0:row>
    <ns0:row r="794">
      <ns0:c r="A794" s="5" t="n"/>
      <ns0:c r="B794" s="6" t="n"/>
      <ns0:c r="C794" s="6" t="n"/>
      <ns0:c r="D794" s="7" t="n"/>
      <ns0:c r="E794" s="7" t="n"/>
      <ns0:c r="F794" s="8" t="str">
        <ns0:f>IF(OR(B794="",J794&lt;&gt;"販売済み",E794="",C794=""),"",IFERROR(IF(OR(COUNTIF('手数料マスタ'!$A$5:$A$104,C794)&lt;&gt;1,COUNTIFS('手数料マスタ'!$A$5:$A$104,C794,'手数料マスタ'!$B$5:$B$104,"&lt;&gt;")&lt;&gt;1,NOT(ISNUMBER(VLOOKUP(C794,'手数料マスタ'!$A$5:$B$104,2,FALSE))),VLOOKUP(C794,'手数料マスタ'!$A$5:$B$104,2,FALSE)&lt;0,VLOOKUP(C794,'手数料マスタ'!$A$5:$B$104,2,FALSE)&gt;1),"要確認",ROUND(E794*VLOOKUP(C794,'手数料マスタ'!$A$5:$B$104,2,FALSE),0)),"要確認"))</ns0:f>
        <ns0:v/>
      </ns0:c>
      <ns0:c r="G794" s="7" t="n"/>
      <ns0:c r="H794" s="7" t="n"/>
      <ns0:c r="I794" s="8" t="str">
        <ns0:f>IF(OR(B794="",J794&lt;&gt;"販売済み",D794="",E794="",G794="",H794=""),"",IF(ISNUMBER(F794),E794-D794-F794-G794-H794,"要確認"))</ns0:f>
        <ns0:v/>
      </ns0:c>
      <ns0:c r="J794" s="6" t="n"/>
      <ns0:c r="K794" s="5" t="n"/>
      <ns0:c r="L794" s="9" t="str">
        <ns0:f>IF(AND(B794&lt;&gt;"",J794="在庫"),COUNTIFS($J$5:J794,"在庫",$B$5:B794,"&lt;&gt;"),"")</ns0:f>
        <ns0:v/>
      </ns0:c>
    </ns0:row>
    <ns0:row r="795">
      <ns0:c r="A795" s="5" t="n"/>
      <ns0:c r="B795" s="6" t="n"/>
      <ns0:c r="C795" s="6" t="n"/>
      <ns0:c r="D795" s="7" t="n"/>
      <ns0:c r="E795" s="7" t="n"/>
      <ns0:c r="F795" s="8" t="str">
        <ns0:f>IF(OR(B795="",J795&lt;&gt;"販売済み",E795="",C795=""),"",IFERROR(IF(OR(COUNTIF('手数料マスタ'!$A$5:$A$104,C795)&lt;&gt;1,COUNTIFS('手数料マスタ'!$A$5:$A$104,C795,'手数料マスタ'!$B$5:$B$104,"&lt;&gt;")&lt;&gt;1,NOT(ISNUMBER(VLOOKUP(C795,'手数料マスタ'!$A$5:$B$104,2,FALSE))),VLOOKUP(C795,'手数料マスタ'!$A$5:$B$104,2,FALSE)&lt;0,VLOOKUP(C795,'手数料マスタ'!$A$5:$B$104,2,FALSE)&gt;1),"要確認",ROUND(E795*VLOOKUP(C795,'手数料マスタ'!$A$5:$B$104,2,FALSE),0)),"要確認"))</ns0:f>
        <ns0:v/>
      </ns0:c>
      <ns0:c r="G795" s="7" t="n"/>
      <ns0:c r="H795" s="7" t="n"/>
      <ns0:c r="I795" s="8" t="str">
        <ns0:f>IF(OR(B795="",J795&lt;&gt;"販売済み",D795="",E795="",G795="",H795=""),"",IF(ISNUMBER(F795),E795-D795-F795-G795-H795,"要確認"))</ns0:f>
        <ns0:v/>
      </ns0:c>
      <ns0:c r="J795" s="6" t="n"/>
      <ns0:c r="K795" s="5" t="n"/>
      <ns0:c r="L795" s="9" t="str">
        <ns0:f>IF(AND(B795&lt;&gt;"",J795="在庫"),COUNTIFS($J$5:J795,"在庫",$B$5:B795,"&lt;&gt;"),"")</ns0:f>
        <ns0:v/>
      </ns0:c>
    </ns0:row>
    <ns0:row r="796">
      <ns0:c r="A796" s="5" t="n"/>
      <ns0:c r="B796" s="6" t="n"/>
      <ns0:c r="C796" s="6" t="n"/>
      <ns0:c r="D796" s="7" t="n"/>
      <ns0:c r="E796" s="7" t="n"/>
      <ns0:c r="F796" s="8" t="str">
        <ns0:f>IF(OR(B796="",J796&lt;&gt;"販売済み",E796="",C796=""),"",IFERROR(IF(OR(COUNTIF('手数料マスタ'!$A$5:$A$104,C796)&lt;&gt;1,COUNTIFS('手数料マスタ'!$A$5:$A$104,C796,'手数料マスタ'!$B$5:$B$104,"&lt;&gt;")&lt;&gt;1,NOT(ISNUMBER(VLOOKUP(C796,'手数料マスタ'!$A$5:$B$104,2,FALSE))),VLOOKUP(C796,'手数料マスタ'!$A$5:$B$104,2,FALSE)&lt;0,VLOOKUP(C796,'手数料マスタ'!$A$5:$B$104,2,FALSE)&gt;1),"要確認",ROUND(E796*VLOOKUP(C796,'手数料マスタ'!$A$5:$B$104,2,FALSE),0)),"要確認"))</ns0:f>
        <ns0:v/>
      </ns0:c>
      <ns0:c r="G796" s="7" t="n"/>
      <ns0:c r="H796" s="7" t="n"/>
      <ns0:c r="I796" s="8" t="str">
        <ns0:f>IF(OR(B796="",J796&lt;&gt;"販売済み",D796="",E796="",G796="",H796=""),"",IF(ISNUMBER(F796),E796-D796-F796-G796-H796,"要確認"))</ns0:f>
        <ns0:v/>
      </ns0:c>
      <ns0:c r="J796" s="6" t="n"/>
      <ns0:c r="K796" s="5" t="n"/>
      <ns0:c r="L796" s="9" t="str">
        <ns0:f>IF(AND(B796&lt;&gt;"",J796="在庫"),COUNTIFS($J$5:J796,"在庫",$B$5:B796,"&lt;&gt;"),"")</ns0:f>
        <ns0:v/>
      </ns0:c>
    </ns0:row>
    <ns0:row r="797">
      <ns0:c r="A797" s="5" t="n"/>
      <ns0:c r="B797" s="6" t="n"/>
      <ns0:c r="C797" s="6" t="n"/>
      <ns0:c r="D797" s="7" t="n"/>
      <ns0:c r="E797" s="7" t="n"/>
      <ns0:c r="F797" s="8" t="str">
        <ns0:f>IF(OR(B797="",J797&lt;&gt;"販売済み",E797="",C797=""),"",IFERROR(IF(OR(COUNTIF('手数料マスタ'!$A$5:$A$104,C797)&lt;&gt;1,COUNTIFS('手数料マスタ'!$A$5:$A$104,C797,'手数料マスタ'!$B$5:$B$104,"&lt;&gt;")&lt;&gt;1,NOT(ISNUMBER(VLOOKUP(C797,'手数料マスタ'!$A$5:$B$104,2,FALSE))),VLOOKUP(C797,'手数料マスタ'!$A$5:$B$104,2,FALSE)&lt;0,VLOOKUP(C797,'手数料マスタ'!$A$5:$B$104,2,FALSE)&gt;1),"要確認",ROUND(E797*VLOOKUP(C797,'手数料マスタ'!$A$5:$B$104,2,FALSE),0)),"要確認"))</ns0:f>
        <ns0:v/>
      </ns0:c>
      <ns0:c r="G797" s="7" t="n"/>
      <ns0:c r="H797" s="7" t="n"/>
      <ns0:c r="I797" s="8" t="str">
        <ns0:f>IF(OR(B797="",J797&lt;&gt;"販売済み",D797="",E797="",G797="",H797=""),"",IF(ISNUMBER(F797),E797-D797-F797-G797-H797,"要確認"))</ns0:f>
        <ns0:v/>
      </ns0:c>
      <ns0:c r="J797" s="6" t="n"/>
      <ns0:c r="K797" s="5" t="n"/>
      <ns0:c r="L797" s="9" t="str">
        <ns0:f>IF(AND(B797&lt;&gt;"",J797="在庫"),COUNTIFS($J$5:J797,"在庫",$B$5:B797,"&lt;&gt;"),"")</ns0:f>
        <ns0:v/>
      </ns0:c>
    </ns0:row>
    <ns0:row r="798">
      <ns0:c r="A798" s="5" t="n"/>
      <ns0:c r="B798" s="6" t="n"/>
      <ns0:c r="C798" s="6" t="n"/>
      <ns0:c r="D798" s="7" t="n"/>
      <ns0:c r="E798" s="7" t="n"/>
      <ns0:c r="F798" s="8" t="str">
        <ns0:f>IF(OR(B798="",J798&lt;&gt;"販売済み",E798="",C798=""),"",IFERROR(IF(OR(COUNTIF('手数料マスタ'!$A$5:$A$104,C798)&lt;&gt;1,COUNTIFS('手数料マスタ'!$A$5:$A$104,C798,'手数料マスタ'!$B$5:$B$104,"&lt;&gt;")&lt;&gt;1,NOT(ISNUMBER(VLOOKUP(C798,'手数料マスタ'!$A$5:$B$104,2,FALSE))),VLOOKUP(C798,'手数料マスタ'!$A$5:$B$104,2,FALSE)&lt;0,VLOOKUP(C798,'手数料マスタ'!$A$5:$B$104,2,FALSE)&gt;1),"要確認",ROUND(E798*VLOOKUP(C798,'手数料マスタ'!$A$5:$B$104,2,FALSE),0)),"要確認"))</ns0:f>
        <ns0:v/>
      </ns0:c>
      <ns0:c r="G798" s="7" t="n"/>
      <ns0:c r="H798" s="7" t="n"/>
      <ns0:c r="I798" s="8" t="str">
        <ns0:f>IF(OR(B798="",J798&lt;&gt;"販売済み",D798="",E798="",G798="",H798=""),"",IF(ISNUMBER(F798),E798-D798-F798-G798-H798,"要確認"))</ns0:f>
        <ns0:v/>
      </ns0:c>
      <ns0:c r="J798" s="6" t="n"/>
      <ns0:c r="K798" s="5" t="n"/>
      <ns0:c r="L798" s="9" t="str">
        <ns0:f>IF(AND(B798&lt;&gt;"",J798="在庫"),COUNTIFS($J$5:J798,"在庫",$B$5:B798,"&lt;&gt;"),"")</ns0:f>
        <ns0:v/>
      </ns0:c>
    </ns0:row>
    <ns0:row r="799">
      <ns0:c r="A799" s="5" t="n"/>
      <ns0:c r="B799" s="6" t="n"/>
      <ns0:c r="C799" s="6" t="n"/>
      <ns0:c r="D799" s="7" t="n"/>
      <ns0:c r="E799" s="7" t="n"/>
      <ns0:c r="F799" s="8" t="str">
        <ns0:f>IF(OR(B799="",J799&lt;&gt;"販売済み",E799="",C799=""),"",IFERROR(IF(OR(COUNTIF('手数料マスタ'!$A$5:$A$104,C799)&lt;&gt;1,COUNTIFS('手数料マスタ'!$A$5:$A$104,C799,'手数料マスタ'!$B$5:$B$104,"&lt;&gt;")&lt;&gt;1,NOT(ISNUMBER(VLOOKUP(C799,'手数料マスタ'!$A$5:$B$104,2,FALSE))),VLOOKUP(C799,'手数料マスタ'!$A$5:$B$104,2,FALSE)&lt;0,VLOOKUP(C799,'手数料マスタ'!$A$5:$B$104,2,FALSE)&gt;1),"要確認",ROUND(E799*VLOOKUP(C799,'手数料マスタ'!$A$5:$B$104,2,FALSE),0)),"要確認"))</ns0:f>
        <ns0:v/>
      </ns0:c>
      <ns0:c r="G799" s="7" t="n"/>
      <ns0:c r="H799" s="7" t="n"/>
      <ns0:c r="I799" s="8" t="str">
        <ns0:f>IF(OR(B799="",J799&lt;&gt;"販売済み",D799="",E799="",G799="",H799=""),"",IF(ISNUMBER(F799),E799-D799-F799-G799-H799,"要確認"))</ns0:f>
        <ns0:v/>
      </ns0:c>
      <ns0:c r="J799" s="6" t="n"/>
      <ns0:c r="K799" s="5" t="n"/>
      <ns0:c r="L799" s="9" t="str">
        <ns0:f>IF(AND(B799&lt;&gt;"",J799="在庫"),COUNTIFS($J$5:J799,"在庫",$B$5:B799,"&lt;&gt;"),"")</ns0:f>
        <ns0:v/>
      </ns0:c>
    </ns0:row>
    <ns0:row r="800">
      <ns0:c r="A800" s="5" t="n"/>
      <ns0:c r="B800" s="6" t="n"/>
      <ns0:c r="C800" s="6" t="n"/>
      <ns0:c r="D800" s="7" t="n"/>
      <ns0:c r="E800" s="7" t="n"/>
      <ns0:c r="F800" s="8" t="str">
        <ns0:f>IF(OR(B800="",J800&lt;&gt;"販売済み",E800="",C800=""),"",IFERROR(IF(OR(COUNTIF('手数料マスタ'!$A$5:$A$104,C800)&lt;&gt;1,COUNTIFS('手数料マスタ'!$A$5:$A$104,C800,'手数料マスタ'!$B$5:$B$104,"&lt;&gt;")&lt;&gt;1,NOT(ISNUMBER(VLOOKUP(C800,'手数料マスタ'!$A$5:$B$104,2,FALSE))),VLOOKUP(C800,'手数料マスタ'!$A$5:$B$104,2,FALSE)&lt;0,VLOOKUP(C800,'手数料マスタ'!$A$5:$B$104,2,FALSE)&gt;1),"要確認",ROUND(E800*VLOOKUP(C800,'手数料マスタ'!$A$5:$B$104,2,FALSE),0)),"要確認"))</ns0:f>
        <ns0:v/>
      </ns0:c>
      <ns0:c r="G800" s="7" t="n"/>
      <ns0:c r="H800" s="7" t="n"/>
      <ns0:c r="I800" s="8" t="str">
        <ns0:f>IF(OR(B800="",J800&lt;&gt;"販売済み",D800="",E800="",G800="",H800=""),"",IF(ISNUMBER(F800),E800-D800-F800-G800-H800,"要確認"))</ns0:f>
        <ns0:v/>
      </ns0:c>
      <ns0:c r="J800" s="6" t="n"/>
      <ns0:c r="K800" s="5" t="n"/>
      <ns0:c r="L800" s="9" t="str">
        <ns0:f>IF(AND(B800&lt;&gt;"",J800="在庫"),COUNTIFS($J$5:J800,"在庫",$B$5:B800,"&lt;&gt;"),"")</ns0:f>
        <ns0:v/>
      </ns0:c>
    </ns0:row>
    <ns0:row r="801">
      <ns0:c r="A801" s="5" t="n"/>
      <ns0:c r="B801" s="6" t="n"/>
      <ns0:c r="C801" s="6" t="n"/>
      <ns0:c r="D801" s="7" t="n"/>
      <ns0:c r="E801" s="7" t="n"/>
      <ns0:c r="F801" s="8" t="str">
        <ns0:f>IF(OR(B801="",J801&lt;&gt;"販売済み",E801="",C801=""),"",IFERROR(IF(OR(COUNTIF('手数料マスタ'!$A$5:$A$104,C801)&lt;&gt;1,COUNTIFS('手数料マスタ'!$A$5:$A$104,C801,'手数料マスタ'!$B$5:$B$104,"&lt;&gt;")&lt;&gt;1,NOT(ISNUMBER(VLOOKUP(C801,'手数料マスタ'!$A$5:$B$104,2,FALSE))),VLOOKUP(C801,'手数料マスタ'!$A$5:$B$104,2,FALSE)&lt;0,VLOOKUP(C801,'手数料マスタ'!$A$5:$B$104,2,FALSE)&gt;1),"要確認",ROUND(E801*VLOOKUP(C801,'手数料マスタ'!$A$5:$B$104,2,FALSE),0)),"要確認"))</ns0:f>
        <ns0:v/>
      </ns0:c>
      <ns0:c r="G801" s="7" t="n"/>
      <ns0:c r="H801" s="7" t="n"/>
      <ns0:c r="I801" s="8" t="str">
        <ns0:f>IF(OR(B801="",J801&lt;&gt;"販売済み",D801="",E801="",G801="",H801=""),"",IF(ISNUMBER(F801),E801-D801-F801-G801-H801,"要確認"))</ns0:f>
        <ns0:v/>
      </ns0:c>
      <ns0:c r="J801" s="6" t="n"/>
      <ns0:c r="K801" s="5" t="n"/>
      <ns0:c r="L801" s="9" t="str">
        <ns0:f>IF(AND(B801&lt;&gt;"",J801="在庫"),COUNTIFS($J$5:J801,"在庫",$B$5:B801,"&lt;&gt;"),"")</ns0:f>
        <ns0:v/>
      </ns0:c>
    </ns0:row>
    <ns0:row r="802">
      <ns0:c r="A802" s="5" t="n"/>
      <ns0:c r="B802" s="6" t="n"/>
      <ns0:c r="C802" s="6" t="n"/>
      <ns0:c r="D802" s="7" t="n"/>
      <ns0:c r="E802" s="7" t="n"/>
      <ns0:c r="F802" s="8" t="str">
        <ns0:f>IF(OR(B802="",J802&lt;&gt;"販売済み",E802="",C802=""),"",IFERROR(IF(OR(COUNTIF('手数料マスタ'!$A$5:$A$104,C802)&lt;&gt;1,COUNTIFS('手数料マスタ'!$A$5:$A$104,C802,'手数料マスタ'!$B$5:$B$104,"&lt;&gt;")&lt;&gt;1,NOT(ISNUMBER(VLOOKUP(C802,'手数料マスタ'!$A$5:$B$104,2,FALSE))),VLOOKUP(C802,'手数料マスタ'!$A$5:$B$104,2,FALSE)&lt;0,VLOOKUP(C802,'手数料マスタ'!$A$5:$B$104,2,FALSE)&gt;1),"要確認",ROUND(E802*VLOOKUP(C802,'手数料マスタ'!$A$5:$B$104,2,FALSE),0)),"要確認"))</ns0:f>
        <ns0:v/>
      </ns0:c>
      <ns0:c r="G802" s="7" t="n"/>
      <ns0:c r="H802" s="7" t="n"/>
      <ns0:c r="I802" s="8" t="str">
        <ns0:f>IF(OR(B802="",J802&lt;&gt;"販売済み",D802="",E802="",G802="",H802=""),"",IF(ISNUMBER(F802),E802-D802-F802-G802-H802,"要確認"))</ns0:f>
        <ns0:v/>
      </ns0:c>
      <ns0:c r="J802" s="6" t="n"/>
      <ns0:c r="K802" s="5" t="n"/>
      <ns0:c r="L802" s="9" t="str">
        <ns0:f>IF(AND(B802&lt;&gt;"",J802="在庫"),COUNTIFS($J$5:J802,"在庫",$B$5:B802,"&lt;&gt;"),"")</ns0:f>
        <ns0:v/>
      </ns0:c>
    </ns0:row>
    <ns0:row r="803">
      <ns0:c r="A803" s="5" t="n"/>
      <ns0:c r="B803" s="6" t="n"/>
      <ns0:c r="C803" s="6" t="n"/>
      <ns0:c r="D803" s="7" t="n"/>
      <ns0:c r="E803" s="7" t="n"/>
      <ns0:c r="F803" s="8" t="str">
        <ns0:f>IF(OR(B803="",J803&lt;&gt;"販売済み",E803="",C803=""),"",IFERROR(IF(OR(COUNTIF('手数料マスタ'!$A$5:$A$104,C803)&lt;&gt;1,COUNTIFS('手数料マスタ'!$A$5:$A$104,C803,'手数料マスタ'!$B$5:$B$104,"&lt;&gt;")&lt;&gt;1,NOT(ISNUMBER(VLOOKUP(C803,'手数料マスタ'!$A$5:$B$104,2,FALSE))),VLOOKUP(C803,'手数料マスタ'!$A$5:$B$104,2,FALSE)&lt;0,VLOOKUP(C803,'手数料マスタ'!$A$5:$B$104,2,FALSE)&gt;1),"要確認",ROUND(E803*VLOOKUP(C803,'手数料マスタ'!$A$5:$B$104,2,FALSE),0)),"要確認"))</ns0:f>
        <ns0:v/>
      </ns0:c>
      <ns0:c r="G803" s="7" t="n"/>
      <ns0:c r="H803" s="7" t="n"/>
      <ns0:c r="I803" s="8" t="str">
        <ns0:f>IF(OR(B803="",J803&lt;&gt;"販売済み",D803="",E803="",G803="",H803=""),"",IF(ISNUMBER(F803),E803-D803-F803-G803-H803,"要確認"))</ns0:f>
        <ns0:v/>
      </ns0:c>
      <ns0:c r="J803" s="6" t="n"/>
      <ns0:c r="K803" s="5" t="n"/>
      <ns0:c r="L803" s="9" t="str">
        <ns0:f>IF(AND(B803&lt;&gt;"",J803="在庫"),COUNTIFS($J$5:J803,"在庫",$B$5:B803,"&lt;&gt;"),"")</ns0:f>
        <ns0:v/>
      </ns0:c>
    </ns0:row>
    <ns0:row r="804">
      <ns0:c r="A804" s="5" t="n"/>
      <ns0:c r="B804" s="6" t="n"/>
      <ns0:c r="C804" s="6" t="n"/>
      <ns0:c r="D804" s="7" t="n"/>
      <ns0:c r="E804" s="7" t="n"/>
      <ns0:c r="F804" s="8" t="str">
        <ns0:f>IF(OR(B804="",J804&lt;&gt;"販売済み",E804="",C804=""),"",IFERROR(IF(OR(COUNTIF('手数料マスタ'!$A$5:$A$104,C804)&lt;&gt;1,COUNTIFS('手数料マスタ'!$A$5:$A$104,C804,'手数料マスタ'!$B$5:$B$104,"&lt;&gt;")&lt;&gt;1,NOT(ISNUMBER(VLOOKUP(C804,'手数料マスタ'!$A$5:$B$104,2,FALSE))),VLOOKUP(C804,'手数料マスタ'!$A$5:$B$104,2,FALSE)&lt;0,VLOOKUP(C804,'手数料マスタ'!$A$5:$B$104,2,FALSE)&gt;1),"要確認",ROUND(E804*VLOOKUP(C804,'手数料マスタ'!$A$5:$B$104,2,FALSE),0)),"要確認"))</ns0:f>
        <ns0:v/>
      </ns0:c>
      <ns0:c r="G804" s="7" t="n"/>
      <ns0:c r="H804" s="7" t="n"/>
      <ns0:c r="I804" s="8" t="str">
        <ns0:f>IF(OR(B804="",J804&lt;&gt;"販売済み",D804="",E804="",G804="",H804=""),"",IF(ISNUMBER(F804),E804-D804-F804-G804-H804,"要確認"))</ns0:f>
        <ns0:v/>
      </ns0:c>
      <ns0:c r="J804" s="6" t="n"/>
      <ns0:c r="K804" s="5" t="n"/>
      <ns0:c r="L804" s="9" t="str">
        <ns0:f>IF(AND(B804&lt;&gt;"",J804="在庫"),COUNTIFS($J$5:J804,"在庫",$B$5:B804,"&lt;&gt;"),"")</ns0:f>
        <ns0:v/>
      </ns0:c>
    </ns0:row>
    <ns0:row r="805">
      <ns0:c r="A805" s="5" t="n"/>
      <ns0:c r="B805" s="6" t="n"/>
      <ns0:c r="C805" s="6" t="n"/>
      <ns0:c r="D805" s="7" t="n"/>
      <ns0:c r="E805" s="7" t="n"/>
      <ns0:c r="F805" s="8" t="str">
        <ns0:f>IF(OR(B805="",J805&lt;&gt;"販売済み",E805="",C805=""),"",IFERROR(IF(OR(COUNTIF('手数料マスタ'!$A$5:$A$104,C805)&lt;&gt;1,COUNTIFS('手数料マスタ'!$A$5:$A$104,C805,'手数料マスタ'!$B$5:$B$104,"&lt;&gt;")&lt;&gt;1,NOT(ISNUMBER(VLOOKUP(C805,'手数料マスタ'!$A$5:$B$104,2,FALSE))),VLOOKUP(C805,'手数料マスタ'!$A$5:$B$104,2,FALSE)&lt;0,VLOOKUP(C805,'手数料マスタ'!$A$5:$B$104,2,FALSE)&gt;1),"要確認",ROUND(E805*VLOOKUP(C805,'手数料マスタ'!$A$5:$B$104,2,FALSE),0)),"要確認"))</ns0:f>
        <ns0:v/>
      </ns0:c>
      <ns0:c r="G805" s="7" t="n"/>
      <ns0:c r="H805" s="7" t="n"/>
      <ns0:c r="I805" s="8" t="str">
        <ns0:f>IF(OR(B805="",J805&lt;&gt;"販売済み",D805="",E805="",G805="",H805=""),"",IF(ISNUMBER(F805),E805-D805-F805-G805-H805,"要確認"))</ns0:f>
        <ns0:v/>
      </ns0:c>
      <ns0:c r="J805" s="6" t="n"/>
      <ns0:c r="K805" s="5" t="n"/>
      <ns0:c r="L805" s="9" t="str">
        <ns0:f>IF(AND(B805&lt;&gt;"",J805="在庫"),COUNTIFS($J$5:J805,"在庫",$B$5:B805,"&lt;&gt;"),"")</ns0:f>
        <ns0:v/>
      </ns0:c>
    </ns0:row>
    <ns0:row r="806">
      <ns0:c r="A806" s="5" t="n"/>
      <ns0:c r="B806" s="6" t="n"/>
      <ns0:c r="C806" s="6" t="n"/>
      <ns0:c r="D806" s="7" t="n"/>
      <ns0:c r="E806" s="7" t="n"/>
      <ns0:c r="F806" s="8" t="str">
        <ns0:f>IF(OR(B806="",J806&lt;&gt;"販売済み",E806="",C806=""),"",IFERROR(IF(OR(COUNTIF('手数料マスタ'!$A$5:$A$104,C806)&lt;&gt;1,COUNTIFS('手数料マスタ'!$A$5:$A$104,C806,'手数料マスタ'!$B$5:$B$104,"&lt;&gt;")&lt;&gt;1,NOT(ISNUMBER(VLOOKUP(C806,'手数料マスタ'!$A$5:$B$104,2,FALSE))),VLOOKUP(C806,'手数料マスタ'!$A$5:$B$104,2,FALSE)&lt;0,VLOOKUP(C806,'手数料マスタ'!$A$5:$B$104,2,FALSE)&gt;1),"要確認",ROUND(E806*VLOOKUP(C806,'手数料マスタ'!$A$5:$B$104,2,FALSE),0)),"要確認"))</ns0:f>
        <ns0:v/>
      </ns0:c>
      <ns0:c r="G806" s="7" t="n"/>
      <ns0:c r="H806" s="7" t="n"/>
      <ns0:c r="I806" s="8" t="str">
        <ns0:f>IF(OR(B806="",J806&lt;&gt;"販売済み",D806="",E806="",G806="",H806=""),"",IF(ISNUMBER(F806),E806-D806-F806-G806-H806,"要確認"))</ns0:f>
        <ns0:v/>
      </ns0:c>
      <ns0:c r="J806" s="6" t="n"/>
      <ns0:c r="K806" s="5" t="n"/>
      <ns0:c r="L806" s="9" t="str">
        <ns0:f>IF(AND(B806&lt;&gt;"",J806="在庫"),COUNTIFS($J$5:J806,"在庫",$B$5:B806,"&lt;&gt;"),"")</ns0:f>
        <ns0:v/>
      </ns0:c>
    </ns0:row>
    <ns0:row r="807">
      <ns0:c r="A807" s="5" t="n"/>
      <ns0:c r="B807" s="6" t="n"/>
      <ns0:c r="C807" s="6" t="n"/>
      <ns0:c r="D807" s="7" t="n"/>
      <ns0:c r="E807" s="7" t="n"/>
      <ns0:c r="F807" s="8" t="str">
        <ns0:f>IF(OR(B807="",J807&lt;&gt;"販売済み",E807="",C807=""),"",IFERROR(IF(OR(COUNTIF('手数料マスタ'!$A$5:$A$104,C807)&lt;&gt;1,COUNTIFS('手数料マスタ'!$A$5:$A$104,C807,'手数料マスタ'!$B$5:$B$104,"&lt;&gt;")&lt;&gt;1,NOT(ISNUMBER(VLOOKUP(C807,'手数料マスタ'!$A$5:$B$104,2,FALSE))),VLOOKUP(C807,'手数料マスタ'!$A$5:$B$104,2,FALSE)&lt;0,VLOOKUP(C807,'手数料マスタ'!$A$5:$B$104,2,FALSE)&gt;1),"要確認",ROUND(E807*VLOOKUP(C807,'手数料マスタ'!$A$5:$B$104,2,FALSE),0)),"要確認"))</ns0:f>
        <ns0:v/>
      </ns0:c>
      <ns0:c r="G807" s="7" t="n"/>
      <ns0:c r="H807" s="7" t="n"/>
      <ns0:c r="I807" s="8" t="str">
        <ns0:f>IF(OR(B807="",J807&lt;&gt;"販売済み",D807="",E807="",G807="",H807=""),"",IF(ISNUMBER(F807),E807-D807-F807-G807-H807,"要確認"))</ns0:f>
        <ns0:v/>
      </ns0:c>
      <ns0:c r="J807" s="6" t="n"/>
      <ns0:c r="K807" s="5" t="n"/>
      <ns0:c r="L807" s="9" t="str">
        <ns0:f>IF(AND(B807&lt;&gt;"",J807="在庫"),COUNTIFS($J$5:J807,"在庫",$B$5:B807,"&lt;&gt;"),"")</ns0:f>
        <ns0:v/>
      </ns0:c>
    </ns0:row>
    <ns0:row r="808">
      <ns0:c r="A808" s="5" t="n"/>
      <ns0:c r="B808" s="6" t="n"/>
      <ns0:c r="C808" s="6" t="n"/>
      <ns0:c r="D808" s="7" t="n"/>
      <ns0:c r="E808" s="7" t="n"/>
      <ns0:c r="F808" s="8" t="str">
        <ns0:f>IF(OR(B808="",J808&lt;&gt;"販売済み",E808="",C808=""),"",IFERROR(IF(OR(COUNTIF('手数料マスタ'!$A$5:$A$104,C808)&lt;&gt;1,COUNTIFS('手数料マスタ'!$A$5:$A$104,C808,'手数料マスタ'!$B$5:$B$104,"&lt;&gt;")&lt;&gt;1,NOT(ISNUMBER(VLOOKUP(C808,'手数料マスタ'!$A$5:$B$104,2,FALSE))),VLOOKUP(C808,'手数料マスタ'!$A$5:$B$104,2,FALSE)&lt;0,VLOOKUP(C808,'手数料マスタ'!$A$5:$B$104,2,FALSE)&gt;1),"要確認",ROUND(E808*VLOOKUP(C808,'手数料マスタ'!$A$5:$B$104,2,FALSE),0)),"要確認"))</ns0:f>
        <ns0:v/>
      </ns0:c>
      <ns0:c r="G808" s="7" t="n"/>
      <ns0:c r="H808" s="7" t="n"/>
      <ns0:c r="I808" s="8" t="str">
        <ns0:f>IF(OR(B808="",J808&lt;&gt;"販売済み",D808="",E808="",G808="",H808=""),"",IF(ISNUMBER(F808),E808-D808-F808-G808-H808,"要確認"))</ns0:f>
        <ns0:v/>
      </ns0:c>
      <ns0:c r="J808" s="6" t="n"/>
      <ns0:c r="K808" s="5" t="n"/>
      <ns0:c r="L808" s="9" t="str">
        <ns0:f>IF(AND(B808&lt;&gt;"",J808="在庫"),COUNTIFS($J$5:J808,"在庫",$B$5:B808,"&lt;&gt;"),"")</ns0:f>
        <ns0:v/>
      </ns0:c>
    </ns0:row>
    <ns0:row r="809">
      <ns0:c r="A809" s="5" t="n"/>
      <ns0:c r="B809" s="6" t="n"/>
      <ns0:c r="C809" s="6" t="n"/>
      <ns0:c r="D809" s="7" t="n"/>
      <ns0:c r="E809" s="7" t="n"/>
      <ns0:c r="F809" s="8" t="str">
        <ns0:f>IF(OR(B809="",J809&lt;&gt;"販売済み",E809="",C809=""),"",IFERROR(IF(OR(COUNTIF('手数料マスタ'!$A$5:$A$104,C809)&lt;&gt;1,COUNTIFS('手数料マスタ'!$A$5:$A$104,C809,'手数料マスタ'!$B$5:$B$104,"&lt;&gt;")&lt;&gt;1,NOT(ISNUMBER(VLOOKUP(C809,'手数料マスタ'!$A$5:$B$104,2,FALSE))),VLOOKUP(C809,'手数料マスタ'!$A$5:$B$104,2,FALSE)&lt;0,VLOOKUP(C809,'手数料マスタ'!$A$5:$B$104,2,FALSE)&gt;1),"要確認",ROUND(E809*VLOOKUP(C809,'手数料マスタ'!$A$5:$B$104,2,FALSE),0)),"要確認"))</ns0:f>
        <ns0:v/>
      </ns0:c>
      <ns0:c r="G809" s="7" t="n"/>
      <ns0:c r="H809" s="7" t="n"/>
      <ns0:c r="I809" s="8" t="str">
        <ns0:f>IF(OR(B809="",J809&lt;&gt;"販売済み",D809="",E809="",G809="",H809=""),"",IF(ISNUMBER(F809),E809-D809-F809-G809-H809,"要確認"))</ns0:f>
        <ns0:v/>
      </ns0:c>
      <ns0:c r="J809" s="6" t="n"/>
      <ns0:c r="K809" s="5" t="n"/>
      <ns0:c r="L809" s="9" t="str">
        <ns0:f>IF(AND(B809&lt;&gt;"",J809="在庫"),COUNTIFS($J$5:J809,"在庫",$B$5:B809,"&lt;&gt;"),"")</ns0:f>
        <ns0:v/>
      </ns0:c>
    </ns0:row>
    <ns0:row r="810">
      <ns0:c r="A810" s="5" t="n"/>
      <ns0:c r="B810" s="6" t="n"/>
      <ns0:c r="C810" s="6" t="n"/>
      <ns0:c r="D810" s="7" t="n"/>
      <ns0:c r="E810" s="7" t="n"/>
      <ns0:c r="F810" s="8" t="str">
        <ns0:f>IF(OR(B810="",J810&lt;&gt;"販売済み",E810="",C810=""),"",IFERROR(IF(OR(COUNTIF('手数料マスタ'!$A$5:$A$104,C810)&lt;&gt;1,COUNTIFS('手数料マスタ'!$A$5:$A$104,C810,'手数料マスタ'!$B$5:$B$104,"&lt;&gt;")&lt;&gt;1,NOT(ISNUMBER(VLOOKUP(C810,'手数料マスタ'!$A$5:$B$104,2,FALSE))),VLOOKUP(C810,'手数料マスタ'!$A$5:$B$104,2,FALSE)&lt;0,VLOOKUP(C810,'手数料マスタ'!$A$5:$B$104,2,FALSE)&gt;1),"要確認",ROUND(E810*VLOOKUP(C810,'手数料マスタ'!$A$5:$B$104,2,FALSE),0)),"要確認"))</ns0:f>
        <ns0:v/>
      </ns0:c>
      <ns0:c r="G810" s="7" t="n"/>
      <ns0:c r="H810" s="7" t="n"/>
      <ns0:c r="I810" s="8" t="str">
        <ns0:f>IF(OR(B810="",J810&lt;&gt;"販売済み",D810="",E810="",G810="",H810=""),"",IF(ISNUMBER(F810),E810-D810-F810-G810-H810,"要確認"))</ns0:f>
        <ns0:v/>
      </ns0:c>
      <ns0:c r="J810" s="6" t="n"/>
      <ns0:c r="K810" s="5" t="n"/>
      <ns0:c r="L810" s="9" t="str">
        <ns0:f>IF(AND(B810&lt;&gt;"",J810="在庫"),COUNTIFS($J$5:J810,"在庫",$B$5:B810,"&lt;&gt;"),"")</ns0:f>
        <ns0:v/>
      </ns0:c>
    </ns0:row>
    <ns0:row r="811">
      <ns0:c r="A811" s="5" t="n"/>
      <ns0:c r="B811" s="6" t="n"/>
      <ns0:c r="C811" s="6" t="n"/>
      <ns0:c r="D811" s="7" t="n"/>
      <ns0:c r="E811" s="7" t="n"/>
      <ns0:c r="F811" s="8" t="str">
        <ns0:f>IF(OR(B811="",J811&lt;&gt;"販売済み",E811="",C811=""),"",IFERROR(IF(OR(COUNTIF('手数料マスタ'!$A$5:$A$104,C811)&lt;&gt;1,COUNTIFS('手数料マスタ'!$A$5:$A$104,C811,'手数料マスタ'!$B$5:$B$104,"&lt;&gt;")&lt;&gt;1,NOT(ISNUMBER(VLOOKUP(C811,'手数料マスタ'!$A$5:$B$104,2,FALSE))),VLOOKUP(C811,'手数料マスタ'!$A$5:$B$104,2,FALSE)&lt;0,VLOOKUP(C811,'手数料マスタ'!$A$5:$B$104,2,FALSE)&gt;1),"要確認",ROUND(E811*VLOOKUP(C811,'手数料マスタ'!$A$5:$B$104,2,FALSE),0)),"要確認"))</ns0:f>
        <ns0:v/>
      </ns0:c>
      <ns0:c r="G811" s="7" t="n"/>
      <ns0:c r="H811" s="7" t="n"/>
      <ns0:c r="I811" s="8" t="str">
        <ns0:f>IF(OR(B811="",J811&lt;&gt;"販売済み",D811="",E811="",G811="",H811=""),"",IF(ISNUMBER(F811),E811-D811-F811-G811-H811,"要確認"))</ns0:f>
        <ns0:v/>
      </ns0:c>
      <ns0:c r="J811" s="6" t="n"/>
      <ns0:c r="K811" s="5" t="n"/>
      <ns0:c r="L811" s="9" t="str">
        <ns0:f>IF(AND(B811&lt;&gt;"",J811="在庫"),COUNTIFS($J$5:J811,"在庫",$B$5:B811,"&lt;&gt;"),"")</ns0:f>
        <ns0:v/>
      </ns0:c>
    </ns0:row>
    <ns0:row r="812">
      <ns0:c r="A812" s="5" t="n"/>
      <ns0:c r="B812" s="6" t="n"/>
      <ns0:c r="C812" s="6" t="n"/>
      <ns0:c r="D812" s="7" t="n"/>
      <ns0:c r="E812" s="7" t="n"/>
      <ns0:c r="F812" s="8" t="str">
        <ns0:f>IF(OR(B812="",J812&lt;&gt;"販売済み",E812="",C812=""),"",IFERROR(IF(OR(COUNTIF('手数料マスタ'!$A$5:$A$104,C812)&lt;&gt;1,COUNTIFS('手数料マスタ'!$A$5:$A$104,C812,'手数料マスタ'!$B$5:$B$104,"&lt;&gt;")&lt;&gt;1,NOT(ISNUMBER(VLOOKUP(C812,'手数料マスタ'!$A$5:$B$104,2,FALSE))),VLOOKUP(C812,'手数料マスタ'!$A$5:$B$104,2,FALSE)&lt;0,VLOOKUP(C812,'手数料マスタ'!$A$5:$B$104,2,FALSE)&gt;1),"要確認",ROUND(E812*VLOOKUP(C812,'手数料マスタ'!$A$5:$B$104,2,FALSE),0)),"要確認"))</ns0:f>
        <ns0:v/>
      </ns0:c>
      <ns0:c r="G812" s="7" t="n"/>
      <ns0:c r="H812" s="7" t="n"/>
      <ns0:c r="I812" s="8" t="str">
        <ns0:f>IF(OR(B812="",J812&lt;&gt;"販売済み",D812="",E812="",G812="",H812=""),"",IF(ISNUMBER(F812),E812-D812-F812-G812-H812,"要確認"))</ns0:f>
        <ns0:v/>
      </ns0:c>
      <ns0:c r="J812" s="6" t="n"/>
      <ns0:c r="K812" s="5" t="n"/>
      <ns0:c r="L812" s="9" t="str">
        <ns0:f>IF(AND(B812&lt;&gt;"",J812="在庫"),COUNTIFS($J$5:J812,"在庫",$B$5:B812,"&lt;&gt;"),"")</ns0:f>
        <ns0:v/>
      </ns0:c>
    </ns0:row>
    <ns0:row r="813">
      <ns0:c r="A813" s="5" t="n"/>
      <ns0:c r="B813" s="6" t="n"/>
      <ns0:c r="C813" s="6" t="n"/>
      <ns0:c r="D813" s="7" t="n"/>
      <ns0:c r="E813" s="7" t="n"/>
      <ns0:c r="F813" s="8" t="str">
        <ns0:f>IF(OR(B813="",J813&lt;&gt;"販売済み",E813="",C813=""),"",IFERROR(IF(OR(COUNTIF('手数料マスタ'!$A$5:$A$104,C813)&lt;&gt;1,COUNTIFS('手数料マスタ'!$A$5:$A$104,C813,'手数料マスタ'!$B$5:$B$104,"&lt;&gt;")&lt;&gt;1,NOT(ISNUMBER(VLOOKUP(C813,'手数料マスタ'!$A$5:$B$104,2,FALSE))),VLOOKUP(C813,'手数料マスタ'!$A$5:$B$104,2,FALSE)&lt;0,VLOOKUP(C813,'手数料マスタ'!$A$5:$B$104,2,FALSE)&gt;1),"要確認",ROUND(E813*VLOOKUP(C813,'手数料マスタ'!$A$5:$B$104,2,FALSE),0)),"要確認"))</ns0:f>
        <ns0:v/>
      </ns0:c>
      <ns0:c r="G813" s="7" t="n"/>
      <ns0:c r="H813" s="7" t="n"/>
      <ns0:c r="I813" s="8" t="str">
        <ns0:f>IF(OR(B813="",J813&lt;&gt;"販売済み",D813="",E813="",G813="",H813=""),"",IF(ISNUMBER(F813),E813-D813-F813-G813-H813,"要確認"))</ns0:f>
        <ns0:v/>
      </ns0:c>
      <ns0:c r="J813" s="6" t="n"/>
      <ns0:c r="K813" s="5" t="n"/>
      <ns0:c r="L813" s="9" t="str">
        <ns0:f>IF(AND(B813&lt;&gt;"",J813="在庫"),COUNTIFS($J$5:J813,"在庫",$B$5:B813,"&lt;&gt;"),"")</ns0:f>
        <ns0:v/>
      </ns0:c>
    </ns0:row>
    <ns0:row r="814">
      <ns0:c r="A814" s="5" t="n"/>
      <ns0:c r="B814" s="6" t="n"/>
      <ns0:c r="C814" s="6" t="n"/>
      <ns0:c r="D814" s="7" t="n"/>
      <ns0:c r="E814" s="7" t="n"/>
      <ns0:c r="F814" s="8" t="str">
        <ns0:f>IF(OR(B814="",J814&lt;&gt;"販売済み",E814="",C814=""),"",IFERROR(IF(OR(COUNTIF('手数料マスタ'!$A$5:$A$104,C814)&lt;&gt;1,COUNTIFS('手数料マスタ'!$A$5:$A$104,C814,'手数料マスタ'!$B$5:$B$104,"&lt;&gt;")&lt;&gt;1,NOT(ISNUMBER(VLOOKUP(C814,'手数料マスタ'!$A$5:$B$104,2,FALSE))),VLOOKUP(C814,'手数料マスタ'!$A$5:$B$104,2,FALSE)&lt;0,VLOOKUP(C814,'手数料マスタ'!$A$5:$B$104,2,FALSE)&gt;1),"要確認",ROUND(E814*VLOOKUP(C814,'手数料マスタ'!$A$5:$B$104,2,FALSE),0)),"要確認"))</ns0:f>
        <ns0:v/>
      </ns0:c>
      <ns0:c r="G814" s="7" t="n"/>
      <ns0:c r="H814" s="7" t="n"/>
      <ns0:c r="I814" s="8" t="str">
        <ns0:f>IF(OR(B814="",J814&lt;&gt;"販売済み",D814="",E814="",G814="",H814=""),"",IF(ISNUMBER(F814),E814-D814-F814-G814-H814,"要確認"))</ns0:f>
        <ns0:v/>
      </ns0:c>
      <ns0:c r="J814" s="6" t="n"/>
      <ns0:c r="K814" s="5" t="n"/>
      <ns0:c r="L814" s="9" t="str">
        <ns0:f>IF(AND(B814&lt;&gt;"",J814="在庫"),COUNTIFS($J$5:J814,"在庫",$B$5:B814,"&lt;&gt;"),"")</ns0:f>
        <ns0:v/>
      </ns0:c>
    </ns0:row>
    <ns0:row r="815">
      <ns0:c r="A815" s="5" t="n"/>
      <ns0:c r="B815" s="6" t="n"/>
      <ns0:c r="C815" s="6" t="n"/>
      <ns0:c r="D815" s="7" t="n"/>
      <ns0:c r="E815" s="7" t="n"/>
      <ns0:c r="F815" s="8" t="str">
        <ns0:f>IF(OR(B815="",J815&lt;&gt;"販売済み",E815="",C815=""),"",IFERROR(IF(OR(COUNTIF('手数料マスタ'!$A$5:$A$104,C815)&lt;&gt;1,COUNTIFS('手数料マスタ'!$A$5:$A$104,C815,'手数料マスタ'!$B$5:$B$104,"&lt;&gt;")&lt;&gt;1,NOT(ISNUMBER(VLOOKUP(C815,'手数料マスタ'!$A$5:$B$104,2,FALSE))),VLOOKUP(C815,'手数料マスタ'!$A$5:$B$104,2,FALSE)&lt;0,VLOOKUP(C815,'手数料マスタ'!$A$5:$B$104,2,FALSE)&gt;1),"要確認",ROUND(E815*VLOOKUP(C815,'手数料マスタ'!$A$5:$B$104,2,FALSE),0)),"要確認"))</ns0:f>
        <ns0:v/>
      </ns0:c>
      <ns0:c r="G815" s="7" t="n"/>
      <ns0:c r="H815" s="7" t="n"/>
      <ns0:c r="I815" s="8" t="str">
        <ns0:f>IF(OR(B815="",J815&lt;&gt;"販売済み",D815="",E815="",G815="",H815=""),"",IF(ISNUMBER(F815),E815-D815-F815-G815-H815,"要確認"))</ns0:f>
        <ns0:v/>
      </ns0:c>
      <ns0:c r="J815" s="6" t="n"/>
      <ns0:c r="K815" s="5" t="n"/>
      <ns0:c r="L815" s="9" t="str">
        <ns0:f>IF(AND(B815&lt;&gt;"",J815="在庫"),COUNTIFS($J$5:J815,"在庫",$B$5:B815,"&lt;&gt;"),"")</ns0:f>
        <ns0:v/>
      </ns0:c>
    </ns0:row>
    <ns0:row r="816">
      <ns0:c r="A816" s="5" t="n"/>
      <ns0:c r="B816" s="6" t="n"/>
      <ns0:c r="C816" s="6" t="n"/>
      <ns0:c r="D816" s="7" t="n"/>
      <ns0:c r="E816" s="7" t="n"/>
      <ns0:c r="F816" s="8" t="str">
        <ns0:f>IF(OR(B816="",J816&lt;&gt;"販売済み",E816="",C816=""),"",IFERROR(IF(OR(COUNTIF('手数料マスタ'!$A$5:$A$104,C816)&lt;&gt;1,COUNTIFS('手数料マスタ'!$A$5:$A$104,C816,'手数料マスタ'!$B$5:$B$104,"&lt;&gt;")&lt;&gt;1,NOT(ISNUMBER(VLOOKUP(C816,'手数料マスタ'!$A$5:$B$104,2,FALSE))),VLOOKUP(C816,'手数料マスタ'!$A$5:$B$104,2,FALSE)&lt;0,VLOOKUP(C816,'手数料マスタ'!$A$5:$B$104,2,FALSE)&gt;1),"要確認",ROUND(E816*VLOOKUP(C816,'手数料マスタ'!$A$5:$B$104,2,FALSE),0)),"要確認"))</ns0:f>
        <ns0:v/>
      </ns0:c>
      <ns0:c r="G816" s="7" t="n"/>
      <ns0:c r="H816" s="7" t="n"/>
      <ns0:c r="I816" s="8" t="str">
        <ns0:f>IF(OR(B816="",J816&lt;&gt;"販売済み",D816="",E816="",G816="",H816=""),"",IF(ISNUMBER(F816),E816-D816-F816-G816-H816,"要確認"))</ns0:f>
        <ns0:v/>
      </ns0:c>
      <ns0:c r="J816" s="6" t="n"/>
      <ns0:c r="K816" s="5" t="n"/>
      <ns0:c r="L816" s="9" t="str">
        <ns0:f>IF(AND(B816&lt;&gt;"",J816="在庫"),COUNTIFS($J$5:J816,"在庫",$B$5:B816,"&lt;&gt;"),"")</ns0:f>
        <ns0:v/>
      </ns0:c>
    </ns0:row>
    <ns0:row r="817">
      <ns0:c r="A817" s="5" t="n"/>
      <ns0:c r="B817" s="6" t="n"/>
      <ns0:c r="C817" s="6" t="n"/>
      <ns0:c r="D817" s="7" t="n"/>
      <ns0:c r="E817" s="7" t="n"/>
      <ns0:c r="F817" s="8" t="str">
        <ns0:f>IF(OR(B817="",J817&lt;&gt;"販売済み",E817="",C817=""),"",IFERROR(IF(OR(COUNTIF('手数料マスタ'!$A$5:$A$104,C817)&lt;&gt;1,COUNTIFS('手数料マスタ'!$A$5:$A$104,C817,'手数料マスタ'!$B$5:$B$104,"&lt;&gt;")&lt;&gt;1,NOT(ISNUMBER(VLOOKUP(C817,'手数料マスタ'!$A$5:$B$104,2,FALSE))),VLOOKUP(C817,'手数料マスタ'!$A$5:$B$104,2,FALSE)&lt;0,VLOOKUP(C817,'手数料マスタ'!$A$5:$B$104,2,FALSE)&gt;1),"要確認",ROUND(E817*VLOOKUP(C817,'手数料マスタ'!$A$5:$B$104,2,FALSE),0)),"要確認"))</ns0:f>
        <ns0:v/>
      </ns0:c>
      <ns0:c r="G817" s="7" t="n"/>
      <ns0:c r="H817" s="7" t="n"/>
      <ns0:c r="I817" s="8" t="str">
        <ns0:f>IF(OR(B817="",J817&lt;&gt;"販売済み",D817="",E817="",G817="",H817=""),"",IF(ISNUMBER(F817),E817-D817-F817-G817-H817,"要確認"))</ns0:f>
        <ns0:v/>
      </ns0:c>
      <ns0:c r="J817" s="6" t="n"/>
      <ns0:c r="K817" s="5" t="n"/>
      <ns0:c r="L817" s="9" t="str">
        <ns0:f>IF(AND(B817&lt;&gt;"",J817="在庫"),COUNTIFS($J$5:J817,"在庫",$B$5:B817,"&lt;&gt;"),"")</ns0:f>
        <ns0:v/>
      </ns0:c>
    </ns0:row>
    <ns0:row r="818">
      <ns0:c r="A818" s="5" t="n"/>
      <ns0:c r="B818" s="6" t="n"/>
      <ns0:c r="C818" s="6" t="n"/>
      <ns0:c r="D818" s="7" t="n"/>
      <ns0:c r="E818" s="7" t="n"/>
      <ns0:c r="F818" s="8" t="str">
        <ns0:f>IF(OR(B818="",J818&lt;&gt;"販売済み",E818="",C818=""),"",IFERROR(IF(OR(COUNTIF('手数料マスタ'!$A$5:$A$104,C818)&lt;&gt;1,COUNTIFS('手数料マスタ'!$A$5:$A$104,C818,'手数料マスタ'!$B$5:$B$104,"&lt;&gt;")&lt;&gt;1,NOT(ISNUMBER(VLOOKUP(C818,'手数料マスタ'!$A$5:$B$104,2,FALSE))),VLOOKUP(C818,'手数料マスタ'!$A$5:$B$104,2,FALSE)&lt;0,VLOOKUP(C818,'手数料マスタ'!$A$5:$B$104,2,FALSE)&gt;1),"要確認",ROUND(E818*VLOOKUP(C818,'手数料マスタ'!$A$5:$B$104,2,FALSE),0)),"要確認"))</ns0:f>
        <ns0:v/>
      </ns0:c>
      <ns0:c r="G818" s="7" t="n"/>
      <ns0:c r="H818" s="7" t="n"/>
      <ns0:c r="I818" s="8" t="str">
        <ns0:f>IF(OR(B818="",J818&lt;&gt;"販売済み",D818="",E818="",G818="",H818=""),"",IF(ISNUMBER(F818),E818-D818-F818-G818-H818,"要確認"))</ns0:f>
        <ns0:v/>
      </ns0:c>
      <ns0:c r="J818" s="6" t="n"/>
      <ns0:c r="K818" s="5" t="n"/>
      <ns0:c r="L818" s="9" t="str">
        <ns0:f>IF(AND(B818&lt;&gt;"",J818="在庫"),COUNTIFS($J$5:J818,"在庫",$B$5:B818,"&lt;&gt;"),"")</ns0:f>
        <ns0:v/>
      </ns0:c>
    </ns0:row>
    <ns0:row r="819">
      <ns0:c r="A819" s="5" t="n"/>
      <ns0:c r="B819" s="6" t="n"/>
      <ns0:c r="C819" s="6" t="n"/>
      <ns0:c r="D819" s="7" t="n"/>
      <ns0:c r="E819" s="7" t="n"/>
      <ns0:c r="F819" s="8" t="str">
        <ns0:f>IF(OR(B819="",J819&lt;&gt;"販売済み",E819="",C819=""),"",IFERROR(IF(OR(COUNTIF('手数料マスタ'!$A$5:$A$104,C819)&lt;&gt;1,COUNTIFS('手数料マスタ'!$A$5:$A$104,C819,'手数料マスタ'!$B$5:$B$104,"&lt;&gt;")&lt;&gt;1,NOT(ISNUMBER(VLOOKUP(C819,'手数料マスタ'!$A$5:$B$104,2,FALSE))),VLOOKUP(C819,'手数料マスタ'!$A$5:$B$104,2,FALSE)&lt;0,VLOOKUP(C819,'手数料マスタ'!$A$5:$B$104,2,FALSE)&gt;1),"要確認",ROUND(E819*VLOOKUP(C819,'手数料マスタ'!$A$5:$B$104,2,FALSE),0)),"要確認"))</ns0:f>
        <ns0:v/>
      </ns0:c>
      <ns0:c r="G819" s="7" t="n"/>
      <ns0:c r="H819" s="7" t="n"/>
      <ns0:c r="I819" s="8" t="str">
        <ns0:f>IF(OR(B819="",J819&lt;&gt;"販売済み",D819="",E819="",G819="",H819=""),"",IF(ISNUMBER(F819),E819-D819-F819-G819-H819,"要確認"))</ns0:f>
        <ns0:v/>
      </ns0:c>
      <ns0:c r="J819" s="6" t="n"/>
      <ns0:c r="K819" s="5" t="n"/>
      <ns0:c r="L819" s="9" t="str">
        <ns0:f>IF(AND(B819&lt;&gt;"",J819="在庫"),COUNTIFS($J$5:J819,"在庫",$B$5:B819,"&lt;&gt;"),"")</ns0:f>
        <ns0:v/>
      </ns0:c>
    </ns0:row>
    <ns0:row r="820">
      <ns0:c r="A820" s="5" t="n"/>
      <ns0:c r="B820" s="6" t="n"/>
      <ns0:c r="C820" s="6" t="n"/>
      <ns0:c r="D820" s="7" t="n"/>
      <ns0:c r="E820" s="7" t="n"/>
      <ns0:c r="F820" s="8" t="str">
        <ns0:f>IF(OR(B820="",J820&lt;&gt;"販売済み",E820="",C820=""),"",IFERROR(IF(OR(COUNTIF('手数料マスタ'!$A$5:$A$104,C820)&lt;&gt;1,COUNTIFS('手数料マスタ'!$A$5:$A$104,C820,'手数料マスタ'!$B$5:$B$104,"&lt;&gt;")&lt;&gt;1,NOT(ISNUMBER(VLOOKUP(C820,'手数料マスタ'!$A$5:$B$104,2,FALSE))),VLOOKUP(C820,'手数料マスタ'!$A$5:$B$104,2,FALSE)&lt;0,VLOOKUP(C820,'手数料マスタ'!$A$5:$B$104,2,FALSE)&gt;1),"要確認",ROUND(E820*VLOOKUP(C820,'手数料マスタ'!$A$5:$B$104,2,FALSE),0)),"要確認"))</ns0:f>
        <ns0:v/>
      </ns0:c>
      <ns0:c r="G820" s="7" t="n"/>
      <ns0:c r="H820" s="7" t="n"/>
      <ns0:c r="I820" s="8" t="str">
        <ns0:f>IF(OR(B820="",J820&lt;&gt;"販売済み",D820="",E820="",G820="",H820=""),"",IF(ISNUMBER(F820),E820-D820-F820-G820-H820,"要確認"))</ns0:f>
        <ns0:v/>
      </ns0:c>
      <ns0:c r="J820" s="6" t="n"/>
      <ns0:c r="K820" s="5" t="n"/>
      <ns0:c r="L820" s="9" t="str">
        <ns0:f>IF(AND(B820&lt;&gt;"",J820="在庫"),COUNTIFS($J$5:J820,"在庫",$B$5:B820,"&lt;&gt;"),"")</ns0:f>
        <ns0:v/>
      </ns0:c>
    </ns0:row>
    <ns0:row r="821">
      <ns0:c r="A821" s="5" t="n"/>
      <ns0:c r="B821" s="6" t="n"/>
      <ns0:c r="C821" s="6" t="n"/>
      <ns0:c r="D821" s="7" t="n"/>
      <ns0:c r="E821" s="7" t="n"/>
      <ns0:c r="F821" s="8" t="str">
        <ns0:f>IF(OR(B821="",J821&lt;&gt;"販売済み",E821="",C821=""),"",IFERROR(IF(OR(COUNTIF('手数料マスタ'!$A$5:$A$104,C821)&lt;&gt;1,COUNTIFS('手数料マスタ'!$A$5:$A$104,C821,'手数料マスタ'!$B$5:$B$104,"&lt;&gt;")&lt;&gt;1,NOT(ISNUMBER(VLOOKUP(C821,'手数料マスタ'!$A$5:$B$104,2,FALSE))),VLOOKUP(C821,'手数料マスタ'!$A$5:$B$104,2,FALSE)&lt;0,VLOOKUP(C821,'手数料マスタ'!$A$5:$B$104,2,FALSE)&gt;1),"要確認",ROUND(E821*VLOOKUP(C821,'手数料マスタ'!$A$5:$B$104,2,FALSE),0)),"要確認"))</ns0:f>
        <ns0:v/>
      </ns0:c>
      <ns0:c r="G821" s="7" t="n"/>
      <ns0:c r="H821" s="7" t="n"/>
      <ns0:c r="I821" s="8" t="str">
        <ns0:f>IF(OR(B821="",J821&lt;&gt;"販売済み",D821="",E821="",G821="",H821=""),"",IF(ISNUMBER(F821),E821-D821-F821-G821-H821,"要確認"))</ns0:f>
        <ns0:v/>
      </ns0:c>
      <ns0:c r="J821" s="6" t="n"/>
      <ns0:c r="K821" s="5" t="n"/>
      <ns0:c r="L821" s="9" t="str">
        <ns0:f>IF(AND(B821&lt;&gt;"",J821="在庫"),COUNTIFS($J$5:J821,"在庫",$B$5:B821,"&lt;&gt;"),"")</ns0:f>
        <ns0:v/>
      </ns0:c>
    </ns0:row>
    <ns0:row r="822">
      <ns0:c r="A822" s="5" t="n"/>
      <ns0:c r="B822" s="6" t="n"/>
      <ns0:c r="C822" s="6" t="n"/>
      <ns0:c r="D822" s="7" t="n"/>
      <ns0:c r="E822" s="7" t="n"/>
      <ns0:c r="F822" s="8" t="str">
        <ns0:f>IF(OR(B822="",J822&lt;&gt;"販売済み",E822="",C822=""),"",IFERROR(IF(OR(COUNTIF('手数料マスタ'!$A$5:$A$104,C822)&lt;&gt;1,COUNTIFS('手数料マスタ'!$A$5:$A$104,C822,'手数料マスタ'!$B$5:$B$104,"&lt;&gt;")&lt;&gt;1,NOT(ISNUMBER(VLOOKUP(C822,'手数料マスタ'!$A$5:$B$104,2,FALSE))),VLOOKUP(C822,'手数料マスタ'!$A$5:$B$104,2,FALSE)&lt;0,VLOOKUP(C822,'手数料マスタ'!$A$5:$B$104,2,FALSE)&gt;1),"要確認",ROUND(E822*VLOOKUP(C822,'手数料マスタ'!$A$5:$B$104,2,FALSE),0)),"要確認"))</ns0:f>
        <ns0:v/>
      </ns0:c>
      <ns0:c r="G822" s="7" t="n"/>
      <ns0:c r="H822" s="7" t="n"/>
      <ns0:c r="I822" s="8" t="str">
        <ns0:f>IF(OR(B822="",J822&lt;&gt;"販売済み",D822="",E822="",G822="",H822=""),"",IF(ISNUMBER(F822),E822-D822-F822-G822-H822,"要確認"))</ns0:f>
        <ns0:v/>
      </ns0:c>
      <ns0:c r="J822" s="6" t="n"/>
      <ns0:c r="K822" s="5" t="n"/>
      <ns0:c r="L822" s="9" t="str">
        <ns0:f>IF(AND(B822&lt;&gt;"",J822="在庫"),COUNTIFS($J$5:J822,"在庫",$B$5:B822,"&lt;&gt;"),"")</ns0:f>
        <ns0:v/>
      </ns0:c>
    </ns0:row>
    <ns0:row r="823">
      <ns0:c r="A823" s="5" t="n"/>
      <ns0:c r="B823" s="6" t="n"/>
      <ns0:c r="C823" s="6" t="n"/>
      <ns0:c r="D823" s="7" t="n"/>
      <ns0:c r="E823" s="7" t="n"/>
      <ns0:c r="F823" s="8" t="str">
        <ns0:f>IF(OR(B823="",J823&lt;&gt;"販売済み",E823="",C823=""),"",IFERROR(IF(OR(COUNTIF('手数料マスタ'!$A$5:$A$104,C823)&lt;&gt;1,COUNTIFS('手数料マスタ'!$A$5:$A$104,C823,'手数料マスタ'!$B$5:$B$104,"&lt;&gt;")&lt;&gt;1,NOT(ISNUMBER(VLOOKUP(C823,'手数料マスタ'!$A$5:$B$104,2,FALSE))),VLOOKUP(C823,'手数料マスタ'!$A$5:$B$104,2,FALSE)&lt;0,VLOOKUP(C823,'手数料マスタ'!$A$5:$B$104,2,FALSE)&gt;1),"要確認",ROUND(E823*VLOOKUP(C823,'手数料マスタ'!$A$5:$B$104,2,FALSE),0)),"要確認"))</ns0:f>
        <ns0:v/>
      </ns0:c>
      <ns0:c r="G823" s="7" t="n"/>
      <ns0:c r="H823" s="7" t="n"/>
      <ns0:c r="I823" s="8" t="str">
        <ns0:f>IF(OR(B823="",J823&lt;&gt;"販売済み",D823="",E823="",G823="",H823=""),"",IF(ISNUMBER(F823),E823-D823-F823-G823-H823,"要確認"))</ns0:f>
        <ns0:v/>
      </ns0:c>
      <ns0:c r="J823" s="6" t="n"/>
      <ns0:c r="K823" s="5" t="n"/>
      <ns0:c r="L823" s="9" t="str">
        <ns0:f>IF(AND(B823&lt;&gt;"",J823="在庫"),COUNTIFS($J$5:J823,"在庫",$B$5:B823,"&lt;&gt;"),"")</ns0:f>
        <ns0:v/>
      </ns0:c>
    </ns0:row>
    <ns0:row r="824">
      <ns0:c r="A824" s="5" t="n"/>
      <ns0:c r="B824" s="6" t="n"/>
      <ns0:c r="C824" s="6" t="n"/>
      <ns0:c r="D824" s="7" t="n"/>
      <ns0:c r="E824" s="7" t="n"/>
      <ns0:c r="F824" s="8" t="str">
        <ns0:f>IF(OR(B824="",J824&lt;&gt;"販売済み",E824="",C824=""),"",IFERROR(IF(OR(COUNTIF('手数料マスタ'!$A$5:$A$104,C824)&lt;&gt;1,COUNTIFS('手数料マスタ'!$A$5:$A$104,C824,'手数料マスタ'!$B$5:$B$104,"&lt;&gt;")&lt;&gt;1,NOT(ISNUMBER(VLOOKUP(C824,'手数料マスタ'!$A$5:$B$104,2,FALSE))),VLOOKUP(C824,'手数料マスタ'!$A$5:$B$104,2,FALSE)&lt;0,VLOOKUP(C824,'手数料マスタ'!$A$5:$B$104,2,FALSE)&gt;1),"要確認",ROUND(E824*VLOOKUP(C824,'手数料マスタ'!$A$5:$B$104,2,FALSE),0)),"要確認"))</ns0:f>
        <ns0:v/>
      </ns0:c>
      <ns0:c r="G824" s="7" t="n"/>
      <ns0:c r="H824" s="7" t="n"/>
      <ns0:c r="I824" s="8" t="str">
        <ns0:f>IF(OR(B824="",J824&lt;&gt;"販売済み",D824="",E824="",G824="",H824=""),"",IF(ISNUMBER(F824),E824-D824-F824-G824-H824,"要確認"))</ns0:f>
        <ns0:v/>
      </ns0:c>
      <ns0:c r="J824" s="6" t="n"/>
      <ns0:c r="K824" s="5" t="n"/>
      <ns0:c r="L824" s="9" t="str">
        <ns0:f>IF(AND(B824&lt;&gt;"",J824="在庫"),COUNTIFS($J$5:J824,"在庫",$B$5:B824,"&lt;&gt;"),"")</ns0:f>
        <ns0:v/>
      </ns0:c>
    </ns0:row>
    <ns0:row r="825">
      <ns0:c r="A825" s="5" t="n"/>
      <ns0:c r="B825" s="6" t="n"/>
      <ns0:c r="C825" s="6" t="n"/>
      <ns0:c r="D825" s="7" t="n"/>
      <ns0:c r="E825" s="7" t="n"/>
      <ns0:c r="F825" s="8" t="str">
        <ns0:f>IF(OR(B825="",J825&lt;&gt;"販売済み",E825="",C825=""),"",IFERROR(IF(OR(COUNTIF('手数料マスタ'!$A$5:$A$104,C825)&lt;&gt;1,COUNTIFS('手数料マスタ'!$A$5:$A$104,C825,'手数料マスタ'!$B$5:$B$104,"&lt;&gt;")&lt;&gt;1,NOT(ISNUMBER(VLOOKUP(C825,'手数料マスタ'!$A$5:$B$104,2,FALSE))),VLOOKUP(C825,'手数料マスタ'!$A$5:$B$104,2,FALSE)&lt;0,VLOOKUP(C825,'手数料マスタ'!$A$5:$B$104,2,FALSE)&gt;1),"要確認",ROUND(E825*VLOOKUP(C825,'手数料マスタ'!$A$5:$B$104,2,FALSE),0)),"要確認"))</ns0:f>
        <ns0:v/>
      </ns0:c>
      <ns0:c r="G825" s="7" t="n"/>
      <ns0:c r="H825" s="7" t="n"/>
      <ns0:c r="I825" s="8" t="str">
        <ns0:f>IF(OR(B825="",J825&lt;&gt;"販売済み",D825="",E825="",G825="",H825=""),"",IF(ISNUMBER(F825),E825-D825-F825-G825-H825,"要確認"))</ns0:f>
        <ns0:v/>
      </ns0:c>
      <ns0:c r="J825" s="6" t="n"/>
      <ns0:c r="K825" s="5" t="n"/>
      <ns0:c r="L825" s="9" t="str">
        <ns0:f>IF(AND(B825&lt;&gt;"",J825="在庫"),COUNTIFS($J$5:J825,"在庫",$B$5:B825,"&lt;&gt;"),"")</ns0:f>
        <ns0:v/>
      </ns0:c>
    </ns0:row>
    <ns0:row r="826">
      <ns0:c r="A826" s="5" t="n"/>
      <ns0:c r="B826" s="6" t="n"/>
      <ns0:c r="C826" s="6" t="n"/>
      <ns0:c r="D826" s="7" t="n"/>
      <ns0:c r="E826" s="7" t="n"/>
      <ns0:c r="F826" s="8" t="str">
        <ns0:f>IF(OR(B826="",J826&lt;&gt;"販売済み",E826="",C826=""),"",IFERROR(IF(OR(COUNTIF('手数料マスタ'!$A$5:$A$104,C826)&lt;&gt;1,COUNTIFS('手数料マスタ'!$A$5:$A$104,C826,'手数料マスタ'!$B$5:$B$104,"&lt;&gt;")&lt;&gt;1,NOT(ISNUMBER(VLOOKUP(C826,'手数料マスタ'!$A$5:$B$104,2,FALSE))),VLOOKUP(C826,'手数料マスタ'!$A$5:$B$104,2,FALSE)&lt;0,VLOOKUP(C826,'手数料マスタ'!$A$5:$B$104,2,FALSE)&gt;1),"要確認",ROUND(E826*VLOOKUP(C826,'手数料マスタ'!$A$5:$B$104,2,FALSE),0)),"要確認"))</ns0:f>
        <ns0:v/>
      </ns0:c>
      <ns0:c r="G826" s="7" t="n"/>
      <ns0:c r="H826" s="7" t="n"/>
      <ns0:c r="I826" s="8" t="str">
        <ns0:f>IF(OR(B826="",J826&lt;&gt;"販売済み",D826="",E826="",G826="",H826=""),"",IF(ISNUMBER(F826),E826-D826-F826-G826-H826,"要確認"))</ns0:f>
        <ns0:v/>
      </ns0:c>
      <ns0:c r="J826" s="6" t="n"/>
      <ns0:c r="K826" s="5" t="n"/>
      <ns0:c r="L826" s="9" t="str">
        <ns0:f>IF(AND(B826&lt;&gt;"",J826="在庫"),COUNTIFS($J$5:J826,"在庫",$B$5:B826,"&lt;&gt;"),"")</ns0:f>
        <ns0:v/>
      </ns0:c>
    </ns0:row>
    <ns0:row r="827">
      <ns0:c r="A827" s="5" t="n"/>
      <ns0:c r="B827" s="6" t="n"/>
      <ns0:c r="C827" s="6" t="n"/>
      <ns0:c r="D827" s="7" t="n"/>
      <ns0:c r="E827" s="7" t="n"/>
      <ns0:c r="F827" s="8" t="str">
        <ns0:f>IF(OR(B827="",J827&lt;&gt;"販売済み",E827="",C827=""),"",IFERROR(IF(OR(COUNTIF('手数料マスタ'!$A$5:$A$104,C827)&lt;&gt;1,COUNTIFS('手数料マスタ'!$A$5:$A$104,C827,'手数料マスタ'!$B$5:$B$104,"&lt;&gt;")&lt;&gt;1,NOT(ISNUMBER(VLOOKUP(C827,'手数料マスタ'!$A$5:$B$104,2,FALSE))),VLOOKUP(C827,'手数料マスタ'!$A$5:$B$104,2,FALSE)&lt;0,VLOOKUP(C827,'手数料マスタ'!$A$5:$B$104,2,FALSE)&gt;1),"要確認",ROUND(E827*VLOOKUP(C827,'手数料マスタ'!$A$5:$B$104,2,FALSE),0)),"要確認"))</ns0:f>
        <ns0:v/>
      </ns0:c>
      <ns0:c r="G827" s="7" t="n"/>
      <ns0:c r="H827" s="7" t="n"/>
      <ns0:c r="I827" s="8" t="str">
        <ns0:f>IF(OR(B827="",J827&lt;&gt;"販売済み",D827="",E827="",G827="",H827=""),"",IF(ISNUMBER(F827),E827-D827-F827-G827-H827,"要確認"))</ns0:f>
        <ns0:v/>
      </ns0:c>
      <ns0:c r="J827" s="6" t="n"/>
      <ns0:c r="K827" s="5" t="n"/>
      <ns0:c r="L827" s="9" t="str">
        <ns0:f>IF(AND(B827&lt;&gt;"",J827="在庫"),COUNTIFS($J$5:J827,"在庫",$B$5:B827,"&lt;&gt;"),"")</ns0:f>
        <ns0:v/>
      </ns0:c>
    </ns0:row>
    <ns0:row r="828">
      <ns0:c r="A828" s="5" t="n"/>
      <ns0:c r="B828" s="6" t="n"/>
      <ns0:c r="C828" s="6" t="n"/>
      <ns0:c r="D828" s="7" t="n"/>
      <ns0:c r="E828" s="7" t="n"/>
      <ns0:c r="F828" s="8" t="str">
        <ns0:f>IF(OR(B828="",J828&lt;&gt;"販売済み",E828="",C828=""),"",IFERROR(IF(OR(COUNTIF('手数料マスタ'!$A$5:$A$104,C828)&lt;&gt;1,COUNTIFS('手数料マスタ'!$A$5:$A$104,C828,'手数料マスタ'!$B$5:$B$104,"&lt;&gt;")&lt;&gt;1,NOT(ISNUMBER(VLOOKUP(C828,'手数料マスタ'!$A$5:$B$104,2,FALSE))),VLOOKUP(C828,'手数料マスタ'!$A$5:$B$104,2,FALSE)&lt;0,VLOOKUP(C828,'手数料マスタ'!$A$5:$B$104,2,FALSE)&gt;1),"要確認",ROUND(E828*VLOOKUP(C828,'手数料マスタ'!$A$5:$B$104,2,FALSE),0)),"要確認"))</ns0:f>
        <ns0:v/>
      </ns0:c>
      <ns0:c r="G828" s="7" t="n"/>
      <ns0:c r="H828" s="7" t="n"/>
      <ns0:c r="I828" s="8" t="str">
        <ns0:f>IF(OR(B828="",J828&lt;&gt;"販売済み",D828="",E828="",G828="",H828=""),"",IF(ISNUMBER(F828),E828-D828-F828-G828-H828,"要確認"))</ns0:f>
        <ns0:v/>
      </ns0:c>
      <ns0:c r="J828" s="6" t="n"/>
      <ns0:c r="K828" s="5" t="n"/>
      <ns0:c r="L828" s="9" t="str">
        <ns0:f>IF(AND(B828&lt;&gt;"",J828="在庫"),COUNTIFS($J$5:J828,"在庫",$B$5:B828,"&lt;&gt;"),"")</ns0:f>
        <ns0:v/>
      </ns0:c>
    </ns0:row>
    <ns0:row r="829">
      <ns0:c r="A829" s="5" t="n"/>
      <ns0:c r="B829" s="6" t="n"/>
      <ns0:c r="C829" s="6" t="n"/>
      <ns0:c r="D829" s="7" t="n"/>
      <ns0:c r="E829" s="7" t="n"/>
      <ns0:c r="F829" s="8" t="str">
        <ns0:f>IF(OR(B829="",J829&lt;&gt;"販売済み",E829="",C829=""),"",IFERROR(IF(OR(COUNTIF('手数料マスタ'!$A$5:$A$104,C829)&lt;&gt;1,COUNTIFS('手数料マスタ'!$A$5:$A$104,C829,'手数料マスタ'!$B$5:$B$104,"&lt;&gt;")&lt;&gt;1,NOT(ISNUMBER(VLOOKUP(C829,'手数料マスタ'!$A$5:$B$104,2,FALSE))),VLOOKUP(C829,'手数料マスタ'!$A$5:$B$104,2,FALSE)&lt;0,VLOOKUP(C829,'手数料マスタ'!$A$5:$B$104,2,FALSE)&gt;1),"要確認",ROUND(E829*VLOOKUP(C829,'手数料マスタ'!$A$5:$B$104,2,FALSE),0)),"要確認"))</ns0:f>
        <ns0:v/>
      </ns0:c>
      <ns0:c r="G829" s="7" t="n"/>
      <ns0:c r="H829" s="7" t="n"/>
      <ns0:c r="I829" s="8" t="str">
        <ns0:f>IF(OR(B829="",J829&lt;&gt;"販売済み",D829="",E829="",G829="",H829=""),"",IF(ISNUMBER(F829),E829-D829-F829-G829-H829,"要確認"))</ns0:f>
        <ns0:v/>
      </ns0:c>
      <ns0:c r="J829" s="6" t="n"/>
      <ns0:c r="K829" s="5" t="n"/>
      <ns0:c r="L829" s="9" t="str">
        <ns0:f>IF(AND(B829&lt;&gt;"",J829="在庫"),COUNTIFS($J$5:J829,"在庫",$B$5:B829,"&lt;&gt;"),"")</ns0:f>
        <ns0:v/>
      </ns0:c>
    </ns0:row>
    <ns0:row r="830">
      <ns0:c r="A830" s="5" t="n"/>
      <ns0:c r="B830" s="6" t="n"/>
      <ns0:c r="C830" s="6" t="n"/>
      <ns0:c r="D830" s="7" t="n"/>
      <ns0:c r="E830" s="7" t="n"/>
      <ns0:c r="F830" s="8" t="str">
        <ns0:f>IF(OR(B830="",J830&lt;&gt;"販売済み",E830="",C830=""),"",IFERROR(IF(OR(COUNTIF('手数料マスタ'!$A$5:$A$104,C830)&lt;&gt;1,COUNTIFS('手数料マスタ'!$A$5:$A$104,C830,'手数料マスタ'!$B$5:$B$104,"&lt;&gt;")&lt;&gt;1,NOT(ISNUMBER(VLOOKUP(C830,'手数料マスタ'!$A$5:$B$104,2,FALSE))),VLOOKUP(C830,'手数料マスタ'!$A$5:$B$104,2,FALSE)&lt;0,VLOOKUP(C830,'手数料マスタ'!$A$5:$B$104,2,FALSE)&gt;1),"要確認",ROUND(E830*VLOOKUP(C830,'手数料マスタ'!$A$5:$B$104,2,FALSE),0)),"要確認"))</ns0:f>
        <ns0:v/>
      </ns0:c>
      <ns0:c r="G830" s="7" t="n"/>
      <ns0:c r="H830" s="7" t="n"/>
      <ns0:c r="I830" s="8" t="str">
        <ns0:f>IF(OR(B830="",J830&lt;&gt;"販売済み",D830="",E830="",G830="",H830=""),"",IF(ISNUMBER(F830),E830-D830-F830-G830-H830,"要確認"))</ns0:f>
        <ns0:v/>
      </ns0:c>
      <ns0:c r="J830" s="6" t="n"/>
      <ns0:c r="K830" s="5" t="n"/>
      <ns0:c r="L830" s="9" t="str">
        <ns0:f>IF(AND(B830&lt;&gt;"",J830="在庫"),COUNTIFS($J$5:J830,"在庫",$B$5:B830,"&lt;&gt;"),"")</ns0:f>
        <ns0:v/>
      </ns0:c>
    </ns0:row>
    <ns0:row r="831">
      <ns0:c r="A831" s="5" t="n"/>
      <ns0:c r="B831" s="6" t="n"/>
      <ns0:c r="C831" s="6" t="n"/>
      <ns0:c r="D831" s="7" t="n"/>
      <ns0:c r="E831" s="7" t="n"/>
      <ns0:c r="F831" s="8" t="str">
        <ns0:f>IF(OR(B831="",J831&lt;&gt;"販売済み",E831="",C831=""),"",IFERROR(IF(OR(COUNTIF('手数料マスタ'!$A$5:$A$104,C831)&lt;&gt;1,COUNTIFS('手数料マスタ'!$A$5:$A$104,C831,'手数料マスタ'!$B$5:$B$104,"&lt;&gt;")&lt;&gt;1,NOT(ISNUMBER(VLOOKUP(C831,'手数料マスタ'!$A$5:$B$104,2,FALSE))),VLOOKUP(C831,'手数料マスタ'!$A$5:$B$104,2,FALSE)&lt;0,VLOOKUP(C831,'手数料マスタ'!$A$5:$B$104,2,FALSE)&gt;1),"要確認",ROUND(E831*VLOOKUP(C831,'手数料マスタ'!$A$5:$B$104,2,FALSE),0)),"要確認"))</ns0:f>
        <ns0:v/>
      </ns0:c>
      <ns0:c r="G831" s="7" t="n"/>
      <ns0:c r="H831" s="7" t="n"/>
      <ns0:c r="I831" s="8" t="str">
        <ns0:f>IF(OR(B831="",J831&lt;&gt;"販売済み",D831="",E831="",G831="",H831=""),"",IF(ISNUMBER(F831),E831-D831-F831-G831-H831,"要確認"))</ns0:f>
        <ns0:v/>
      </ns0:c>
      <ns0:c r="J831" s="6" t="n"/>
      <ns0:c r="K831" s="5" t="n"/>
      <ns0:c r="L831" s="9" t="str">
        <ns0:f>IF(AND(B831&lt;&gt;"",J831="在庫"),COUNTIFS($J$5:J831,"在庫",$B$5:B831,"&lt;&gt;"),"")</ns0:f>
        <ns0:v/>
      </ns0:c>
    </ns0:row>
    <ns0:row r="832">
      <ns0:c r="A832" s="5" t="n"/>
      <ns0:c r="B832" s="6" t="n"/>
      <ns0:c r="C832" s="6" t="n"/>
      <ns0:c r="D832" s="7" t="n"/>
      <ns0:c r="E832" s="7" t="n"/>
      <ns0:c r="F832" s="8" t="str">
        <ns0:f>IF(OR(B832="",J832&lt;&gt;"販売済み",E832="",C832=""),"",IFERROR(IF(OR(COUNTIF('手数料マスタ'!$A$5:$A$104,C832)&lt;&gt;1,COUNTIFS('手数料マスタ'!$A$5:$A$104,C832,'手数料マスタ'!$B$5:$B$104,"&lt;&gt;")&lt;&gt;1,NOT(ISNUMBER(VLOOKUP(C832,'手数料マスタ'!$A$5:$B$104,2,FALSE))),VLOOKUP(C832,'手数料マスタ'!$A$5:$B$104,2,FALSE)&lt;0,VLOOKUP(C832,'手数料マスタ'!$A$5:$B$104,2,FALSE)&gt;1),"要確認",ROUND(E832*VLOOKUP(C832,'手数料マスタ'!$A$5:$B$104,2,FALSE),0)),"要確認"))</ns0:f>
        <ns0:v/>
      </ns0:c>
      <ns0:c r="G832" s="7" t="n"/>
      <ns0:c r="H832" s="7" t="n"/>
      <ns0:c r="I832" s="8" t="str">
        <ns0:f>IF(OR(B832="",J832&lt;&gt;"販売済み",D832="",E832="",G832="",H832=""),"",IF(ISNUMBER(F832),E832-D832-F832-G832-H832,"要確認"))</ns0:f>
        <ns0:v/>
      </ns0:c>
      <ns0:c r="J832" s="6" t="n"/>
      <ns0:c r="K832" s="5" t="n"/>
      <ns0:c r="L832" s="9" t="str">
        <ns0:f>IF(AND(B832&lt;&gt;"",J832="在庫"),COUNTIFS($J$5:J832,"在庫",$B$5:B832,"&lt;&gt;"),"")</ns0:f>
        <ns0:v/>
      </ns0:c>
    </ns0:row>
    <ns0:row r="833">
      <ns0:c r="A833" s="5" t="n"/>
      <ns0:c r="B833" s="6" t="n"/>
      <ns0:c r="C833" s="6" t="n"/>
      <ns0:c r="D833" s="7" t="n"/>
      <ns0:c r="E833" s="7" t="n"/>
      <ns0:c r="F833" s="8" t="str">
        <ns0:f>IF(OR(B833="",J833&lt;&gt;"販売済み",E833="",C833=""),"",IFERROR(IF(OR(COUNTIF('手数料マスタ'!$A$5:$A$104,C833)&lt;&gt;1,COUNTIFS('手数料マスタ'!$A$5:$A$104,C833,'手数料マスタ'!$B$5:$B$104,"&lt;&gt;")&lt;&gt;1,NOT(ISNUMBER(VLOOKUP(C833,'手数料マスタ'!$A$5:$B$104,2,FALSE))),VLOOKUP(C833,'手数料マスタ'!$A$5:$B$104,2,FALSE)&lt;0,VLOOKUP(C833,'手数料マスタ'!$A$5:$B$104,2,FALSE)&gt;1),"要確認",ROUND(E833*VLOOKUP(C833,'手数料マスタ'!$A$5:$B$104,2,FALSE),0)),"要確認"))</ns0:f>
        <ns0:v/>
      </ns0:c>
      <ns0:c r="G833" s="7" t="n"/>
      <ns0:c r="H833" s="7" t="n"/>
      <ns0:c r="I833" s="8" t="str">
        <ns0:f>IF(OR(B833="",J833&lt;&gt;"販売済み",D833="",E833="",G833="",H833=""),"",IF(ISNUMBER(F833),E833-D833-F833-G833-H833,"要確認"))</ns0:f>
        <ns0:v/>
      </ns0:c>
      <ns0:c r="J833" s="6" t="n"/>
      <ns0:c r="K833" s="5" t="n"/>
      <ns0:c r="L833" s="9" t="str">
        <ns0:f>IF(AND(B833&lt;&gt;"",J833="在庫"),COUNTIFS($J$5:J833,"在庫",$B$5:B833,"&lt;&gt;"),"")</ns0:f>
        <ns0:v/>
      </ns0:c>
    </ns0:row>
    <ns0:row r="834">
      <ns0:c r="A834" s="5" t="n"/>
      <ns0:c r="B834" s="6" t="n"/>
      <ns0:c r="C834" s="6" t="n"/>
      <ns0:c r="D834" s="7" t="n"/>
      <ns0:c r="E834" s="7" t="n"/>
      <ns0:c r="F834" s="8" t="str">
        <ns0:f>IF(OR(B834="",J834&lt;&gt;"販売済み",E834="",C834=""),"",IFERROR(IF(OR(COUNTIF('手数料マスタ'!$A$5:$A$104,C834)&lt;&gt;1,COUNTIFS('手数料マスタ'!$A$5:$A$104,C834,'手数料マスタ'!$B$5:$B$104,"&lt;&gt;")&lt;&gt;1,NOT(ISNUMBER(VLOOKUP(C834,'手数料マスタ'!$A$5:$B$104,2,FALSE))),VLOOKUP(C834,'手数料マスタ'!$A$5:$B$104,2,FALSE)&lt;0,VLOOKUP(C834,'手数料マスタ'!$A$5:$B$104,2,FALSE)&gt;1),"要確認",ROUND(E834*VLOOKUP(C834,'手数料マスタ'!$A$5:$B$104,2,FALSE),0)),"要確認"))</ns0:f>
        <ns0:v/>
      </ns0:c>
      <ns0:c r="G834" s="7" t="n"/>
      <ns0:c r="H834" s="7" t="n"/>
      <ns0:c r="I834" s="8" t="str">
        <ns0:f>IF(OR(B834="",J834&lt;&gt;"販売済み",D834="",E834="",G834="",H834=""),"",IF(ISNUMBER(F834),E834-D834-F834-G834-H834,"要確認"))</ns0:f>
        <ns0:v/>
      </ns0:c>
      <ns0:c r="J834" s="6" t="n"/>
      <ns0:c r="K834" s="5" t="n"/>
      <ns0:c r="L834" s="9" t="str">
        <ns0:f>IF(AND(B834&lt;&gt;"",J834="在庫"),COUNTIFS($J$5:J834,"在庫",$B$5:B834,"&lt;&gt;"),"")</ns0:f>
        <ns0:v/>
      </ns0:c>
    </ns0:row>
    <ns0:row r="835">
      <ns0:c r="A835" s="5" t="n"/>
      <ns0:c r="B835" s="6" t="n"/>
      <ns0:c r="C835" s="6" t="n"/>
      <ns0:c r="D835" s="7" t="n"/>
      <ns0:c r="E835" s="7" t="n"/>
      <ns0:c r="F835" s="8" t="str">
        <ns0:f>IF(OR(B835="",J835&lt;&gt;"販売済み",E835="",C835=""),"",IFERROR(IF(OR(COUNTIF('手数料マスタ'!$A$5:$A$104,C835)&lt;&gt;1,COUNTIFS('手数料マスタ'!$A$5:$A$104,C835,'手数料マスタ'!$B$5:$B$104,"&lt;&gt;")&lt;&gt;1,NOT(ISNUMBER(VLOOKUP(C835,'手数料マスタ'!$A$5:$B$104,2,FALSE))),VLOOKUP(C835,'手数料マスタ'!$A$5:$B$104,2,FALSE)&lt;0,VLOOKUP(C835,'手数料マスタ'!$A$5:$B$104,2,FALSE)&gt;1),"要確認",ROUND(E835*VLOOKUP(C835,'手数料マスタ'!$A$5:$B$104,2,FALSE),0)),"要確認"))</ns0:f>
        <ns0:v/>
      </ns0:c>
      <ns0:c r="G835" s="7" t="n"/>
      <ns0:c r="H835" s="7" t="n"/>
      <ns0:c r="I835" s="8" t="str">
        <ns0:f>IF(OR(B835="",J835&lt;&gt;"販売済み",D835="",E835="",G835="",H835=""),"",IF(ISNUMBER(F835),E835-D835-F835-G835-H835,"要確認"))</ns0:f>
        <ns0:v/>
      </ns0:c>
      <ns0:c r="J835" s="6" t="n"/>
      <ns0:c r="K835" s="5" t="n"/>
      <ns0:c r="L835" s="9" t="str">
        <ns0:f>IF(AND(B835&lt;&gt;"",J835="在庫"),COUNTIFS($J$5:J835,"在庫",$B$5:B835,"&lt;&gt;"),"")</ns0:f>
        <ns0:v/>
      </ns0:c>
    </ns0:row>
    <ns0:row r="836">
      <ns0:c r="A836" s="5" t="n"/>
      <ns0:c r="B836" s="6" t="n"/>
      <ns0:c r="C836" s="6" t="n"/>
      <ns0:c r="D836" s="7" t="n"/>
      <ns0:c r="E836" s="7" t="n"/>
      <ns0:c r="F836" s="8" t="str">
        <ns0:f>IF(OR(B836="",J836&lt;&gt;"販売済み",E836="",C836=""),"",IFERROR(IF(OR(COUNTIF('手数料マスタ'!$A$5:$A$104,C836)&lt;&gt;1,COUNTIFS('手数料マスタ'!$A$5:$A$104,C836,'手数料マスタ'!$B$5:$B$104,"&lt;&gt;")&lt;&gt;1,NOT(ISNUMBER(VLOOKUP(C836,'手数料マスタ'!$A$5:$B$104,2,FALSE))),VLOOKUP(C836,'手数料マスタ'!$A$5:$B$104,2,FALSE)&lt;0,VLOOKUP(C836,'手数料マスタ'!$A$5:$B$104,2,FALSE)&gt;1),"要確認",ROUND(E836*VLOOKUP(C836,'手数料マスタ'!$A$5:$B$104,2,FALSE),0)),"要確認"))</ns0:f>
        <ns0:v/>
      </ns0:c>
      <ns0:c r="G836" s="7" t="n"/>
      <ns0:c r="H836" s="7" t="n"/>
      <ns0:c r="I836" s="8" t="str">
        <ns0:f>IF(OR(B836="",J836&lt;&gt;"販売済み",D836="",E836="",G836="",H836=""),"",IF(ISNUMBER(F836),E836-D836-F836-G836-H836,"要確認"))</ns0:f>
        <ns0:v/>
      </ns0:c>
      <ns0:c r="J836" s="6" t="n"/>
      <ns0:c r="K836" s="5" t="n"/>
      <ns0:c r="L836" s="9" t="str">
        <ns0:f>IF(AND(B836&lt;&gt;"",J836="在庫"),COUNTIFS($J$5:J836,"在庫",$B$5:B836,"&lt;&gt;"),"")</ns0:f>
        <ns0:v/>
      </ns0:c>
    </ns0:row>
    <ns0:row r="837">
      <ns0:c r="A837" s="5" t="n"/>
      <ns0:c r="B837" s="6" t="n"/>
      <ns0:c r="C837" s="6" t="n"/>
      <ns0:c r="D837" s="7" t="n"/>
      <ns0:c r="E837" s="7" t="n"/>
      <ns0:c r="F837" s="8" t="str">
        <ns0:f>IF(OR(B837="",J837&lt;&gt;"販売済み",E837="",C837=""),"",IFERROR(IF(OR(COUNTIF('手数料マスタ'!$A$5:$A$104,C837)&lt;&gt;1,COUNTIFS('手数料マスタ'!$A$5:$A$104,C837,'手数料マスタ'!$B$5:$B$104,"&lt;&gt;")&lt;&gt;1,NOT(ISNUMBER(VLOOKUP(C837,'手数料マスタ'!$A$5:$B$104,2,FALSE))),VLOOKUP(C837,'手数料マスタ'!$A$5:$B$104,2,FALSE)&lt;0,VLOOKUP(C837,'手数料マスタ'!$A$5:$B$104,2,FALSE)&gt;1),"要確認",ROUND(E837*VLOOKUP(C837,'手数料マスタ'!$A$5:$B$104,2,FALSE),0)),"要確認"))</ns0:f>
        <ns0:v/>
      </ns0:c>
      <ns0:c r="G837" s="7" t="n"/>
      <ns0:c r="H837" s="7" t="n"/>
      <ns0:c r="I837" s="8" t="str">
        <ns0:f>IF(OR(B837="",J837&lt;&gt;"販売済み",D837="",E837="",G837="",H837=""),"",IF(ISNUMBER(F837),E837-D837-F837-G837-H837,"要確認"))</ns0:f>
        <ns0:v/>
      </ns0:c>
      <ns0:c r="J837" s="6" t="n"/>
      <ns0:c r="K837" s="5" t="n"/>
      <ns0:c r="L837" s="9" t="str">
        <ns0:f>IF(AND(B837&lt;&gt;"",J837="在庫"),COUNTIFS($J$5:J837,"在庫",$B$5:B837,"&lt;&gt;"),"")</ns0:f>
        <ns0:v/>
      </ns0:c>
    </ns0:row>
    <ns0:row r="838">
      <ns0:c r="A838" s="5" t="n"/>
      <ns0:c r="B838" s="6" t="n"/>
      <ns0:c r="C838" s="6" t="n"/>
      <ns0:c r="D838" s="7" t="n"/>
      <ns0:c r="E838" s="7" t="n"/>
      <ns0:c r="F838" s="8" t="str">
        <ns0:f>IF(OR(B838="",J838&lt;&gt;"販売済み",E838="",C838=""),"",IFERROR(IF(OR(COUNTIF('手数料マスタ'!$A$5:$A$104,C838)&lt;&gt;1,COUNTIFS('手数料マスタ'!$A$5:$A$104,C838,'手数料マスタ'!$B$5:$B$104,"&lt;&gt;")&lt;&gt;1,NOT(ISNUMBER(VLOOKUP(C838,'手数料マスタ'!$A$5:$B$104,2,FALSE))),VLOOKUP(C838,'手数料マスタ'!$A$5:$B$104,2,FALSE)&lt;0,VLOOKUP(C838,'手数料マスタ'!$A$5:$B$104,2,FALSE)&gt;1),"要確認",ROUND(E838*VLOOKUP(C838,'手数料マスタ'!$A$5:$B$104,2,FALSE),0)),"要確認"))</ns0:f>
        <ns0:v/>
      </ns0:c>
      <ns0:c r="G838" s="7" t="n"/>
      <ns0:c r="H838" s="7" t="n"/>
      <ns0:c r="I838" s="8" t="str">
        <ns0:f>IF(OR(B838="",J838&lt;&gt;"販売済み",D838="",E838="",G838="",H838=""),"",IF(ISNUMBER(F838),E838-D838-F838-G838-H838,"要確認"))</ns0:f>
        <ns0:v/>
      </ns0:c>
      <ns0:c r="J838" s="6" t="n"/>
      <ns0:c r="K838" s="5" t="n"/>
      <ns0:c r="L838" s="9" t="str">
        <ns0:f>IF(AND(B838&lt;&gt;"",J838="在庫"),COUNTIFS($J$5:J838,"在庫",$B$5:B838,"&lt;&gt;"),"")</ns0:f>
        <ns0:v/>
      </ns0:c>
    </ns0:row>
    <ns0:row r="839">
      <ns0:c r="A839" s="5" t="n"/>
      <ns0:c r="B839" s="6" t="n"/>
      <ns0:c r="C839" s="6" t="n"/>
      <ns0:c r="D839" s="7" t="n"/>
      <ns0:c r="E839" s="7" t="n"/>
      <ns0:c r="F839" s="8" t="str">
        <ns0:f>IF(OR(B839="",J839&lt;&gt;"販売済み",E839="",C839=""),"",IFERROR(IF(OR(COUNTIF('手数料マスタ'!$A$5:$A$104,C839)&lt;&gt;1,COUNTIFS('手数料マスタ'!$A$5:$A$104,C839,'手数料マスタ'!$B$5:$B$104,"&lt;&gt;")&lt;&gt;1,NOT(ISNUMBER(VLOOKUP(C839,'手数料マスタ'!$A$5:$B$104,2,FALSE))),VLOOKUP(C839,'手数料マスタ'!$A$5:$B$104,2,FALSE)&lt;0,VLOOKUP(C839,'手数料マスタ'!$A$5:$B$104,2,FALSE)&gt;1),"要確認",ROUND(E839*VLOOKUP(C839,'手数料マスタ'!$A$5:$B$104,2,FALSE),0)),"要確認"))</ns0:f>
        <ns0:v/>
      </ns0:c>
      <ns0:c r="G839" s="7" t="n"/>
      <ns0:c r="H839" s="7" t="n"/>
      <ns0:c r="I839" s="8" t="str">
        <ns0:f>IF(OR(B839="",J839&lt;&gt;"販売済み",D839="",E839="",G839="",H839=""),"",IF(ISNUMBER(F839),E839-D839-F839-G839-H839,"要確認"))</ns0:f>
        <ns0:v/>
      </ns0:c>
      <ns0:c r="J839" s="6" t="n"/>
      <ns0:c r="K839" s="5" t="n"/>
      <ns0:c r="L839" s="9" t="str">
        <ns0:f>IF(AND(B839&lt;&gt;"",J839="在庫"),COUNTIFS($J$5:J839,"在庫",$B$5:B839,"&lt;&gt;"),"")</ns0:f>
        <ns0:v/>
      </ns0:c>
    </ns0:row>
    <ns0:row r="840">
      <ns0:c r="A840" s="5" t="n"/>
      <ns0:c r="B840" s="6" t="n"/>
      <ns0:c r="C840" s="6" t="n"/>
      <ns0:c r="D840" s="7" t="n"/>
      <ns0:c r="E840" s="7" t="n"/>
      <ns0:c r="F840" s="8" t="str">
        <ns0:f>IF(OR(B840="",J840&lt;&gt;"販売済み",E840="",C840=""),"",IFERROR(IF(OR(COUNTIF('手数料マスタ'!$A$5:$A$104,C840)&lt;&gt;1,COUNTIFS('手数料マスタ'!$A$5:$A$104,C840,'手数料マスタ'!$B$5:$B$104,"&lt;&gt;")&lt;&gt;1,NOT(ISNUMBER(VLOOKUP(C840,'手数料マスタ'!$A$5:$B$104,2,FALSE))),VLOOKUP(C840,'手数料マスタ'!$A$5:$B$104,2,FALSE)&lt;0,VLOOKUP(C840,'手数料マスタ'!$A$5:$B$104,2,FALSE)&gt;1),"要確認",ROUND(E840*VLOOKUP(C840,'手数料マスタ'!$A$5:$B$104,2,FALSE),0)),"要確認"))</ns0:f>
        <ns0:v/>
      </ns0:c>
      <ns0:c r="G840" s="7" t="n"/>
      <ns0:c r="H840" s="7" t="n"/>
      <ns0:c r="I840" s="8" t="str">
        <ns0:f>IF(OR(B840="",J840&lt;&gt;"販売済み",D840="",E840="",G840="",H840=""),"",IF(ISNUMBER(F840),E840-D840-F840-G840-H840,"要確認"))</ns0:f>
        <ns0:v/>
      </ns0:c>
      <ns0:c r="J840" s="6" t="n"/>
      <ns0:c r="K840" s="5" t="n"/>
      <ns0:c r="L840" s="9" t="str">
        <ns0:f>IF(AND(B840&lt;&gt;"",J840="在庫"),COUNTIFS($J$5:J840,"在庫",$B$5:B840,"&lt;&gt;"),"")</ns0:f>
        <ns0:v/>
      </ns0:c>
    </ns0:row>
    <ns0:row r="841">
      <ns0:c r="A841" s="5" t="n"/>
      <ns0:c r="B841" s="6" t="n"/>
      <ns0:c r="C841" s="6" t="n"/>
      <ns0:c r="D841" s="7" t="n"/>
      <ns0:c r="E841" s="7" t="n"/>
      <ns0:c r="F841" s="8" t="str">
        <ns0:f>IF(OR(B841="",J841&lt;&gt;"販売済み",E841="",C841=""),"",IFERROR(IF(OR(COUNTIF('手数料マスタ'!$A$5:$A$104,C841)&lt;&gt;1,COUNTIFS('手数料マスタ'!$A$5:$A$104,C841,'手数料マスタ'!$B$5:$B$104,"&lt;&gt;")&lt;&gt;1,NOT(ISNUMBER(VLOOKUP(C841,'手数料マスタ'!$A$5:$B$104,2,FALSE))),VLOOKUP(C841,'手数料マスタ'!$A$5:$B$104,2,FALSE)&lt;0,VLOOKUP(C841,'手数料マスタ'!$A$5:$B$104,2,FALSE)&gt;1),"要確認",ROUND(E841*VLOOKUP(C841,'手数料マスタ'!$A$5:$B$104,2,FALSE),0)),"要確認"))</ns0:f>
        <ns0:v/>
      </ns0:c>
      <ns0:c r="G841" s="7" t="n"/>
      <ns0:c r="H841" s="7" t="n"/>
      <ns0:c r="I841" s="8" t="str">
        <ns0:f>IF(OR(B841="",J841&lt;&gt;"販売済み",D841="",E841="",G841="",H841=""),"",IF(ISNUMBER(F841),E841-D841-F841-G841-H841,"要確認"))</ns0:f>
        <ns0:v/>
      </ns0:c>
      <ns0:c r="J841" s="6" t="n"/>
      <ns0:c r="K841" s="5" t="n"/>
      <ns0:c r="L841" s="9" t="str">
        <ns0:f>IF(AND(B841&lt;&gt;"",J841="在庫"),COUNTIFS($J$5:J841,"在庫",$B$5:B841,"&lt;&gt;"),"")</ns0:f>
        <ns0:v/>
      </ns0:c>
    </ns0:row>
    <ns0:row r="842">
      <ns0:c r="A842" s="5" t="n"/>
      <ns0:c r="B842" s="6" t="n"/>
      <ns0:c r="C842" s="6" t="n"/>
      <ns0:c r="D842" s="7" t="n"/>
      <ns0:c r="E842" s="7" t="n"/>
      <ns0:c r="F842" s="8" t="str">
        <ns0:f>IF(OR(B842="",J842&lt;&gt;"販売済み",E842="",C842=""),"",IFERROR(IF(OR(COUNTIF('手数料マスタ'!$A$5:$A$104,C842)&lt;&gt;1,COUNTIFS('手数料マスタ'!$A$5:$A$104,C842,'手数料マスタ'!$B$5:$B$104,"&lt;&gt;")&lt;&gt;1,NOT(ISNUMBER(VLOOKUP(C842,'手数料マスタ'!$A$5:$B$104,2,FALSE))),VLOOKUP(C842,'手数料マスタ'!$A$5:$B$104,2,FALSE)&lt;0,VLOOKUP(C842,'手数料マスタ'!$A$5:$B$104,2,FALSE)&gt;1),"要確認",ROUND(E842*VLOOKUP(C842,'手数料マスタ'!$A$5:$B$104,2,FALSE),0)),"要確認"))</ns0:f>
        <ns0:v/>
      </ns0:c>
      <ns0:c r="G842" s="7" t="n"/>
      <ns0:c r="H842" s="7" t="n"/>
      <ns0:c r="I842" s="8" t="str">
        <ns0:f>IF(OR(B842="",J842&lt;&gt;"販売済み",D842="",E842="",G842="",H842=""),"",IF(ISNUMBER(F842),E842-D842-F842-G842-H842,"要確認"))</ns0:f>
        <ns0:v/>
      </ns0:c>
      <ns0:c r="J842" s="6" t="n"/>
      <ns0:c r="K842" s="5" t="n"/>
      <ns0:c r="L842" s="9" t="str">
        <ns0:f>IF(AND(B842&lt;&gt;"",J842="在庫"),COUNTIFS($J$5:J842,"在庫",$B$5:B842,"&lt;&gt;"),"")</ns0:f>
        <ns0:v/>
      </ns0:c>
    </ns0:row>
    <ns0:row r="843">
      <ns0:c r="A843" s="5" t="n"/>
      <ns0:c r="B843" s="6" t="n"/>
      <ns0:c r="C843" s="6" t="n"/>
      <ns0:c r="D843" s="7" t="n"/>
      <ns0:c r="E843" s="7" t="n"/>
      <ns0:c r="F843" s="8" t="str">
        <ns0:f>IF(OR(B843="",J843&lt;&gt;"販売済み",E843="",C843=""),"",IFERROR(IF(OR(COUNTIF('手数料マスタ'!$A$5:$A$104,C843)&lt;&gt;1,COUNTIFS('手数料マスタ'!$A$5:$A$104,C843,'手数料マスタ'!$B$5:$B$104,"&lt;&gt;")&lt;&gt;1,NOT(ISNUMBER(VLOOKUP(C843,'手数料マスタ'!$A$5:$B$104,2,FALSE))),VLOOKUP(C843,'手数料マスタ'!$A$5:$B$104,2,FALSE)&lt;0,VLOOKUP(C843,'手数料マスタ'!$A$5:$B$104,2,FALSE)&gt;1),"要確認",ROUND(E843*VLOOKUP(C843,'手数料マスタ'!$A$5:$B$104,2,FALSE),0)),"要確認"))</ns0:f>
        <ns0:v/>
      </ns0:c>
      <ns0:c r="G843" s="7" t="n"/>
      <ns0:c r="H843" s="7" t="n"/>
      <ns0:c r="I843" s="8" t="str">
        <ns0:f>IF(OR(B843="",J843&lt;&gt;"販売済み",D843="",E843="",G843="",H843=""),"",IF(ISNUMBER(F843),E843-D843-F843-G843-H843,"要確認"))</ns0:f>
        <ns0:v/>
      </ns0:c>
      <ns0:c r="J843" s="6" t="n"/>
      <ns0:c r="K843" s="5" t="n"/>
      <ns0:c r="L843" s="9" t="str">
        <ns0:f>IF(AND(B843&lt;&gt;"",J843="在庫"),COUNTIFS($J$5:J843,"在庫",$B$5:B843,"&lt;&gt;"),"")</ns0:f>
        <ns0:v/>
      </ns0:c>
    </ns0:row>
    <ns0:row r="844">
      <ns0:c r="A844" s="5" t="n"/>
      <ns0:c r="B844" s="6" t="n"/>
      <ns0:c r="C844" s="6" t="n"/>
      <ns0:c r="D844" s="7" t="n"/>
      <ns0:c r="E844" s="7" t="n"/>
      <ns0:c r="F844" s="8" t="str">
        <ns0:f>IF(OR(B844="",J844&lt;&gt;"販売済み",E844="",C844=""),"",IFERROR(IF(OR(COUNTIF('手数料マスタ'!$A$5:$A$104,C844)&lt;&gt;1,COUNTIFS('手数料マスタ'!$A$5:$A$104,C844,'手数料マスタ'!$B$5:$B$104,"&lt;&gt;")&lt;&gt;1,NOT(ISNUMBER(VLOOKUP(C844,'手数料マスタ'!$A$5:$B$104,2,FALSE))),VLOOKUP(C844,'手数料マスタ'!$A$5:$B$104,2,FALSE)&lt;0,VLOOKUP(C844,'手数料マスタ'!$A$5:$B$104,2,FALSE)&gt;1),"要確認",ROUND(E844*VLOOKUP(C844,'手数料マスタ'!$A$5:$B$104,2,FALSE),0)),"要確認"))</ns0:f>
        <ns0:v/>
      </ns0:c>
      <ns0:c r="G844" s="7" t="n"/>
      <ns0:c r="H844" s="7" t="n"/>
      <ns0:c r="I844" s="8" t="str">
        <ns0:f>IF(OR(B844="",J844&lt;&gt;"販売済み",D844="",E844="",G844="",H844=""),"",IF(ISNUMBER(F844),E844-D844-F844-G844-H844,"要確認"))</ns0:f>
        <ns0:v/>
      </ns0:c>
      <ns0:c r="J844" s="6" t="n"/>
      <ns0:c r="K844" s="5" t="n"/>
      <ns0:c r="L844" s="9" t="str">
        <ns0:f>IF(AND(B844&lt;&gt;"",J844="在庫"),COUNTIFS($J$5:J844,"在庫",$B$5:B844,"&lt;&gt;"),"")</ns0:f>
        <ns0:v/>
      </ns0:c>
    </ns0:row>
    <ns0:row r="845">
      <ns0:c r="A845" s="5" t="n"/>
      <ns0:c r="B845" s="6" t="n"/>
      <ns0:c r="C845" s="6" t="n"/>
      <ns0:c r="D845" s="7" t="n"/>
      <ns0:c r="E845" s="7" t="n"/>
      <ns0:c r="F845" s="8" t="str">
        <ns0:f>IF(OR(B845="",J845&lt;&gt;"販売済み",E845="",C845=""),"",IFERROR(IF(OR(COUNTIF('手数料マスタ'!$A$5:$A$104,C845)&lt;&gt;1,COUNTIFS('手数料マスタ'!$A$5:$A$104,C845,'手数料マスタ'!$B$5:$B$104,"&lt;&gt;")&lt;&gt;1,NOT(ISNUMBER(VLOOKUP(C845,'手数料マスタ'!$A$5:$B$104,2,FALSE))),VLOOKUP(C845,'手数料マスタ'!$A$5:$B$104,2,FALSE)&lt;0,VLOOKUP(C845,'手数料マスタ'!$A$5:$B$104,2,FALSE)&gt;1),"要確認",ROUND(E845*VLOOKUP(C845,'手数料マスタ'!$A$5:$B$104,2,FALSE),0)),"要確認"))</ns0:f>
        <ns0:v/>
      </ns0:c>
      <ns0:c r="G845" s="7" t="n"/>
      <ns0:c r="H845" s="7" t="n"/>
      <ns0:c r="I845" s="8" t="str">
        <ns0:f>IF(OR(B845="",J845&lt;&gt;"販売済み",D845="",E845="",G845="",H845=""),"",IF(ISNUMBER(F845),E845-D845-F845-G845-H845,"要確認"))</ns0:f>
        <ns0:v/>
      </ns0:c>
      <ns0:c r="J845" s="6" t="n"/>
      <ns0:c r="K845" s="5" t="n"/>
      <ns0:c r="L845" s="9" t="str">
        <ns0:f>IF(AND(B845&lt;&gt;"",J845="在庫"),COUNTIFS($J$5:J845,"在庫",$B$5:B845,"&lt;&gt;"),"")</ns0:f>
        <ns0:v/>
      </ns0:c>
    </ns0:row>
    <ns0:row r="846">
      <ns0:c r="A846" s="5" t="n"/>
      <ns0:c r="B846" s="6" t="n"/>
      <ns0:c r="C846" s="6" t="n"/>
      <ns0:c r="D846" s="7" t="n"/>
      <ns0:c r="E846" s="7" t="n"/>
      <ns0:c r="F846" s="8" t="str">
        <ns0:f>IF(OR(B846="",J846&lt;&gt;"販売済み",E846="",C846=""),"",IFERROR(IF(OR(COUNTIF('手数料マスタ'!$A$5:$A$104,C846)&lt;&gt;1,COUNTIFS('手数料マスタ'!$A$5:$A$104,C846,'手数料マスタ'!$B$5:$B$104,"&lt;&gt;")&lt;&gt;1,NOT(ISNUMBER(VLOOKUP(C846,'手数料マスタ'!$A$5:$B$104,2,FALSE))),VLOOKUP(C846,'手数料マスタ'!$A$5:$B$104,2,FALSE)&lt;0,VLOOKUP(C846,'手数料マスタ'!$A$5:$B$104,2,FALSE)&gt;1),"要確認",ROUND(E846*VLOOKUP(C846,'手数料マスタ'!$A$5:$B$104,2,FALSE),0)),"要確認"))</ns0:f>
        <ns0:v/>
      </ns0:c>
      <ns0:c r="G846" s="7" t="n"/>
      <ns0:c r="H846" s="7" t="n"/>
      <ns0:c r="I846" s="8" t="str">
        <ns0:f>IF(OR(B846="",J846&lt;&gt;"販売済み",D846="",E846="",G846="",H846=""),"",IF(ISNUMBER(F846),E846-D846-F846-G846-H846,"要確認"))</ns0:f>
        <ns0:v/>
      </ns0:c>
      <ns0:c r="J846" s="6" t="n"/>
      <ns0:c r="K846" s="5" t="n"/>
      <ns0:c r="L846" s="9" t="str">
        <ns0:f>IF(AND(B846&lt;&gt;"",J846="在庫"),COUNTIFS($J$5:J846,"在庫",$B$5:B846,"&lt;&gt;"),"")</ns0:f>
        <ns0:v/>
      </ns0:c>
    </ns0:row>
    <ns0:row r="847">
      <ns0:c r="A847" s="5" t="n"/>
      <ns0:c r="B847" s="6" t="n"/>
      <ns0:c r="C847" s="6" t="n"/>
      <ns0:c r="D847" s="7" t="n"/>
      <ns0:c r="E847" s="7" t="n"/>
      <ns0:c r="F847" s="8" t="str">
        <ns0:f>IF(OR(B847="",J847&lt;&gt;"販売済み",E847="",C847=""),"",IFERROR(IF(OR(COUNTIF('手数料マスタ'!$A$5:$A$104,C847)&lt;&gt;1,COUNTIFS('手数料マスタ'!$A$5:$A$104,C847,'手数料マスタ'!$B$5:$B$104,"&lt;&gt;")&lt;&gt;1,NOT(ISNUMBER(VLOOKUP(C847,'手数料マスタ'!$A$5:$B$104,2,FALSE))),VLOOKUP(C847,'手数料マスタ'!$A$5:$B$104,2,FALSE)&lt;0,VLOOKUP(C847,'手数料マスタ'!$A$5:$B$104,2,FALSE)&gt;1),"要確認",ROUND(E847*VLOOKUP(C847,'手数料マスタ'!$A$5:$B$104,2,FALSE),0)),"要確認"))</ns0:f>
        <ns0:v/>
      </ns0:c>
      <ns0:c r="G847" s="7" t="n"/>
      <ns0:c r="H847" s="7" t="n"/>
      <ns0:c r="I847" s="8" t="str">
        <ns0:f>IF(OR(B847="",J847&lt;&gt;"販売済み",D847="",E847="",G847="",H847=""),"",IF(ISNUMBER(F847),E847-D847-F847-G847-H847,"要確認"))</ns0:f>
        <ns0:v/>
      </ns0:c>
      <ns0:c r="J847" s="6" t="n"/>
      <ns0:c r="K847" s="5" t="n"/>
      <ns0:c r="L847" s="9" t="str">
        <ns0:f>IF(AND(B847&lt;&gt;"",J847="在庫"),COUNTIFS($J$5:J847,"在庫",$B$5:B847,"&lt;&gt;"),"")</ns0:f>
        <ns0:v/>
      </ns0:c>
    </ns0:row>
    <ns0:row r="848">
      <ns0:c r="A848" s="5" t="n"/>
      <ns0:c r="B848" s="6" t="n"/>
      <ns0:c r="C848" s="6" t="n"/>
      <ns0:c r="D848" s="7" t="n"/>
      <ns0:c r="E848" s="7" t="n"/>
      <ns0:c r="F848" s="8" t="str">
        <ns0:f>IF(OR(B848="",J848&lt;&gt;"販売済み",E848="",C848=""),"",IFERROR(IF(OR(COUNTIF('手数料マスタ'!$A$5:$A$104,C848)&lt;&gt;1,COUNTIFS('手数料マスタ'!$A$5:$A$104,C848,'手数料マスタ'!$B$5:$B$104,"&lt;&gt;")&lt;&gt;1,NOT(ISNUMBER(VLOOKUP(C848,'手数料マスタ'!$A$5:$B$104,2,FALSE))),VLOOKUP(C848,'手数料マスタ'!$A$5:$B$104,2,FALSE)&lt;0,VLOOKUP(C848,'手数料マスタ'!$A$5:$B$104,2,FALSE)&gt;1),"要確認",ROUND(E848*VLOOKUP(C848,'手数料マスタ'!$A$5:$B$104,2,FALSE),0)),"要確認"))</ns0:f>
        <ns0:v/>
      </ns0:c>
      <ns0:c r="G848" s="7" t="n"/>
      <ns0:c r="H848" s="7" t="n"/>
      <ns0:c r="I848" s="8" t="str">
        <ns0:f>IF(OR(B848="",J848&lt;&gt;"販売済み",D848="",E848="",G848="",H848=""),"",IF(ISNUMBER(F848),E848-D848-F848-G848-H848,"要確認"))</ns0:f>
        <ns0:v/>
      </ns0:c>
      <ns0:c r="J848" s="6" t="n"/>
      <ns0:c r="K848" s="5" t="n"/>
      <ns0:c r="L848" s="9" t="str">
        <ns0:f>IF(AND(B848&lt;&gt;"",J848="在庫"),COUNTIFS($J$5:J848,"在庫",$B$5:B848,"&lt;&gt;"),"")</ns0:f>
        <ns0:v/>
      </ns0:c>
    </ns0:row>
    <ns0:row r="849">
      <ns0:c r="A849" s="5" t="n"/>
      <ns0:c r="B849" s="6" t="n"/>
      <ns0:c r="C849" s="6" t="n"/>
      <ns0:c r="D849" s="7" t="n"/>
      <ns0:c r="E849" s="7" t="n"/>
      <ns0:c r="F849" s="8" t="str">
        <ns0:f>IF(OR(B849="",J849&lt;&gt;"販売済み",E849="",C849=""),"",IFERROR(IF(OR(COUNTIF('手数料マスタ'!$A$5:$A$104,C849)&lt;&gt;1,COUNTIFS('手数料マスタ'!$A$5:$A$104,C849,'手数料マスタ'!$B$5:$B$104,"&lt;&gt;")&lt;&gt;1,NOT(ISNUMBER(VLOOKUP(C849,'手数料マスタ'!$A$5:$B$104,2,FALSE))),VLOOKUP(C849,'手数料マスタ'!$A$5:$B$104,2,FALSE)&lt;0,VLOOKUP(C849,'手数料マスタ'!$A$5:$B$104,2,FALSE)&gt;1),"要確認",ROUND(E849*VLOOKUP(C849,'手数料マスタ'!$A$5:$B$104,2,FALSE),0)),"要確認"))</ns0:f>
        <ns0:v/>
      </ns0:c>
      <ns0:c r="G849" s="7" t="n"/>
      <ns0:c r="H849" s="7" t="n"/>
      <ns0:c r="I849" s="8" t="str">
        <ns0:f>IF(OR(B849="",J849&lt;&gt;"販売済み",D849="",E849="",G849="",H849=""),"",IF(ISNUMBER(F849),E849-D849-F849-G849-H849,"要確認"))</ns0:f>
        <ns0:v/>
      </ns0:c>
      <ns0:c r="J849" s="6" t="n"/>
      <ns0:c r="K849" s="5" t="n"/>
      <ns0:c r="L849" s="9" t="str">
        <ns0:f>IF(AND(B849&lt;&gt;"",J849="在庫"),COUNTIFS($J$5:J849,"在庫",$B$5:B849,"&lt;&gt;"),"")</ns0:f>
        <ns0:v/>
      </ns0:c>
    </ns0:row>
    <ns0:row r="850">
      <ns0:c r="A850" s="5" t="n"/>
      <ns0:c r="B850" s="6" t="n"/>
      <ns0:c r="C850" s="6" t="n"/>
      <ns0:c r="D850" s="7" t="n"/>
      <ns0:c r="E850" s="7" t="n"/>
      <ns0:c r="F850" s="8" t="str">
        <ns0:f>IF(OR(B850="",J850&lt;&gt;"販売済み",E850="",C850=""),"",IFERROR(IF(OR(COUNTIF('手数料マスタ'!$A$5:$A$104,C850)&lt;&gt;1,COUNTIFS('手数料マスタ'!$A$5:$A$104,C850,'手数料マスタ'!$B$5:$B$104,"&lt;&gt;")&lt;&gt;1,NOT(ISNUMBER(VLOOKUP(C850,'手数料マスタ'!$A$5:$B$104,2,FALSE))),VLOOKUP(C850,'手数料マスタ'!$A$5:$B$104,2,FALSE)&lt;0,VLOOKUP(C850,'手数料マスタ'!$A$5:$B$104,2,FALSE)&gt;1),"要確認",ROUND(E850*VLOOKUP(C850,'手数料マスタ'!$A$5:$B$104,2,FALSE),0)),"要確認"))</ns0:f>
        <ns0:v/>
      </ns0:c>
      <ns0:c r="G850" s="7" t="n"/>
      <ns0:c r="H850" s="7" t="n"/>
      <ns0:c r="I850" s="8" t="str">
        <ns0:f>IF(OR(B850="",J850&lt;&gt;"販売済み",D850="",E850="",G850="",H850=""),"",IF(ISNUMBER(F850),E850-D850-F850-G850-H850,"要確認"))</ns0:f>
        <ns0:v/>
      </ns0:c>
      <ns0:c r="J850" s="6" t="n"/>
      <ns0:c r="K850" s="5" t="n"/>
      <ns0:c r="L850" s="9" t="str">
        <ns0:f>IF(AND(B850&lt;&gt;"",J850="在庫"),COUNTIFS($J$5:J850,"在庫",$B$5:B850,"&lt;&gt;"),"")</ns0:f>
        <ns0:v/>
      </ns0:c>
    </ns0:row>
    <ns0:row r="851">
      <ns0:c r="A851" s="5" t="n"/>
      <ns0:c r="B851" s="6" t="n"/>
      <ns0:c r="C851" s="6" t="n"/>
      <ns0:c r="D851" s="7" t="n"/>
      <ns0:c r="E851" s="7" t="n"/>
      <ns0:c r="F851" s="8" t="str">
        <ns0:f>IF(OR(B851="",J851&lt;&gt;"販売済み",E851="",C851=""),"",IFERROR(IF(OR(COUNTIF('手数料マスタ'!$A$5:$A$104,C851)&lt;&gt;1,COUNTIFS('手数料マスタ'!$A$5:$A$104,C851,'手数料マスタ'!$B$5:$B$104,"&lt;&gt;")&lt;&gt;1,NOT(ISNUMBER(VLOOKUP(C851,'手数料マスタ'!$A$5:$B$104,2,FALSE))),VLOOKUP(C851,'手数料マスタ'!$A$5:$B$104,2,FALSE)&lt;0,VLOOKUP(C851,'手数料マスタ'!$A$5:$B$104,2,FALSE)&gt;1),"要確認",ROUND(E851*VLOOKUP(C851,'手数料マスタ'!$A$5:$B$104,2,FALSE),0)),"要確認"))</ns0:f>
        <ns0:v/>
      </ns0:c>
      <ns0:c r="G851" s="7" t="n"/>
      <ns0:c r="H851" s="7" t="n"/>
      <ns0:c r="I851" s="8" t="str">
        <ns0:f>IF(OR(B851="",J851&lt;&gt;"販売済み",D851="",E851="",G851="",H851=""),"",IF(ISNUMBER(F851),E851-D851-F851-G851-H851,"要確認"))</ns0:f>
        <ns0:v/>
      </ns0:c>
      <ns0:c r="J851" s="6" t="n"/>
      <ns0:c r="K851" s="5" t="n"/>
      <ns0:c r="L851" s="9" t="str">
        <ns0:f>IF(AND(B851&lt;&gt;"",J851="在庫"),COUNTIFS($J$5:J851,"在庫",$B$5:B851,"&lt;&gt;"),"")</ns0:f>
        <ns0:v/>
      </ns0:c>
    </ns0:row>
    <ns0:row r="852">
      <ns0:c r="A852" s="5" t="n"/>
      <ns0:c r="B852" s="6" t="n"/>
      <ns0:c r="C852" s="6" t="n"/>
      <ns0:c r="D852" s="7" t="n"/>
      <ns0:c r="E852" s="7" t="n"/>
      <ns0:c r="F852" s="8" t="str">
        <ns0:f>IF(OR(B852="",J852&lt;&gt;"販売済み",E852="",C852=""),"",IFERROR(IF(OR(COUNTIF('手数料マスタ'!$A$5:$A$104,C852)&lt;&gt;1,COUNTIFS('手数料マスタ'!$A$5:$A$104,C852,'手数料マスタ'!$B$5:$B$104,"&lt;&gt;")&lt;&gt;1,NOT(ISNUMBER(VLOOKUP(C852,'手数料マスタ'!$A$5:$B$104,2,FALSE))),VLOOKUP(C852,'手数料マスタ'!$A$5:$B$104,2,FALSE)&lt;0,VLOOKUP(C852,'手数料マスタ'!$A$5:$B$104,2,FALSE)&gt;1),"要確認",ROUND(E852*VLOOKUP(C852,'手数料マスタ'!$A$5:$B$104,2,FALSE),0)),"要確認"))</ns0:f>
        <ns0:v/>
      </ns0:c>
      <ns0:c r="G852" s="7" t="n"/>
      <ns0:c r="H852" s="7" t="n"/>
      <ns0:c r="I852" s="8" t="str">
        <ns0:f>IF(OR(B852="",J852&lt;&gt;"販売済み",D852="",E852="",G852="",H852=""),"",IF(ISNUMBER(F852),E852-D852-F852-G852-H852,"要確認"))</ns0:f>
        <ns0:v/>
      </ns0:c>
      <ns0:c r="J852" s="6" t="n"/>
      <ns0:c r="K852" s="5" t="n"/>
      <ns0:c r="L852" s="9" t="str">
        <ns0:f>IF(AND(B852&lt;&gt;"",J852="在庫"),COUNTIFS($J$5:J852,"在庫",$B$5:B852,"&lt;&gt;"),"")</ns0:f>
        <ns0:v/>
      </ns0:c>
    </ns0:row>
    <ns0:row r="853">
      <ns0:c r="A853" s="5" t="n"/>
      <ns0:c r="B853" s="6" t="n"/>
      <ns0:c r="C853" s="6" t="n"/>
      <ns0:c r="D853" s="7" t="n"/>
      <ns0:c r="E853" s="7" t="n"/>
      <ns0:c r="F853" s="8" t="str">
        <ns0:f>IF(OR(B853="",J853&lt;&gt;"販売済み",E853="",C853=""),"",IFERROR(IF(OR(COUNTIF('手数料マスタ'!$A$5:$A$104,C853)&lt;&gt;1,COUNTIFS('手数料マスタ'!$A$5:$A$104,C853,'手数料マスタ'!$B$5:$B$104,"&lt;&gt;")&lt;&gt;1,NOT(ISNUMBER(VLOOKUP(C853,'手数料マスタ'!$A$5:$B$104,2,FALSE))),VLOOKUP(C853,'手数料マスタ'!$A$5:$B$104,2,FALSE)&lt;0,VLOOKUP(C853,'手数料マスタ'!$A$5:$B$104,2,FALSE)&gt;1),"要確認",ROUND(E853*VLOOKUP(C853,'手数料マスタ'!$A$5:$B$104,2,FALSE),0)),"要確認"))</ns0:f>
        <ns0:v/>
      </ns0:c>
      <ns0:c r="G853" s="7" t="n"/>
      <ns0:c r="H853" s="7" t="n"/>
      <ns0:c r="I853" s="8" t="str">
        <ns0:f>IF(OR(B853="",J853&lt;&gt;"販売済み",D853="",E853="",G853="",H853=""),"",IF(ISNUMBER(F853),E853-D853-F853-G853-H853,"要確認"))</ns0:f>
        <ns0:v/>
      </ns0:c>
      <ns0:c r="J853" s="6" t="n"/>
      <ns0:c r="K853" s="5" t="n"/>
      <ns0:c r="L853" s="9" t="str">
        <ns0:f>IF(AND(B853&lt;&gt;"",J853="在庫"),COUNTIFS($J$5:J853,"在庫",$B$5:B853,"&lt;&gt;"),"")</ns0:f>
        <ns0:v/>
      </ns0:c>
    </ns0:row>
    <ns0:row r="854">
      <ns0:c r="A854" s="5" t="n"/>
      <ns0:c r="B854" s="6" t="n"/>
      <ns0:c r="C854" s="6" t="n"/>
      <ns0:c r="D854" s="7" t="n"/>
      <ns0:c r="E854" s="7" t="n"/>
      <ns0:c r="F854" s="8" t="str">
        <ns0:f>IF(OR(B854="",J854&lt;&gt;"販売済み",E854="",C854=""),"",IFERROR(IF(OR(COUNTIF('手数料マスタ'!$A$5:$A$104,C854)&lt;&gt;1,COUNTIFS('手数料マスタ'!$A$5:$A$104,C854,'手数料マスタ'!$B$5:$B$104,"&lt;&gt;")&lt;&gt;1,NOT(ISNUMBER(VLOOKUP(C854,'手数料マスタ'!$A$5:$B$104,2,FALSE))),VLOOKUP(C854,'手数料マスタ'!$A$5:$B$104,2,FALSE)&lt;0,VLOOKUP(C854,'手数料マスタ'!$A$5:$B$104,2,FALSE)&gt;1),"要確認",ROUND(E854*VLOOKUP(C854,'手数料マスタ'!$A$5:$B$104,2,FALSE),0)),"要確認"))</ns0:f>
        <ns0:v/>
      </ns0:c>
      <ns0:c r="G854" s="7" t="n"/>
      <ns0:c r="H854" s="7" t="n"/>
      <ns0:c r="I854" s="8" t="str">
        <ns0:f>IF(OR(B854="",J854&lt;&gt;"販売済み",D854="",E854="",G854="",H854=""),"",IF(ISNUMBER(F854),E854-D854-F854-G854-H854,"要確認"))</ns0:f>
        <ns0:v/>
      </ns0:c>
      <ns0:c r="J854" s="6" t="n"/>
      <ns0:c r="K854" s="5" t="n"/>
      <ns0:c r="L854" s="9" t="str">
        <ns0:f>IF(AND(B854&lt;&gt;"",J854="在庫"),COUNTIFS($J$5:J854,"在庫",$B$5:B854,"&lt;&gt;"),"")</ns0:f>
        <ns0:v/>
      </ns0:c>
    </ns0:row>
    <ns0:row r="855">
      <ns0:c r="A855" s="5" t="n"/>
      <ns0:c r="B855" s="6" t="n"/>
      <ns0:c r="C855" s="6" t="n"/>
      <ns0:c r="D855" s="7" t="n"/>
      <ns0:c r="E855" s="7" t="n"/>
      <ns0:c r="F855" s="8" t="str">
        <ns0:f>IF(OR(B855="",J855&lt;&gt;"販売済み",E855="",C855=""),"",IFERROR(IF(OR(COUNTIF('手数料マスタ'!$A$5:$A$104,C855)&lt;&gt;1,COUNTIFS('手数料マスタ'!$A$5:$A$104,C855,'手数料マスタ'!$B$5:$B$104,"&lt;&gt;")&lt;&gt;1,NOT(ISNUMBER(VLOOKUP(C855,'手数料マスタ'!$A$5:$B$104,2,FALSE))),VLOOKUP(C855,'手数料マスタ'!$A$5:$B$104,2,FALSE)&lt;0,VLOOKUP(C855,'手数料マスタ'!$A$5:$B$104,2,FALSE)&gt;1),"要確認",ROUND(E855*VLOOKUP(C855,'手数料マスタ'!$A$5:$B$104,2,FALSE),0)),"要確認"))</ns0:f>
        <ns0:v/>
      </ns0:c>
      <ns0:c r="G855" s="7" t="n"/>
      <ns0:c r="H855" s="7" t="n"/>
      <ns0:c r="I855" s="8" t="str">
        <ns0:f>IF(OR(B855="",J855&lt;&gt;"販売済み",D855="",E855="",G855="",H855=""),"",IF(ISNUMBER(F855),E855-D855-F855-G855-H855,"要確認"))</ns0:f>
        <ns0:v/>
      </ns0:c>
      <ns0:c r="J855" s="6" t="n"/>
      <ns0:c r="K855" s="5" t="n"/>
      <ns0:c r="L855" s="9" t="str">
        <ns0:f>IF(AND(B855&lt;&gt;"",J855="在庫"),COUNTIFS($J$5:J855,"在庫",$B$5:B855,"&lt;&gt;"),"")</ns0:f>
        <ns0:v/>
      </ns0:c>
    </ns0:row>
    <ns0:row r="856">
      <ns0:c r="A856" s="5" t="n"/>
      <ns0:c r="B856" s="6" t="n"/>
      <ns0:c r="C856" s="6" t="n"/>
      <ns0:c r="D856" s="7" t="n"/>
      <ns0:c r="E856" s="7" t="n"/>
      <ns0:c r="F856" s="8" t="str">
        <ns0:f>IF(OR(B856="",J856&lt;&gt;"販売済み",E856="",C856=""),"",IFERROR(IF(OR(COUNTIF('手数料マスタ'!$A$5:$A$104,C856)&lt;&gt;1,COUNTIFS('手数料マスタ'!$A$5:$A$104,C856,'手数料マスタ'!$B$5:$B$104,"&lt;&gt;")&lt;&gt;1,NOT(ISNUMBER(VLOOKUP(C856,'手数料マスタ'!$A$5:$B$104,2,FALSE))),VLOOKUP(C856,'手数料マスタ'!$A$5:$B$104,2,FALSE)&lt;0,VLOOKUP(C856,'手数料マスタ'!$A$5:$B$104,2,FALSE)&gt;1),"要確認",ROUND(E856*VLOOKUP(C856,'手数料マスタ'!$A$5:$B$104,2,FALSE),0)),"要確認"))</ns0:f>
        <ns0:v/>
      </ns0:c>
      <ns0:c r="G856" s="7" t="n"/>
      <ns0:c r="H856" s="7" t="n"/>
      <ns0:c r="I856" s="8" t="str">
        <ns0:f>IF(OR(B856="",J856&lt;&gt;"販売済み",D856="",E856="",G856="",H856=""),"",IF(ISNUMBER(F856),E856-D856-F856-G856-H856,"要確認"))</ns0:f>
        <ns0:v/>
      </ns0:c>
      <ns0:c r="J856" s="6" t="n"/>
      <ns0:c r="K856" s="5" t="n"/>
      <ns0:c r="L856" s="9" t="str">
        <ns0:f>IF(AND(B856&lt;&gt;"",J856="在庫"),COUNTIFS($J$5:J856,"在庫",$B$5:B856,"&lt;&gt;"),"")</ns0:f>
        <ns0:v/>
      </ns0:c>
    </ns0:row>
    <ns0:row r="857">
      <ns0:c r="A857" s="5" t="n"/>
      <ns0:c r="B857" s="6" t="n"/>
      <ns0:c r="C857" s="6" t="n"/>
      <ns0:c r="D857" s="7" t="n"/>
      <ns0:c r="E857" s="7" t="n"/>
      <ns0:c r="F857" s="8" t="str">
        <ns0:f>IF(OR(B857="",J857&lt;&gt;"販売済み",E857="",C857=""),"",IFERROR(IF(OR(COUNTIF('手数料マスタ'!$A$5:$A$104,C857)&lt;&gt;1,COUNTIFS('手数料マスタ'!$A$5:$A$104,C857,'手数料マスタ'!$B$5:$B$104,"&lt;&gt;")&lt;&gt;1,NOT(ISNUMBER(VLOOKUP(C857,'手数料マスタ'!$A$5:$B$104,2,FALSE))),VLOOKUP(C857,'手数料マスタ'!$A$5:$B$104,2,FALSE)&lt;0,VLOOKUP(C857,'手数料マスタ'!$A$5:$B$104,2,FALSE)&gt;1),"要確認",ROUND(E857*VLOOKUP(C857,'手数料マスタ'!$A$5:$B$104,2,FALSE),0)),"要確認"))</ns0:f>
        <ns0:v/>
      </ns0:c>
      <ns0:c r="G857" s="7" t="n"/>
      <ns0:c r="H857" s="7" t="n"/>
      <ns0:c r="I857" s="8" t="str">
        <ns0:f>IF(OR(B857="",J857&lt;&gt;"販売済み",D857="",E857="",G857="",H857=""),"",IF(ISNUMBER(F857),E857-D857-F857-G857-H857,"要確認"))</ns0:f>
        <ns0:v/>
      </ns0:c>
      <ns0:c r="J857" s="6" t="n"/>
      <ns0:c r="K857" s="5" t="n"/>
      <ns0:c r="L857" s="9" t="str">
        <ns0:f>IF(AND(B857&lt;&gt;"",J857="在庫"),COUNTIFS($J$5:J857,"在庫",$B$5:B857,"&lt;&gt;"),"")</ns0:f>
        <ns0:v/>
      </ns0:c>
    </ns0:row>
    <ns0:row r="858">
      <ns0:c r="A858" s="5" t="n"/>
      <ns0:c r="B858" s="6" t="n"/>
      <ns0:c r="C858" s="6" t="n"/>
      <ns0:c r="D858" s="7" t="n"/>
      <ns0:c r="E858" s="7" t="n"/>
      <ns0:c r="F858" s="8" t="str">
        <ns0:f>IF(OR(B858="",J858&lt;&gt;"販売済み",E858="",C858=""),"",IFERROR(IF(OR(COUNTIF('手数料マスタ'!$A$5:$A$104,C858)&lt;&gt;1,COUNTIFS('手数料マスタ'!$A$5:$A$104,C858,'手数料マスタ'!$B$5:$B$104,"&lt;&gt;")&lt;&gt;1,NOT(ISNUMBER(VLOOKUP(C858,'手数料マスタ'!$A$5:$B$104,2,FALSE))),VLOOKUP(C858,'手数料マスタ'!$A$5:$B$104,2,FALSE)&lt;0,VLOOKUP(C858,'手数料マスタ'!$A$5:$B$104,2,FALSE)&gt;1),"要確認",ROUND(E858*VLOOKUP(C858,'手数料マスタ'!$A$5:$B$104,2,FALSE),0)),"要確認"))</ns0:f>
        <ns0:v/>
      </ns0:c>
      <ns0:c r="G858" s="7" t="n"/>
      <ns0:c r="H858" s="7" t="n"/>
      <ns0:c r="I858" s="8" t="str">
        <ns0:f>IF(OR(B858="",J858&lt;&gt;"販売済み",D858="",E858="",G858="",H858=""),"",IF(ISNUMBER(F858),E858-D858-F858-G858-H858,"要確認"))</ns0:f>
        <ns0:v/>
      </ns0:c>
      <ns0:c r="J858" s="6" t="n"/>
      <ns0:c r="K858" s="5" t="n"/>
      <ns0:c r="L858" s="9" t="str">
        <ns0:f>IF(AND(B858&lt;&gt;"",J858="在庫"),COUNTIFS($J$5:J858,"在庫",$B$5:B858,"&lt;&gt;"),"")</ns0:f>
        <ns0:v/>
      </ns0:c>
    </ns0:row>
    <ns0:row r="859">
      <ns0:c r="A859" s="5" t="n"/>
      <ns0:c r="B859" s="6" t="n"/>
      <ns0:c r="C859" s="6" t="n"/>
      <ns0:c r="D859" s="7" t="n"/>
      <ns0:c r="E859" s="7" t="n"/>
      <ns0:c r="F859" s="8" t="str">
        <ns0:f>IF(OR(B859="",J859&lt;&gt;"販売済み",E859="",C859=""),"",IFERROR(IF(OR(COUNTIF('手数料マスタ'!$A$5:$A$104,C859)&lt;&gt;1,COUNTIFS('手数料マスタ'!$A$5:$A$104,C859,'手数料マスタ'!$B$5:$B$104,"&lt;&gt;")&lt;&gt;1,NOT(ISNUMBER(VLOOKUP(C859,'手数料マスタ'!$A$5:$B$104,2,FALSE))),VLOOKUP(C859,'手数料マスタ'!$A$5:$B$104,2,FALSE)&lt;0,VLOOKUP(C859,'手数料マスタ'!$A$5:$B$104,2,FALSE)&gt;1),"要確認",ROUND(E859*VLOOKUP(C859,'手数料マスタ'!$A$5:$B$104,2,FALSE),0)),"要確認"))</ns0:f>
        <ns0:v/>
      </ns0:c>
      <ns0:c r="G859" s="7" t="n"/>
      <ns0:c r="H859" s="7" t="n"/>
      <ns0:c r="I859" s="8" t="str">
        <ns0:f>IF(OR(B859="",J859&lt;&gt;"販売済み",D859="",E859="",G859="",H859=""),"",IF(ISNUMBER(F859),E859-D859-F859-G859-H859,"要確認"))</ns0:f>
        <ns0:v/>
      </ns0:c>
      <ns0:c r="J859" s="6" t="n"/>
      <ns0:c r="K859" s="5" t="n"/>
      <ns0:c r="L859" s="9" t="str">
        <ns0:f>IF(AND(B859&lt;&gt;"",J859="在庫"),COUNTIFS($J$5:J859,"在庫",$B$5:B859,"&lt;&gt;"),"")</ns0:f>
        <ns0:v/>
      </ns0:c>
    </ns0:row>
    <ns0:row r="860">
      <ns0:c r="A860" s="5" t="n"/>
      <ns0:c r="B860" s="6" t="n"/>
      <ns0:c r="C860" s="6" t="n"/>
      <ns0:c r="D860" s="7" t="n"/>
      <ns0:c r="E860" s="7" t="n"/>
      <ns0:c r="F860" s="8" t="str">
        <ns0:f>IF(OR(B860="",J860&lt;&gt;"販売済み",E860="",C860=""),"",IFERROR(IF(OR(COUNTIF('手数料マスタ'!$A$5:$A$104,C860)&lt;&gt;1,COUNTIFS('手数料マスタ'!$A$5:$A$104,C860,'手数料マスタ'!$B$5:$B$104,"&lt;&gt;")&lt;&gt;1,NOT(ISNUMBER(VLOOKUP(C860,'手数料マスタ'!$A$5:$B$104,2,FALSE))),VLOOKUP(C860,'手数料マスタ'!$A$5:$B$104,2,FALSE)&lt;0,VLOOKUP(C860,'手数料マスタ'!$A$5:$B$104,2,FALSE)&gt;1),"要確認",ROUND(E860*VLOOKUP(C860,'手数料マスタ'!$A$5:$B$104,2,FALSE),0)),"要確認"))</ns0:f>
        <ns0:v/>
      </ns0:c>
      <ns0:c r="G860" s="7" t="n"/>
      <ns0:c r="H860" s="7" t="n"/>
      <ns0:c r="I860" s="8" t="str">
        <ns0:f>IF(OR(B860="",J860&lt;&gt;"販売済み",D860="",E860="",G860="",H860=""),"",IF(ISNUMBER(F860),E860-D860-F860-G860-H860,"要確認"))</ns0:f>
        <ns0:v/>
      </ns0:c>
      <ns0:c r="J860" s="6" t="n"/>
      <ns0:c r="K860" s="5" t="n"/>
      <ns0:c r="L860" s="9" t="str">
        <ns0:f>IF(AND(B860&lt;&gt;"",J860="在庫"),COUNTIFS($J$5:J860,"在庫",$B$5:B860,"&lt;&gt;"),"")</ns0:f>
        <ns0:v/>
      </ns0:c>
    </ns0:row>
    <ns0:row r="861">
      <ns0:c r="A861" s="5" t="n"/>
      <ns0:c r="B861" s="6" t="n"/>
      <ns0:c r="C861" s="6" t="n"/>
      <ns0:c r="D861" s="7" t="n"/>
      <ns0:c r="E861" s="7" t="n"/>
      <ns0:c r="F861" s="8" t="str">
        <ns0:f>IF(OR(B861="",J861&lt;&gt;"販売済み",E861="",C861=""),"",IFERROR(IF(OR(COUNTIF('手数料マスタ'!$A$5:$A$104,C861)&lt;&gt;1,COUNTIFS('手数料マスタ'!$A$5:$A$104,C861,'手数料マスタ'!$B$5:$B$104,"&lt;&gt;")&lt;&gt;1,NOT(ISNUMBER(VLOOKUP(C861,'手数料マスタ'!$A$5:$B$104,2,FALSE))),VLOOKUP(C861,'手数料マスタ'!$A$5:$B$104,2,FALSE)&lt;0,VLOOKUP(C861,'手数料マスタ'!$A$5:$B$104,2,FALSE)&gt;1),"要確認",ROUND(E861*VLOOKUP(C861,'手数料マスタ'!$A$5:$B$104,2,FALSE),0)),"要確認"))</ns0:f>
        <ns0:v/>
      </ns0:c>
      <ns0:c r="G861" s="7" t="n"/>
      <ns0:c r="H861" s="7" t="n"/>
      <ns0:c r="I861" s="8" t="str">
        <ns0:f>IF(OR(B861="",J861&lt;&gt;"販売済み",D861="",E861="",G861="",H861=""),"",IF(ISNUMBER(F861),E861-D861-F861-G861-H861,"要確認"))</ns0:f>
        <ns0:v/>
      </ns0:c>
      <ns0:c r="J861" s="6" t="n"/>
      <ns0:c r="K861" s="5" t="n"/>
      <ns0:c r="L861" s="9" t="str">
        <ns0:f>IF(AND(B861&lt;&gt;"",J861="在庫"),COUNTIFS($J$5:J861,"在庫",$B$5:B861,"&lt;&gt;"),"")</ns0:f>
        <ns0:v/>
      </ns0:c>
    </ns0:row>
    <ns0:row r="862">
      <ns0:c r="A862" s="5" t="n"/>
      <ns0:c r="B862" s="6" t="n"/>
      <ns0:c r="C862" s="6" t="n"/>
      <ns0:c r="D862" s="7" t="n"/>
      <ns0:c r="E862" s="7" t="n"/>
      <ns0:c r="F862" s="8" t="str">
        <ns0:f>IF(OR(B862="",J862&lt;&gt;"販売済み",E862="",C862=""),"",IFERROR(IF(OR(COUNTIF('手数料マスタ'!$A$5:$A$104,C862)&lt;&gt;1,COUNTIFS('手数料マスタ'!$A$5:$A$104,C862,'手数料マスタ'!$B$5:$B$104,"&lt;&gt;")&lt;&gt;1,NOT(ISNUMBER(VLOOKUP(C862,'手数料マスタ'!$A$5:$B$104,2,FALSE))),VLOOKUP(C862,'手数料マスタ'!$A$5:$B$104,2,FALSE)&lt;0,VLOOKUP(C862,'手数料マスタ'!$A$5:$B$104,2,FALSE)&gt;1),"要確認",ROUND(E862*VLOOKUP(C862,'手数料マスタ'!$A$5:$B$104,2,FALSE),0)),"要確認"))</ns0:f>
        <ns0:v/>
      </ns0:c>
      <ns0:c r="G862" s="7" t="n"/>
      <ns0:c r="H862" s="7" t="n"/>
      <ns0:c r="I862" s="8" t="str">
        <ns0:f>IF(OR(B862="",J862&lt;&gt;"販売済み",D862="",E862="",G862="",H862=""),"",IF(ISNUMBER(F862),E862-D862-F862-G862-H862,"要確認"))</ns0:f>
        <ns0:v/>
      </ns0:c>
      <ns0:c r="J862" s="6" t="n"/>
      <ns0:c r="K862" s="5" t="n"/>
      <ns0:c r="L862" s="9" t="str">
        <ns0:f>IF(AND(B862&lt;&gt;"",J862="在庫"),COUNTIFS($J$5:J862,"在庫",$B$5:B862,"&lt;&gt;"),"")</ns0:f>
        <ns0:v/>
      </ns0:c>
    </ns0:row>
    <ns0:row r="863">
      <ns0:c r="A863" s="5" t="n"/>
      <ns0:c r="B863" s="6" t="n"/>
      <ns0:c r="C863" s="6" t="n"/>
      <ns0:c r="D863" s="7" t="n"/>
      <ns0:c r="E863" s="7" t="n"/>
      <ns0:c r="F863" s="8" t="str">
        <ns0:f>IF(OR(B863="",J863&lt;&gt;"販売済み",E863="",C863=""),"",IFERROR(IF(OR(COUNTIF('手数料マスタ'!$A$5:$A$104,C863)&lt;&gt;1,COUNTIFS('手数料マスタ'!$A$5:$A$104,C863,'手数料マスタ'!$B$5:$B$104,"&lt;&gt;")&lt;&gt;1,NOT(ISNUMBER(VLOOKUP(C863,'手数料マスタ'!$A$5:$B$104,2,FALSE))),VLOOKUP(C863,'手数料マスタ'!$A$5:$B$104,2,FALSE)&lt;0,VLOOKUP(C863,'手数料マスタ'!$A$5:$B$104,2,FALSE)&gt;1),"要確認",ROUND(E863*VLOOKUP(C863,'手数料マスタ'!$A$5:$B$104,2,FALSE),0)),"要確認"))</ns0:f>
        <ns0:v/>
      </ns0:c>
      <ns0:c r="G863" s="7" t="n"/>
      <ns0:c r="H863" s="7" t="n"/>
      <ns0:c r="I863" s="8" t="str">
        <ns0:f>IF(OR(B863="",J863&lt;&gt;"販売済み",D863="",E863="",G863="",H863=""),"",IF(ISNUMBER(F863),E863-D863-F863-G863-H863,"要確認"))</ns0:f>
        <ns0:v/>
      </ns0:c>
      <ns0:c r="J863" s="6" t="n"/>
      <ns0:c r="K863" s="5" t="n"/>
      <ns0:c r="L863" s="9" t="str">
        <ns0:f>IF(AND(B863&lt;&gt;"",J863="在庫"),COUNTIFS($J$5:J863,"在庫",$B$5:B863,"&lt;&gt;"),"")</ns0:f>
        <ns0:v/>
      </ns0:c>
    </ns0:row>
    <ns0:row r="864">
      <ns0:c r="A864" s="5" t="n"/>
      <ns0:c r="B864" s="6" t="n"/>
      <ns0:c r="C864" s="6" t="n"/>
      <ns0:c r="D864" s="7" t="n"/>
      <ns0:c r="E864" s="7" t="n"/>
      <ns0:c r="F864" s="8" t="str">
        <ns0:f>IF(OR(B864="",J864&lt;&gt;"販売済み",E864="",C864=""),"",IFERROR(IF(OR(COUNTIF('手数料マスタ'!$A$5:$A$104,C864)&lt;&gt;1,COUNTIFS('手数料マスタ'!$A$5:$A$104,C864,'手数料マスタ'!$B$5:$B$104,"&lt;&gt;")&lt;&gt;1,NOT(ISNUMBER(VLOOKUP(C864,'手数料マスタ'!$A$5:$B$104,2,FALSE))),VLOOKUP(C864,'手数料マスタ'!$A$5:$B$104,2,FALSE)&lt;0,VLOOKUP(C864,'手数料マスタ'!$A$5:$B$104,2,FALSE)&gt;1),"要確認",ROUND(E864*VLOOKUP(C864,'手数料マスタ'!$A$5:$B$104,2,FALSE),0)),"要確認"))</ns0:f>
        <ns0:v/>
      </ns0:c>
      <ns0:c r="G864" s="7" t="n"/>
      <ns0:c r="H864" s="7" t="n"/>
      <ns0:c r="I864" s="8" t="str">
        <ns0:f>IF(OR(B864="",J864&lt;&gt;"販売済み",D864="",E864="",G864="",H864=""),"",IF(ISNUMBER(F864),E864-D864-F864-G864-H864,"要確認"))</ns0:f>
        <ns0:v/>
      </ns0:c>
      <ns0:c r="J864" s="6" t="n"/>
      <ns0:c r="K864" s="5" t="n"/>
      <ns0:c r="L864" s="9" t="str">
        <ns0:f>IF(AND(B864&lt;&gt;"",J864="在庫"),COUNTIFS($J$5:J864,"在庫",$B$5:B864,"&lt;&gt;"),"")</ns0:f>
        <ns0:v/>
      </ns0:c>
    </ns0:row>
    <ns0:row r="865">
      <ns0:c r="A865" s="5" t="n"/>
      <ns0:c r="B865" s="6" t="n"/>
      <ns0:c r="C865" s="6" t="n"/>
      <ns0:c r="D865" s="7" t="n"/>
      <ns0:c r="E865" s="7" t="n"/>
      <ns0:c r="F865" s="8" t="str">
        <ns0:f>IF(OR(B865="",J865&lt;&gt;"販売済み",E865="",C865=""),"",IFERROR(IF(OR(COUNTIF('手数料マスタ'!$A$5:$A$104,C865)&lt;&gt;1,COUNTIFS('手数料マスタ'!$A$5:$A$104,C865,'手数料マスタ'!$B$5:$B$104,"&lt;&gt;")&lt;&gt;1,NOT(ISNUMBER(VLOOKUP(C865,'手数料マスタ'!$A$5:$B$104,2,FALSE))),VLOOKUP(C865,'手数料マスタ'!$A$5:$B$104,2,FALSE)&lt;0,VLOOKUP(C865,'手数料マスタ'!$A$5:$B$104,2,FALSE)&gt;1),"要確認",ROUND(E865*VLOOKUP(C865,'手数料マスタ'!$A$5:$B$104,2,FALSE),0)),"要確認"))</ns0:f>
        <ns0:v/>
      </ns0:c>
      <ns0:c r="G865" s="7" t="n"/>
      <ns0:c r="H865" s="7" t="n"/>
      <ns0:c r="I865" s="8" t="str">
        <ns0:f>IF(OR(B865="",J865&lt;&gt;"販売済み",D865="",E865="",G865="",H865=""),"",IF(ISNUMBER(F865),E865-D865-F865-G865-H865,"要確認"))</ns0:f>
        <ns0:v/>
      </ns0:c>
      <ns0:c r="J865" s="6" t="n"/>
      <ns0:c r="K865" s="5" t="n"/>
      <ns0:c r="L865" s="9" t="str">
        <ns0:f>IF(AND(B865&lt;&gt;"",J865="在庫"),COUNTIFS($J$5:J865,"在庫",$B$5:B865,"&lt;&gt;"),"")</ns0:f>
        <ns0:v/>
      </ns0:c>
    </ns0:row>
    <ns0:row r="866">
      <ns0:c r="A866" s="5" t="n"/>
      <ns0:c r="B866" s="6" t="n"/>
      <ns0:c r="C866" s="6" t="n"/>
      <ns0:c r="D866" s="7" t="n"/>
      <ns0:c r="E866" s="7" t="n"/>
      <ns0:c r="F866" s="8" t="str">
        <ns0:f>IF(OR(B866="",J866&lt;&gt;"販売済み",E866="",C866=""),"",IFERROR(IF(OR(COUNTIF('手数料マスタ'!$A$5:$A$104,C866)&lt;&gt;1,COUNTIFS('手数料マスタ'!$A$5:$A$104,C866,'手数料マスタ'!$B$5:$B$104,"&lt;&gt;")&lt;&gt;1,NOT(ISNUMBER(VLOOKUP(C866,'手数料マスタ'!$A$5:$B$104,2,FALSE))),VLOOKUP(C866,'手数料マスタ'!$A$5:$B$104,2,FALSE)&lt;0,VLOOKUP(C866,'手数料マスタ'!$A$5:$B$104,2,FALSE)&gt;1),"要確認",ROUND(E866*VLOOKUP(C866,'手数料マスタ'!$A$5:$B$104,2,FALSE),0)),"要確認"))</ns0:f>
        <ns0:v/>
      </ns0:c>
      <ns0:c r="G866" s="7" t="n"/>
      <ns0:c r="H866" s="7" t="n"/>
      <ns0:c r="I866" s="8" t="str">
        <ns0:f>IF(OR(B866="",J866&lt;&gt;"販売済み",D866="",E866="",G866="",H866=""),"",IF(ISNUMBER(F866),E866-D866-F866-G866-H866,"要確認"))</ns0:f>
        <ns0:v/>
      </ns0:c>
      <ns0:c r="J866" s="6" t="n"/>
      <ns0:c r="K866" s="5" t="n"/>
      <ns0:c r="L866" s="9" t="str">
        <ns0:f>IF(AND(B866&lt;&gt;"",J866="在庫"),COUNTIFS($J$5:J866,"在庫",$B$5:B866,"&lt;&gt;"),"")</ns0:f>
        <ns0:v/>
      </ns0:c>
    </ns0:row>
    <ns0:row r="867">
      <ns0:c r="A867" s="5" t="n"/>
      <ns0:c r="B867" s="6" t="n"/>
      <ns0:c r="C867" s="6" t="n"/>
      <ns0:c r="D867" s="7" t="n"/>
      <ns0:c r="E867" s="7" t="n"/>
      <ns0:c r="F867" s="8" t="str">
        <ns0:f>IF(OR(B867="",J867&lt;&gt;"販売済み",E867="",C867=""),"",IFERROR(IF(OR(COUNTIF('手数料マスタ'!$A$5:$A$104,C867)&lt;&gt;1,COUNTIFS('手数料マスタ'!$A$5:$A$104,C867,'手数料マスタ'!$B$5:$B$104,"&lt;&gt;")&lt;&gt;1,NOT(ISNUMBER(VLOOKUP(C867,'手数料マスタ'!$A$5:$B$104,2,FALSE))),VLOOKUP(C867,'手数料マスタ'!$A$5:$B$104,2,FALSE)&lt;0,VLOOKUP(C867,'手数料マスタ'!$A$5:$B$104,2,FALSE)&gt;1),"要確認",ROUND(E867*VLOOKUP(C867,'手数料マスタ'!$A$5:$B$104,2,FALSE),0)),"要確認"))</ns0:f>
        <ns0:v/>
      </ns0:c>
      <ns0:c r="G867" s="7" t="n"/>
      <ns0:c r="H867" s="7" t="n"/>
      <ns0:c r="I867" s="8" t="str">
        <ns0:f>IF(OR(B867="",J867&lt;&gt;"販売済み",D867="",E867="",G867="",H867=""),"",IF(ISNUMBER(F867),E867-D867-F867-G867-H867,"要確認"))</ns0:f>
        <ns0:v/>
      </ns0:c>
      <ns0:c r="J867" s="6" t="n"/>
      <ns0:c r="K867" s="5" t="n"/>
      <ns0:c r="L867" s="9" t="str">
        <ns0:f>IF(AND(B867&lt;&gt;"",J867="在庫"),COUNTIFS($J$5:J867,"在庫",$B$5:B867,"&lt;&gt;"),"")</ns0:f>
        <ns0:v/>
      </ns0:c>
    </ns0:row>
    <ns0:row r="868">
      <ns0:c r="A868" s="5" t="n"/>
      <ns0:c r="B868" s="6" t="n"/>
      <ns0:c r="C868" s="6" t="n"/>
      <ns0:c r="D868" s="7" t="n"/>
      <ns0:c r="E868" s="7" t="n"/>
      <ns0:c r="F868" s="8" t="str">
        <ns0:f>IF(OR(B868="",J868&lt;&gt;"販売済み",E868="",C868=""),"",IFERROR(IF(OR(COUNTIF('手数料マスタ'!$A$5:$A$104,C868)&lt;&gt;1,COUNTIFS('手数料マスタ'!$A$5:$A$104,C868,'手数料マスタ'!$B$5:$B$104,"&lt;&gt;")&lt;&gt;1,NOT(ISNUMBER(VLOOKUP(C868,'手数料マスタ'!$A$5:$B$104,2,FALSE))),VLOOKUP(C868,'手数料マスタ'!$A$5:$B$104,2,FALSE)&lt;0,VLOOKUP(C868,'手数料マスタ'!$A$5:$B$104,2,FALSE)&gt;1),"要確認",ROUND(E868*VLOOKUP(C868,'手数料マスタ'!$A$5:$B$104,2,FALSE),0)),"要確認"))</ns0:f>
        <ns0:v/>
      </ns0:c>
      <ns0:c r="G868" s="7" t="n"/>
      <ns0:c r="H868" s="7" t="n"/>
      <ns0:c r="I868" s="8" t="str">
        <ns0:f>IF(OR(B868="",J868&lt;&gt;"販売済み",D868="",E868="",G868="",H868=""),"",IF(ISNUMBER(F868),E868-D868-F868-G868-H868,"要確認"))</ns0:f>
        <ns0:v/>
      </ns0:c>
      <ns0:c r="J868" s="6" t="n"/>
      <ns0:c r="K868" s="5" t="n"/>
      <ns0:c r="L868" s="9" t="str">
        <ns0:f>IF(AND(B868&lt;&gt;"",J868="在庫"),COUNTIFS($J$5:J868,"在庫",$B$5:B868,"&lt;&gt;"),"")</ns0:f>
        <ns0:v/>
      </ns0:c>
    </ns0:row>
    <ns0:row r="869">
      <ns0:c r="A869" s="5" t="n"/>
      <ns0:c r="B869" s="6" t="n"/>
      <ns0:c r="C869" s="6" t="n"/>
      <ns0:c r="D869" s="7" t="n"/>
      <ns0:c r="E869" s="7" t="n"/>
      <ns0:c r="F869" s="8" t="str">
        <ns0:f>IF(OR(B869="",J869&lt;&gt;"販売済み",E869="",C869=""),"",IFERROR(IF(OR(COUNTIF('手数料マスタ'!$A$5:$A$104,C869)&lt;&gt;1,COUNTIFS('手数料マスタ'!$A$5:$A$104,C869,'手数料マスタ'!$B$5:$B$104,"&lt;&gt;")&lt;&gt;1,NOT(ISNUMBER(VLOOKUP(C869,'手数料マスタ'!$A$5:$B$104,2,FALSE))),VLOOKUP(C869,'手数料マスタ'!$A$5:$B$104,2,FALSE)&lt;0,VLOOKUP(C869,'手数料マスタ'!$A$5:$B$104,2,FALSE)&gt;1),"要確認",ROUND(E869*VLOOKUP(C869,'手数料マスタ'!$A$5:$B$104,2,FALSE),0)),"要確認"))</ns0:f>
        <ns0:v/>
      </ns0:c>
      <ns0:c r="G869" s="7" t="n"/>
      <ns0:c r="H869" s="7" t="n"/>
      <ns0:c r="I869" s="8" t="str">
        <ns0:f>IF(OR(B869="",J869&lt;&gt;"販売済み",D869="",E869="",G869="",H869=""),"",IF(ISNUMBER(F869),E869-D869-F869-G869-H869,"要確認"))</ns0:f>
        <ns0:v/>
      </ns0:c>
      <ns0:c r="J869" s="6" t="n"/>
      <ns0:c r="K869" s="5" t="n"/>
      <ns0:c r="L869" s="9" t="str">
        <ns0:f>IF(AND(B869&lt;&gt;"",J869="在庫"),COUNTIFS($J$5:J869,"在庫",$B$5:B869,"&lt;&gt;"),"")</ns0:f>
        <ns0:v/>
      </ns0:c>
    </ns0:row>
    <ns0:row r="870">
      <ns0:c r="A870" s="5" t="n"/>
      <ns0:c r="B870" s="6" t="n"/>
      <ns0:c r="C870" s="6" t="n"/>
      <ns0:c r="D870" s="7" t="n"/>
      <ns0:c r="E870" s="7" t="n"/>
      <ns0:c r="F870" s="8" t="str">
        <ns0:f>IF(OR(B870="",J870&lt;&gt;"販売済み",E870="",C870=""),"",IFERROR(IF(OR(COUNTIF('手数料マスタ'!$A$5:$A$104,C870)&lt;&gt;1,COUNTIFS('手数料マスタ'!$A$5:$A$104,C870,'手数料マスタ'!$B$5:$B$104,"&lt;&gt;")&lt;&gt;1,NOT(ISNUMBER(VLOOKUP(C870,'手数料マスタ'!$A$5:$B$104,2,FALSE))),VLOOKUP(C870,'手数料マスタ'!$A$5:$B$104,2,FALSE)&lt;0,VLOOKUP(C870,'手数料マスタ'!$A$5:$B$104,2,FALSE)&gt;1),"要確認",ROUND(E870*VLOOKUP(C870,'手数料マスタ'!$A$5:$B$104,2,FALSE),0)),"要確認"))</ns0:f>
        <ns0:v/>
      </ns0:c>
      <ns0:c r="G870" s="7" t="n"/>
      <ns0:c r="H870" s="7" t="n"/>
      <ns0:c r="I870" s="8" t="str">
        <ns0:f>IF(OR(B870="",J870&lt;&gt;"販売済み",D870="",E870="",G870="",H870=""),"",IF(ISNUMBER(F870),E870-D870-F870-G870-H870,"要確認"))</ns0:f>
        <ns0:v/>
      </ns0:c>
      <ns0:c r="J870" s="6" t="n"/>
      <ns0:c r="K870" s="5" t="n"/>
      <ns0:c r="L870" s="9" t="str">
        <ns0:f>IF(AND(B870&lt;&gt;"",J870="在庫"),COUNTIFS($J$5:J870,"在庫",$B$5:B870,"&lt;&gt;"),"")</ns0:f>
        <ns0:v/>
      </ns0:c>
    </ns0:row>
    <ns0:row r="871">
      <ns0:c r="A871" s="5" t="n"/>
      <ns0:c r="B871" s="6" t="n"/>
      <ns0:c r="C871" s="6" t="n"/>
      <ns0:c r="D871" s="7" t="n"/>
      <ns0:c r="E871" s="7" t="n"/>
      <ns0:c r="F871" s="8" t="str">
        <ns0:f>IF(OR(B871="",J871&lt;&gt;"販売済み",E871="",C871=""),"",IFERROR(IF(OR(COUNTIF('手数料マスタ'!$A$5:$A$104,C871)&lt;&gt;1,COUNTIFS('手数料マスタ'!$A$5:$A$104,C871,'手数料マスタ'!$B$5:$B$104,"&lt;&gt;")&lt;&gt;1,NOT(ISNUMBER(VLOOKUP(C871,'手数料マスタ'!$A$5:$B$104,2,FALSE))),VLOOKUP(C871,'手数料マスタ'!$A$5:$B$104,2,FALSE)&lt;0,VLOOKUP(C871,'手数料マスタ'!$A$5:$B$104,2,FALSE)&gt;1),"要確認",ROUND(E871*VLOOKUP(C871,'手数料マスタ'!$A$5:$B$104,2,FALSE),0)),"要確認"))</ns0:f>
        <ns0:v/>
      </ns0:c>
      <ns0:c r="G871" s="7" t="n"/>
      <ns0:c r="H871" s="7" t="n"/>
      <ns0:c r="I871" s="8" t="str">
        <ns0:f>IF(OR(B871="",J871&lt;&gt;"販売済み",D871="",E871="",G871="",H871=""),"",IF(ISNUMBER(F871),E871-D871-F871-G871-H871,"要確認"))</ns0:f>
        <ns0:v/>
      </ns0:c>
      <ns0:c r="J871" s="6" t="n"/>
      <ns0:c r="K871" s="5" t="n"/>
      <ns0:c r="L871" s="9" t="str">
        <ns0:f>IF(AND(B871&lt;&gt;"",J871="在庫"),COUNTIFS($J$5:J871,"在庫",$B$5:B871,"&lt;&gt;"),"")</ns0:f>
        <ns0:v/>
      </ns0:c>
    </ns0:row>
    <ns0:row r="872">
      <ns0:c r="A872" s="5" t="n"/>
      <ns0:c r="B872" s="6" t="n"/>
      <ns0:c r="C872" s="6" t="n"/>
      <ns0:c r="D872" s="7" t="n"/>
      <ns0:c r="E872" s="7" t="n"/>
      <ns0:c r="F872" s="8" t="str">
        <ns0:f>IF(OR(B872="",J872&lt;&gt;"販売済み",E872="",C872=""),"",IFERROR(IF(OR(COUNTIF('手数料マスタ'!$A$5:$A$104,C872)&lt;&gt;1,COUNTIFS('手数料マスタ'!$A$5:$A$104,C872,'手数料マスタ'!$B$5:$B$104,"&lt;&gt;")&lt;&gt;1,NOT(ISNUMBER(VLOOKUP(C872,'手数料マスタ'!$A$5:$B$104,2,FALSE))),VLOOKUP(C872,'手数料マスタ'!$A$5:$B$104,2,FALSE)&lt;0,VLOOKUP(C872,'手数料マスタ'!$A$5:$B$104,2,FALSE)&gt;1),"要確認",ROUND(E872*VLOOKUP(C872,'手数料マスタ'!$A$5:$B$104,2,FALSE),0)),"要確認"))</ns0:f>
        <ns0:v/>
      </ns0:c>
      <ns0:c r="G872" s="7" t="n"/>
      <ns0:c r="H872" s="7" t="n"/>
      <ns0:c r="I872" s="8" t="str">
        <ns0:f>IF(OR(B872="",J872&lt;&gt;"販売済み",D872="",E872="",G872="",H872=""),"",IF(ISNUMBER(F872),E872-D872-F872-G872-H872,"要確認"))</ns0:f>
        <ns0:v/>
      </ns0:c>
      <ns0:c r="J872" s="6" t="n"/>
      <ns0:c r="K872" s="5" t="n"/>
      <ns0:c r="L872" s="9" t="str">
        <ns0:f>IF(AND(B872&lt;&gt;"",J872="在庫"),COUNTIFS($J$5:J872,"在庫",$B$5:B872,"&lt;&gt;"),"")</ns0:f>
        <ns0:v/>
      </ns0:c>
    </ns0:row>
    <ns0:row r="873">
      <ns0:c r="A873" s="5" t="n"/>
      <ns0:c r="B873" s="6" t="n"/>
      <ns0:c r="C873" s="6" t="n"/>
      <ns0:c r="D873" s="7" t="n"/>
      <ns0:c r="E873" s="7" t="n"/>
      <ns0:c r="F873" s="8" t="str">
        <ns0:f>IF(OR(B873="",J873&lt;&gt;"販売済み",E873="",C873=""),"",IFERROR(IF(OR(COUNTIF('手数料マスタ'!$A$5:$A$104,C873)&lt;&gt;1,COUNTIFS('手数料マスタ'!$A$5:$A$104,C873,'手数料マスタ'!$B$5:$B$104,"&lt;&gt;")&lt;&gt;1,NOT(ISNUMBER(VLOOKUP(C873,'手数料マスタ'!$A$5:$B$104,2,FALSE))),VLOOKUP(C873,'手数料マスタ'!$A$5:$B$104,2,FALSE)&lt;0,VLOOKUP(C873,'手数料マスタ'!$A$5:$B$104,2,FALSE)&gt;1),"要確認",ROUND(E873*VLOOKUP(C873,'手数料マスタ'!$A$5:$B$104,2,FALSE),0)),"要確認"))</ns0:f>
        <ns0:v/>
      </ns0:c>
      <ns0:c r="G873" s="7" t="n"/>
      <ns0:c r="H873" s="7" t="n"/>
      <ns0:c r="I873" s="8" t="str">
        <ns0:f>IF(OR(B873="",J873&lt;&gt;"販売済み",D873="",E873="",G873="",H873=""),"",IF(ISNUMBER(F873),E873-D873-F873-G873-H873,"要確認"))</ns0:f>
        <ns0:v/>
      </ns0:c>
      <ns0:c r="J873" s="6" t="n"/>
      <ns0:c r="K873" s="5" t="n"/>
      <ns0:c r="L873" s="9" t="str">
        <ns0:f>IF(AND(B873&lt;&gt;"",J873="在庫"),COUNTIFS($J$5:J873,"在庫",$B$5:B873,"&lt;&gt;"),"")</ns0:f>
        <ns0:v/>
      </ns0:c>
    </ns0:row>
    <ns0:row r="874">
      <ns0:c r="A874" s="5" t="n"/>
      <ns0:c r="B874" s="6" t="n"/>
      <ns0:c r="C874" s="6" t="n"/>
      <ns0:c r="D874" s="7" t="n"/>
      <ns0:c r="E874" s="7" t="n"/>
      <ns0:c r="F874" s="8" t="str">
        <ns0:f>IF(OR(B874="",J874&lt;&gt;"販売済み",E874="",C874=""),"",IFERROR(IF(OR(COUNTIF('手数料マスタ'!$A$5:$A$104,C874)&lt;&gt;1,COUNTIFS('手数料マスタ'!$A$5:$A$104,C874,'手数料マスタ'!$B$5:$B$104,"&lt;&gt;")&lt;&gt;1,NOT(ISNUMBER(VLOOKUP(C874,'手数料マスタ'!$A$5:$B$104,2,FALSE))),VLOOKUP(C874,'手数料マスタ'!$A$5:$B$104,2,FALSE)&lt;0,VLOOKUP(C874,'手数料マスタ'!$A$5:$B$104,2,FALSE)&gt;1),"要確認",ROUND(E874*VLOOKUP(C874,'手数料マスタ'!$A$5:$B$104,2,FALSE),0)),"要確認"))</ns0:f>
        <ns0:v/>
      </ns0:c>
      <ns0:c r="G874" s="7" t="n"/>
      <ns0:c r="H874" s="7" t="n"/>
      <ns0:c r="I874" s="8" t="str">
        <ns0:f>IF(OR(B874="",J874&lt;&gt;"販売済み",D874="",E874="",G874="",H874=""),"",IF(ISNUMBER(F874),E874-D874-F874-G874-H874,"要確認"))</ns0:f>
        <ns0:v/>
      </ns0:c>
      <ns0:c r="J874" s="6" t="n"/>
      <ns0:c r="K874" s="5" t="n"/>
      <ns0:c r="L874" s="9" t="str">
        <ns0:f>IF(AND(B874&lt;&gt;"",J874="在庫"),COUNTIFS($J$5:J874,"在庫",$B$5:B874,"&lt;&gt;"),"")</ns0:f>
        <ns0:v/>
      </ns0:c>
    </ns0:row>
    <ns0:row r="875">
      <ns0:c r="A875" s="5" t="n"/>
      <ns0:c r="B875" s="6" t="n"/>
      <ns0:c r="C875" s="6" t="n"/>
      <ns0:c r="D875" s="7" t="n"/>
      <ns0:c r="E875" s="7" t="n"/>
      <ns0:c r="F875" s="8" t="str">
        <ns0:f>IF(OR(B875="",J875&lt;&gt;"販売済み",E875="",C875=""),"",IFERROR(IF(OR(COUNTIF('手数料マスタ'!$A$5:$A$104,C875)&lt;&gt;1,COUNTIFS('手数料マスタ'!$A$5:$A$104,C875,'手数料マスタ'!$B$5:$B$104,"&lt;&gt;")&lt;&gt;1,NOT(ISNUMBER(VLOOKUP(C875,'手数料マスタ'!$A$5:$B$104,2,FALSE))),VLOOKUP(C875,'手数料マスタ'!$A$5:$B$104,2,FALSE)&lt;0,VLOOKUP(C875,'手数料マスタ'!$A$5:$B$104,2,FALSE)&gt;1),"要確認",ROUND(E875*VLOOKUP(C875,'手数料マスタ'!$A$5:$B$104,2,FALSE),0)),"要確認"))</ns0:f>
        <ns0:v/>
      </ns0:c>
      <ns0:c r="G875" s="7" t="n"/>
      <ns0:c r="H875" s="7" t="n"/>
      <ns0:c r="I875" s="8" t="str">
        <ns0:f>IF(OR(B875="",J875&lt;&gt;"販売済み",D875="",E875="",G875="",H875=""),"",IF(ISNUMBER(F875),E875-D875-F875-G875-H875,"要確認"))</ns0:f>
        <ns0:v/>
      </ns0:c>
      <ns0:c r="J875" s="6" t="n"/>
      <ns0:c r="K875" s="5" t="n"/>
      <ns0:c r="L875" s="9" t="str">
        <ns0:f>IF(AND(B875&lt;&gt;"",J875="在庫"),COUNTIFS($J$5:J875,"在庫",$B$5:B875,"&lt;&gt;"),"")</ns0:f>
        <ns0:v/>
      </ns0:c>
    </ns0:row>
    <ns0:row r="876">
      <ns0:c r="A876" s="5" t="n"/>
      <ns0:c r="B876" s="6" t="n"/>
      <ns0:c r="C876" s="6" t="n"/>
      <ns0:c r="D876" s="7" t="n"/>
      <ns0:c r="E876" s="7" t="n"/>
      <ns0:c r="F876" s="8" t="str">
        <ns0:f>IF(OR(B876="",J876&lt;&gt;"販売済み",E876="",C876=""),"",IFERROR(IF(OR(COUNTIF('手数料マスタ'!$A$5:$A$104,C876)&lt;&gt;1,COUNTIFS('手数料マスタ'!$A$5:$A$104,C876,'手数料マスタ'!$B$5:$B$104,"&lt;&gt;")&lt;&gt;1,NOT(ISNUMBER(VLOOKUP(C876,'手数料マスタ'!$A$5:$B$104,2,FALSE))),VLOOKUP(C876,'手数料マスタ'!$A$5:$B$104,2,FALSE)&lt;0,VLOOKUP(C876,'手数料マスタ'!$A$5:$B$104,2,FALSE)&gt;1),"要確認",ROUND(E876*VLOOKUP(C876,'手数料マスタ'!$A$5:$B$104,2,FALSE),0)),"要確認"))</ns0:f>
        <ns0:v/>
      </ns0:c>
      <ns0:c r="G876" s="7" t="n"/>
      <ns0:c r="H876" s="7" t="n"/>
      <ns0:c r="I876" s="8" t="str">
        <ns0:f>IF(OR(B876="",J876&lt;&gt;"販売済み",D876="",E876="",G876="",H876=""),"",IF(ISNUMBER(F876),E876-D876-F876-G876-H876,"要確認"))</ns0:f>
        <ns0:v/>
      </ns0:c>
      <ns0:c r="J876" s="6" t="n"/>
      <ns0:c r="K876" s="5" t="n"/>
      <ns0:c r="L876" s="9" t="str">
        <ns0:f>IF(AND(B876&lt;&gt;"",J876="在庫"),COUNTIFS($J$5:J876,"在庫",$B$5:B876,"&lt;&gt;"),"")</ns0:f>
        <ns0:v/>
      </ns0:c>
    </ns0:row>
    <ns0:row r="877">
      <ns0:c r="A877" s="5" t="n"/>
      <ns0:c r="B877" s="6" t="n"/>
      <ns0:c r="C877" s="6" t="n"/>
      <ns0:c r="D877" s="7" t="n"/>
      <ns0:c r="E877" s="7" t="n"/>
      <ns0:c r="F877" s="8" t="str">
        <ns0:f>IF(OR(B877="",J877&lt;&gt;"販売済み",E877="",C877=""),"",IFERROR(IF(OR(COUNTIF('手数料マスタ'!$A$5:$A$104,C877)&lt;&gt;1,COUNTIFS('手数料マスタ'!$A$5:$A$104,C877,'手数料マスタ'!$B$5:$B$104,"&lt;&gt;")&lt;&gt;1,NOT(ISNUMBER(VLOOKUP(C877,'手数料マスタ'!$A$5:$B$104,2,FALSE))),VLOOKUP(C877,'手数料マスタ'!$A$5:$B$104,2,FALSE)&lt;0,VLOOKUP(C877,'手数料マスタ'!$A$5:$B$104,2,FALSE)&gt;1),"要確認",ROUND(E877*VLOOKUP(C877,'手数料マスタ'!$A$5:$B$104,2,FALSE),0)),"要確認"))</ns0:f>
        <ns0:v/>
      </ns0:c>
      <ns0:c r="G877" s="7" t="n"/>
      <ns0:c r="H877" s="7" t="n"/>
      <ns0:c r="I877" s="8" t="str">
        <ns0:f>IF(OR(B877="",J877&lt;&gt;"販売済み",D877="",E877="",G877="",H877=""),"",IF(ISNUMBER(F877),E877-D877-F877-G877-H877,"要確認"))</ns0:f>
        <ns0:v/>
      </ns0:c>
      <ns0:c r="J877" s="6" t="n"/>
      <ns0:c r="K877" s="5" t="n"/>
      <ns0:c r="L877" s="9" t="str">
        <ns0:f>IF(AND(B877&lt;&gt;"",J877="在庫"),COUNTIFS($J$5:J877,"在庫",$B$5:B877,"&lt;&gt;"),"")</ns0:f>
        <ns0:v/>
      </ns0:c>
    </ns0:row>
    <ns0:row r="878">
      <ns0:c r="A878" s="5" t="n"/>
      <ns0:c r="B878" s="6" t="n"/>
      <ns0:c r="C878" s="6" t="n"/>
      <ns0:c r="D878" s="7" t="n"/>
      <ns0:c r="E878" s="7" t="n"/>
      <ns0:c r="F878" s="8" t="str">
        <ns0:f>IF(OR(B878="",J878&lt;&gt;"販売済み",E878="",C878=""),"",IFERROR(IF(OR(COUNTIF('手数料マスタ'!$A$5:$A$104,C878)&lt;&gt;1,COUNTIFS('手数料マスタ'!$A$5:$A$104,C878,'手数料マスタ'!$B$5:$B$104,"&lt;&gt;")&lt;&gt;1,NOT(ISNUMBER(VLOOKUP(C878,'手数料マスタ'!$A$5:$B$104,2,FALSE))),VLOOKUP(C878,'手数料マスタ'!$A$5:$B$104,2,FALSE)&lt;0,VLOOKUP(C878,'手数料マスタ'!$A$5:$B$104,2,FALSE)&gt;1),"要確認",ROUND(E878*VLOOKUP(C878,'手数料マスタ'!$A$5:$B$104,2,FALSE),0)),"要確認"))</ns0:f>
        <ns0:v/>
      </ns0:c>
      <ns0:c r="G878" s="7" t="n"/>
      <ns0:c r="H878" s="7" t="n"/>
      <ns0:c r="I878" s="8" t="str">
        <ns0:f>IF(OR(B878="",J878&lt;&gt;"販売済み",D878="",E878="",G878="",H878=""),"",IF(ISNUMBER(F878),E878-D878-F878-G878-H878,"要確認"))</ns0:f>
        <ns0:v/>
      </ns0:c>
      <ns0:c r="J878" s="6" t="n"/>
      <ns0:c r="K878" s="5" t="n"/>
      <ns0:c r="L878" s="9" t="str">
        <ns0:f>IF(AND(B878&lt;&gt;"",J878="在庫"),COUNTIFS($J$5:J878,"在庫",$B$5:B878,"&lt;&gt;"),"")</ns0:f>
        <ns0:v/>
      </ns0:c>
    </ns0:row>
    <ns0:row r="879">
      <ns0:c r="A879" s="5" t="n"/>
      <ns0:c r="B879" s="6" t="n"/>
      <ns0:c r="C879" s="6" t="n"/>
      <ns0:c r="D879" s="7" t="n"/>
      <ns0:c r="E879" s="7" t="n"/>
      <ns0:c r="F879" s="8" t="str">
        <ns0:f>IF(OR(B879="",J879&lt;&gt;"販売済み",E879="",C879=""),"",IFERROR(IF(OR(COUNTIF('手数料マスタ'!$A$5:$A$104,C879)&lt;&gt;1,COUNTIFS('手数料マスタ'!$A$5:$A$104,C879,'手数料マスタ'!$B$5:$B$104,"&lt;&gt;")&lt;&gt;1,NOT(ISNUMBER(VLOOKUP(C879,'手数料マスタ'!$A$5:$B$104,2,FALSE))),VLOOKUP(C879,'手数料マスタ'!$A$5:$B$104,2,FALSE)&lt;0,VLOOKUP(C879,'手数料マスタ'!$A$5:$B$104,2,FALSE)&gt;1),"要確認",ROUND(E879*VLOOKUP(C879,'手数料マスタ'!$A$5:$B$104,2,FALSE),0)),"要確認"))</ns0:f>
        <ns0:v/>
      </ns0:c>
      <ns0:c r="G879" s="7" t="n"/>
      <ns0:c r="H879" s="7" t="n"/>
      <ns0:c r="I879" s="8" t="str">
        <ns0:f>IF(OR(B879="",J879&lt;&gt;"販売済み",D879="",E879="",G879="",H879=""),"",IF(ISNUMBER(F879),E879-D879-F879-G879-H879,"要確認"))</ns0:f>
        <ns0:v/>
      </ns0:c>
      <ns0:c r="J879" s="6" t="n"/>
      <ns0:c r="K879" s="5" t="n"/>
      <ns0:c r="L879" s="9" t="str">
        <ns0:f>IF(AND(B879&lt;&gt;"",J879="在庫"),COUNTIFS($J$5:J879,"在庫",$B$5:B879,"&lt;&gt;"),"")</ns0:f>
        <ns0:v/>
      </ns0:c>
    </ns0:row>
    <ns0:row r="880">
      <ns0:c r="A880" s="5" t="n"/>
      <ns0:c r="B880" s="6" t="n"/>
      <ns0:c r="C880" s="6" t="n"/>
      <ns0:c r="D880" s="7" t="n"/>
      <ns0:c r="E880" s="7" t="n"/>
      <ns0:c r="F880" s="8" t="str">
        <ns0:f>IF(OR(B880="",J880&lt;&gt;"販売済み",E880="",C880=""),"",IFERROR(IF(OR(COUNTIF('手数料マスタ'!$A$5:$A$104,C880)&lt;&gt;1,COUNTIFS('手数料マスタ'!$A$5:$A$104,C880,'手数料マスタ'!$B$5:$B$104,"&lt;&gt;")&lt;&gt;1,NOT(ISNUMBER(VLOOKUP(C880,'手数料マスタ'!$A$5:$B$104,2,FALSE))),VLOOKUP(C880,'手数料マスタ'!$A$5:$B$104,2,FALSE)&lt;0,VLOOKUP(C880,'手数料マスタ'!$A$5:$B$104,2,FALSE)&gt;1),"要確認",ROUND(E880*VLOOKUP(C880,'手数料マスタ'!$A$5:$B$104,2,FALSE),0)),"要確認"))</ns0:f>
        <ns0:v/>
      </ns0:c>
      <ns0:c r="G880" s="7" t="n"/>
      <ns0:c r="H880" s="7" t="n"/>
      <ns0:c r="I880" s="8" t="str">
        <ns0:f>IF(OR(B880="",J880&lt;&gt;"販売済み",D880="",E880="",G880="",H880=""),"",IF(ISNUMBER(F880),E880-D880-F880-G880-H880,"要確認"))</ns0:f>
        <ns0:v/>
      </ns0:c>
      <ns0:c r="J880" s="6" t="n"/>
      <ns0:c r="K880" s="5" t="n"/>
      <ns0:c r="L880" s="9" t="str">
        <ns0:f>IF(AND(B880&lt;&gt;"",J880="在庫"),COUNTIFS($J$5:J880,"在庫",$B$5:B880,"&lt;&gt;"),"")</ns0:f>
        <ns0:v/>
      </ns0:c>
    </ns0:row>
    <ns0:row r="881">
      <ns0:c r="A881" s="5" t="n"/>
      <ns0:c r="B881" s="6" t="n"/>
      <ns0:c r="C881" s="6" t="n"/>
      <ns0:c r="D881" s="7" t="n"/>
      <ns0:c r="E881" s="7" t="n"/>
      <ns0:c r="F881" s="8" t="str">
        <ns0:f>IF(OR(B881="",J881&lt;&gt;"販売済み",E881="",C881=""),"",IFERROR(IF(OR(COUNTIF('手数料マスタ'!$A$5:$A$104,C881)&lt;&gt;1,COUNTIFS('手数料マスタ'!$A$5:$A$104,C881,'手数料マスタ'!$B$5:$B$104,"&lt;&gt;")&lt;&gt;1,NOT(ISNUMBER(VLOOKUP(C881,'手数料マスタ'!$A$5:$B$104,2,FALSE))),VLOOKUP(C881,'手数料マスタ'!$A$5:$B$104,2,FALSE)&lt;0,VLOOKUP(C881,'手数料マスタ'!$A$5:$B$104,2,FALSE)&gt;1),"要確認",ROUND(E881*VLOOKUP(C881,'手数料マスタ'!$A$5:$B$104,2,FALSE),0)),"要確認"))</ns0:f>
        <ns0:v/>
      </ns0:c>
      <ns0:c r="G881" s="7" t="n"/>
      <ns0:c r="H881" s="7" t="n"/>
      <ns0:c r="I881" s="8" t="str">
        <ns0:f>IF(OR(B881="",J881&lt;&gt;"販売済み",D881="",E881="",G881="",H881=""),"",IF(ISNUMBER(F881),E881-D881-F881-G881-H881,"要確認"))</ns0:f>
        <ns0:v/>
      </ns0:c>
      <ns0:c r="J881" s="6" t="n"/>
      <ns0:c r="K881" s="5" t="n"/>
      <ns0:c r="L881" s="9" t="str">
        <ns0:f>IF(AND(B881&lt;&gt;"",J881="在庫"),COUNTIFS($J$5:J881,"在庫",$B$5:B881,"&lt;&gt;"),"")</ns0:f>
        <ns0:v/>
      </ns0:c>
    </ns0:row>
    <ns0:row r="882">
      <ns0:c r="A882" s="5" t="n"/>
      <ns0:c r="B882" s="6" t="n"/>
      <ns0:c r="C882" s="6" t="n"/>
      <ns0:c r="D882" s="7" t="n"/>
      <ns0:c r="E882" s="7" t="n"/>
      <ns0:c r="F882" s="8" t="str">
        <ns0:f>IF(OR(B882="",J882&lt;&gt;"販売済み",E882="",C882=""),"",IFERROR(IF(OR(COUNTIF('手数料マスタ'!$A$5:$A$104,C882)&lt;&gt;1,COUNTIFS('手数料マスタ'!$A$5:$A$104,C882,'手数料マスタ'!$B$5:$B$104,"&lt;&gt;")&lt;&gt;1,NOT(ISNUMBER(VLOOKUP(C882,'手数料マスタ'!$A$5:$B$104,2,FALSE))),VLOOKUP(C882,'手数料マスタ'!$A$5:$B$104,2,FALSE)&lt;0,VLOOKUP(C882,'手数料マスタ'!$A$5:$B$104,2,FALSE)&gt;1),"要確認",ROUND(E882*VLOOKUP(C882,'手数料マスタ'!$A$5:$B$104,2,FALSE),0)),"要確認"))</ns0:f>
        <ns0:v/>
      </ns0:c>
      <ns0:c r="G882" s="7" t="n"/>
      <ns0:c r="H882" s="7" t="n"/>
      <ns0:c r="I882" s="8" t="str">
        <ns0:f>IF(OR(B882="",J882&lt;&gt;"販売済み",D882="",E882="",G882="",H882=""),"",IF(ISNUMBER(F882),E882-D882-F882-G882-H882,"要確認"))</ns0:f>
        <ns0:v/>
      </ns0:c>
      <ns0:c r="J882" s="6" t="n"/>
      <ns0:c r="K882" s="5" t="n"/>
      <ns0:c r="L882" s="9" t="str">
        <ns0:f>IF(AND(B882&lt;&gt;"",J882="在庫"),COUNTIFS($J$5:J882,"在庫",$B$5:B882,"&lt;&gt;"),"")</ns0:f>
        <ns0:v/>
      </ns0:c>
    </ns0:row>
    <ns0:row r="883">
      <ns0:c r="A883" s="5" t="n"/>
      <ns0:c r="B883" s="6" t="n"/>
      <ns0:c r="C883" s="6" t="n"/>
      <ns0:c r="D883" s="7" t="n"/>
      <ns0:c r="E883" s="7" t="n"/>
      <ns0:c r="F883" s="8" t="str">
        <ns0:f>IF(OR(B883="",J883&lt;&gt;"販売済み",E883="",C883=""),"",IFERROR(IF(OR(COUNTIF('手数料マスタ'!$A$5:$A$104,C883)&lt;&gt;1,COUNTIFS('手数料マスタ'!$A$5:$A$104,C883,'手数料マスタ'!$B$5:$B$104,"&lt;&gt;")&lt;&gt;1,NOT(ISNUMBER(VLOOKUP(C883,'手数料マスタ'!$A$5:$B$104,2,FALSE))),VLOOKUP(C883,'手数料マスタ'!$A$5:$B$104,2,FALSE)&lt;0,VLOOKUP(C883,'手数料マスタ'!$A$5:$B$104,2,FALSE)&gt;1),"要確認",ROUND(E883*VLOOKUP(C883,'手数料マスタ'!$A$5:$B$104,2,FALSE),0)),"要確認"))</ns0:f>
        <ns0:v/>
      </ns0:c>
      <ns0:c r="G883" s="7" t="n"/>
      <ns0:c r="H883" s="7" t="n"/>
      <ns0:c r="I883" s="8" t="str">
        <ns0:f>IF(OR(B883="",J883&lt;&gt;"販売済み",D883="",E883="",G883="",H883=""),"",IF(ISNUMBER(F883),E883-D883-F883-G883-H883,"要確認"))</ns0:f>
        <ns0:v/>
      </ns0:c>
      <ns0:c r="J883" s="6" t="n"/>
      <ns0:c r="K883" s="5" t="n"/>
      <ns0:c r="L883" s="9" t="str">
        <ns0:f>IF(AND(B883&lt;&gt;"",J883="在庫"),COUNTIFS($J$5:J883,"在庫",$B$5:B883,"&lt;&gt;"),"")</ns0:f>
        <ns0:v/>
      </ns0:c>
    </ns0:row>
    <ns0:row r="884">
      <ns0:c r="A884" s="5" t="n"/>
      <ns0:c r="B884" s="6" t="n"/>
      <ns0:c r="C884" s="6" t="n"/>
      <ns0:c r="D884" s="7" t="n"/>
      <ns0:c r="E884" s="7" t="n"/>
      <ns0:c r="F884" s="8" t="str">
        <ns0:f>IF(OR(B884="",J884&lt;&gt;"販売済み",E884="",C884=""),"",IFERROR(IF(OR(COUNTIF('手数料マスタ'!$A$5:$A$104,C884)&lt;&gt;1,COUNTIFS('手数料マスタ'!$A$5:$A$104,C884,'手数料マスタ'!$B$5:$B$104,"&lt;&gt;")&lt;&gt;1,NOT(ISNUMBER(VLOOKUP(C884,'手数料マスタ'!$A$5:$B$104,2,FALSE))),VLOOKUP(C884,'手数料マスタ'!$A$5:$B$104,2,FALSE)&lt;0,VLOOKUP(C884,'手数料マスタ'!$A$5:$B$104,2,FALSE)&gt;1),"要確認",ROUND(E884*VLOOKUP(C884,'手数料マスタ'!$A$5:$B$104,2,FALSE),0)),"要確認"))</ns0:f>
        <ns0:v/>
      </ns0:c>
      <ns0:c r="G884" s="7" t="n"/>
      <ns0:c r="H884" s="7" t="n"/>
      <ns0:c r="I884" s="8" t="str">
        <ns0:f>IF(OR(B884="",J884&lt;&gt;"販売済み",D884="",E884="",G884="",H884=""),"",IF(ISNUMBER(F884),E884-D884-F884-G884-H884,"要確認"))</ns0:f>
        <ns0:v/>
      </ns0:c>
      <ns0:c r="J884" s="6" t="n"/>
      <ns0:c r="K884" s="5" t="n"/>
      <ns0:c r="L884" s="9" t="str">
        <ns0:f>IF(AND(B884&lt;&gt;"",J884="在庫"),COUNTIFS($J$5:J884,"在庫",$B$5:B884,"&lt;&gt;"),"")</ns0:f>
        <ns0:v/>
      </ns0:c>
    </ns0:row>
    <ns0:row r="885">
      <ns0:c r="A885" s="5" t="n"/>
      <ns0:c r="B885" s="6" t="n"/>
      <ns0:c r="C885" s="6" t="n"/>
      <ns0:c r="D885" s="7" t="n"/>
      <ns0:c r="E885" s="7" t="n"/>
      <ns0:c r="F885" s="8" t="str">
        <ns0:f>IF(OR(B885="",J885&lt;&gt;"販売済み",E885="",C885=""),"",IFERROR(IF(OR(COUNTIF('手数料マスタ'!$A$5:$A$104,C885)&lt;&gt;1,COUNTIFS('手数料マスタ'!$A$5:$A$104,C885,'手数料マスタ'!$B$5:$B$104,"&lt;&gt;")&lt;&gt;1,NOT(ISNUMBER(VLOOKUP(C885,'手数料マスタ'!$A$5:$B$104,2,FALSE))),VLOOKUP(C885,'手数料マスタ'!$A$5:$B$104,2,FALSE)&lt;0,VLOOKUP(C885,'手数料マスタ'!$A$5:$B$104,2,FALSE)&gt;1),"要確認",ROUND(E885*VLOOKUP(C885,'手数料マスタ'!$A$5:$B$104,2,FALSE),0)),"要確認"))</ns0:f>
        <ns0:v/>
      </ns0:c>
      <ns0:c r="G885" s="7" t="n"/>
      <ns0:c r="H885" s="7" t="n"/>
      <ns0:c r="I885" s="8" t="str">
        <ns0:f>IF(OR(B885="",J885&lt;&gt;"販売済み",D885="",E885="",G885="",H885=""),"",IF(ISNUMBER(F885),E885-D885-F885-G885-H885,"要確認"))</ns0:f>
        <ns0:v/>
      </ns0:c>
      <ns0:c r="J885" s="6" t="n"/>
      <ns0:c r="K885" s="5" t="n"/>
      <ns0:c r="L885" s="9" t="str">
        <ns0:f>IF(AND(B885&lt;&gt;"",J885="在庫"),COUNTIFS($J$5:J885,"在庫",$B$5:B885,"&lt;&gt;"),"")</ns0:f>
        <ns0:v/>
      </ns0:c>
    </ns0:row>
    <ns0:row r="886">
      <ns0:c r="A886" s="5" t="n"/>
      <ns0:c r="B886" s="6" t="n"/>
      <ns0:c r="C886" s="6" t="n"/>
      <ns0:c r="D886" s="7" t="n"/>
      <ns0:c r="E886" s="7" t="n"/>
      <ns0:c r="F886" s="8" t="str">
        <ns0:f>IF(OR(B886="",J886&lt;&gt;"販売済み",E886="",C886=""),"",IFERROR(IF(OR(COUNTIF('手数料マスタ'!$A$5:$A$104,C886)&lt;&gt;1,COUNTIFS('手数料マスタ'!$A$5:$A$104,C886,'手数料マスタ'!$B$5:$B$104,"&lt;&gt;")&lt;&gt;1,NOT(ISNUMBER(VLOOKUP(C886,'手数料マスタ'!$A$5:$B$104,2,FALSE))),VLOOKUP(C886,'手数料マスタ'!$A$5:$B$104,2,FALSE)&lt;0,VLOOKUP(C886,'手数料マスタ'!$A$5:$B$104,2,FALSE)&gt;1),"要確認",ROUND(E886*VLOOKUP(C886,'手数料マスタ'!$A$5:$B$104,2,FALSE),0)),"要確認"))</ns0:f>
        <ns0:v/>
      </ns0:c>
      <ns0:c r="G886" s="7" t="n"/>
      <ns0:c r="H886" s="7" t="n"/>
      <ns0:c r="I886" s="8" t="str">
        <ns0:f>IF(OR(B886="",J886&lt;&gt;"販売済み",D886="",E886="",G886="",H886=""),"",IF(ISNUMBER(F886),E886-D886-F886-G886-H886,"要確認"))</ns0:f>
        <ns0:v/>
      </ns0:c>
      <ns0:c r="J886" s="6" t="n"/>
      <ns0:c r="K886" s="5" t="n"/>
      <ns0:c r="L886" s="9" t="str">
        <ns0:f>IF(AND(B886&lt;&gt;"",J886="在庫"),COUNTIFS($J$5:J886,"在庫",$B$5:B886,"&lt;&gt;"),"")</ns0:f>
        <ns0:v/>
      </ns0:c>
    </ns0:row>
    <ns0:row r="887">
      <ns0:c r="A887" s="5" t="n"/>
      <ns0:c r="B887" s="6" t="n"/>
      <ns0:c r="C887" s="6" t="n"/>
      <ns0:c r="D887" s="7" t="n"/>
      <ns0:c r="E887" s="7" t="n"/>
      <ns0:c r="F887" s="8" t="str">
        <ns0:f>IF(OR(B887="",J887&lt;&gt;"販売済み",E887="",C887=""),"",IFERROR(IF(OR(COUNTIF('手数料マスタ'!$A$5:$A$104,C887)&lt;&gt;1,COUNTIFS('手数料マスタ'!$A$5:$A$104,C887,'手数料マスタ'!$B$5:$B$104,"&lt;&gt;")&lt;&gt;1,NOT(ISNUMBER(VLOOKUP(C887,'手数料マスタ'!$A$5:$B$104,2,FALSE))),VLOOKUP(C887,'手数料マスタ'!$A$5:$B$104,2,FALSE)&lt;0,VLOOKUP(C887,'手数料マスタ'!$A$5:$B$104,2,FALSE)&gt;1),"要確認",ROUND(E887*VLOOKUP(C887,'手数料マスタ'!$A$5:$B$104,2,FALSE),0)),"要確認"))</ns0:f>
        <ns0:v/>
      </ns0:c>
      <ns0:c r="G887" s="7" t="n"/>
      <ns0:c r="H887" s="7" t="n"/>
      <ns0:c r="I887" s="8" t="str">
        <ns0:f>IF(OR(B887="",J887&lt;&gt;"販売済み",D887="",E887="",G887="",H887=""),"",IF(ISNUMBER(F887),E887-D887-F887-G887-H887,"要確認"))</ns0:f>
        <ns0:v/>
      </ns0:c>
      <ns0:c r="J887" s="6" t="n"/>
      <ns0:c r="K887" s="5" t="n"/>
      <ns0:c r="L887" s="9" t="str">
        <ns0:f>IF(AND(B887&lt;&gt;"",J887="在庫"),COUNTIFS($J$5:J887,"在庫",$B$5:B887,"&lt;&gt;"),"")</ns0:f>
        <ns0:v/>
      </ns0:c>
    </ns0:row>
    <ns0:row r="888">
      <ns0:c r="A888" s="5" t="n"/>
      <ns0:c r="B888" s="6" t="n"/>
      <ns0:c r="C888" s="6" t="n"/>
      <ns0:c r="D888" s="7" t="n"/>
      <ns0:c r="E888" s="7" t="n"/>
      <ns0:c r="F888" s="8" t="str">
        <ns0:f>IF(OR(B888="",J888&lt;&gt;"販売済み",E888="",C888=""),"",IFERROR(IF(OR(COUNTIF('手数料マスタ'!$A$5:$A$104,C888)&lt;&gt;1,COUNTIFS('手数料マスタ'!$A$5:$A$104,C888,'手数料マスタ'!$B$5:$B$104,"&lt;&gt;")&lt;&gt;1,NOT(ISNUMBER(VLOOKUP(C888,'手数料マスタ'!$A$5:$B$104,2,FALSE))),VLOOKUP(C888,'手数料マスタ'!$A$5:$B$104,2,FALSE)&lt;0,VLOOKUP(C888,'手数料マスタ'!$A$5:$B$104,2,FALSE)&gt;1),"要確認",ROUND(E888*VLOOKUP(C888,'手数料マスタ'!$A$5:$B$104,2,FALSE),0)),"要確認"))</ns0:f>
        <ns0:v/>
      </ns0:c>
      <ns0:c r="G888" s="7" t="n"/>
      <ns0:c r="H888" s="7" t="n"/>
      <ns0:c r="I888" s="8" t="str">
        <ns0:f>IF(OR(B888="",J888&lt;&gt;"販売済み",D888="",E888="",G888="",H888=""),"",IF(ISNUMBER(F888),E888-D888-F888-G888-H888,"要確認"))</ns0:f>
        <ns0:v/>
      </ns0:c>
      <ns0:c r="J888" s="6" t="n"/>
      <ns0:c r="K888" s="5" t="n"/>
      <ns0:c r="L888" s="9" t="str">
        <ns0:f>IF(AND(B888&lt;&gt;"",J888="在庫"),COUNTIFS($J$5:J888,"在庫",$B$5:B888,"&lt;&gt;"),"")</ns0:f>
        <ns0:v/>
      </ns0:c>
    </ns0:row>
    <ns0:row r="889">
      <ns0:c r="A889" s="5" t="n"/>
      <ns0:c r="B889" s="6" t="n"/>
      <ns0:c r="C889" s="6" t="n"/>
      <ns0:c r="D889" s="7" t="n"/>
      <ns0:c r="E889" s="7" t="n"/>
      <ns0:c r="F889" s="8" t="str">
        <ns0:f>IF(OR(B889="",J889&lt;&gt;"販売済み",E889="",C889=""),"",IFERROR(IF(OR(COUNTIF('手数料マスタ'!$A$5:$A$104,C889)&lt;&gt;1,COUNTIFS('手数料マスタ'!$A$5:$A$104,C889,'手数料マスタ'!$B$5:$B$104,"&lt;&gt;")&lt;&gt;1,NOT(ISNUMBER(VLOOKUP(C889,'手数料マスタ'!$A$5:$B$104,2,FALSE))),VLOOKUP(C889,'手数料マスタ'!$A$5:$B$104,2,FALSE)&lt;0,VLOOKUP(C889,'手数料マスタ'!$A$5:$B$104,2,FALSE)&gt;1),"要確認",ROUND(E889*VLOOKUP(C889,'手数料マスタ'!$A$5:$B$104,2,FALSE),0)),"要確認"))</ns0:f>
        <ns0:v/>
      </ns0:c>
      <ns0:c r="G889" s="7" t="n"/>
      <ns0:c r="H889" s="7" t="n"/>
      <ns0:c r="I889" s="8" t="str">
        <ns0:f>IF(OR(B889="",J889&lt;&gt;"販売済み",D889="",E889="",G889="",H889=""),"",IF(ISNUMBER(F889),E889-D889-F889-G889-H889,"要確認"))</ns0:f>
        <ns0:v/>
      </ns0:c>
      <ns0:c r="J889" s="6" t="n"/>
      <ns0:c r="K889" s="5" t="n"/>
      <ns0:c r="L889" s="9" t="str">
        <ns0:f>IF(AND(B889&lt;&gt;"",J889="在庫"),COUNTIFS($J$5:J889,"在庫",$B$5:B889,"&lt;&gt;"),"")</ns0:f>
        <ns0:v/>
      </ns0:c>
    </ns0:row>
    <ns0:row r="890">
      <ns0:c r="A890" s="5" t="n"/>
      <ns0:c r="B890" s="6" t="n"/>
      <ns0:c r="C890" s="6" t="n"/>
      <ns0:c r="D890" s="7" t="n"/>
      <ns0:c r="E890" s="7" t="n"/>
      <ns0:c r="F890" s="8" t="str">
        <ns0:f>IF(OR(B890="",J890&lt;&gt;"販売済み",E890="",C890=""),"",IFERROR(IF(OR(COUNTIF('手数料マスタ'!$A$5:$A$104,C890)&lt;&gt;1,COUNTIFS('手数料マスタ'!$A$5:$A$104,C890,'手数料マスタ'!$B$5:$B$104,"&lt;&gt;")&lt;&gt;1,NOT(ISNUMBER(VLOOKUP(C890,'手数料マスタ'!$A$5:$B$104,2,FALSE))),VLOOKUP(C890,'手数料マスタ'!$A$5:$B$104,2,FALSE)&lt;0,VLOOKUP(C890,'手数料マスタ'!$A$5:$B$104,2,FALSE)&gt;1),"要確認",ROUND(E890*VLOOKUP(C890,'手数料マスタ'!$A$5:$B$104,2,FALSE),0)),"要確認"))</ns0:f>
        <ns0:v/>
      </ns0:c>
      <ns0:c r="G890" s="7" t="n"/>
      <ns0:c r="H890" s="7" t="n"/>
      <ns0:c r="I890" s="8" t="str">
        <ns0:f>IF(OR(B890="",J890&lt;&gt;"販売済み",D890="",E890="",G890="",H890=""),"",IF(ISNUMBER(F890),E890-D890-F890-G890-H890,"要確認"))</ns0:f>
        <ns0:v/>
      </ns0:c>
      <ns0:c r="J890" s="6" t="n"/>
      <ns0:c r="K890" s="5" t="n"/>
      <ns0:c r="L890" s="9" t="str">
        <ns0:f>IF(AND(B890&lt;&gt;"",J890="在庫"),COUNTIFS($J$5:J890,"在庫",$B$5:B890,"&lt;&gt;"),"")</ns0:f>
        <ns0:v/>
      </ns0:c>
    </ns0:row>
    <ns0:row r="891">
      <ns0:c r="A891" s="5" t="n"/>
      <ns0:c r="B891" s="6" t="n"/>
      <ns0:c r="C891" s="6" t="n"/>
      <ns0:c r="D891" s="7" t="n"/>
      <ns0:c r="E891" s="7" t="n"/>
      <ns0:c r="F891" s="8" t="str">
        <ns0:f>IF(OR(B891="",J891&lt;&gt;"販売済み",E891="",C891=""),"",IFERROR(IF(OR(COUNTIF('手数料マスタ'!$A$5:$A$104,C891)&lt;&gt;1,COUNTIFS('手数料マスタ'!$A$5:$A$104,C891,'手数料マスタ'!$B$5:$B$104,"&lt;&gt;")&lt;&gt;1,NOT(ISNUMBER(VLOOKUP(C891,'手数料マスタ'!$A$5:$B$104,2,FALSE))),VLOOKUP(C891,'手数料マスタ'!$A$5:$B$104,2,FALSE)&lt;0,VLOOKUP(C891,'手数料マスタ'!$A$5:$B$104,2,FALSE)&gt;1),"要確認",ROUND(E891*VLOOKUP(C891,'手数料マスタ'!$A$5:$B$104,2,FALSE),0)),"要確認"))</ns0:f>
        <ns0:v/>
      </ns0:c>
      <ns0:c r="G891" s="7" t="n"/>
      <ns0:c r="H891" s="7" t="n"/>
      <ns0:c r="I891" s="8" t="str">
        <ns0:f>IF(OR(B891="",J891&lt;&gt;"販売済み",D891="",E891="",G891="",H891=""),"",IF(ISNUMBER(F891),E891-D891-F891-G891-H891,"要確認"))</ns0:f>
        <ns0:v/>
      </ns0:c>
      <ns0:c r="J891" s="6" t="n"/>
      <ns0:c r="K891" s="5" t="n"/>
      <ns0:c r="L891" s="9" t="str">
        <ns0:f>IF(AND(B891&lt;&gt;"",J891="在庫"),COUNTIFS($J$5:J891,"在庫",$B$5:B891,"&lt;&gt;"),"")</ns0:f>
        <ns0:v/>
      </ns0:c>
    </ns0:row>
    <ns0:row r="892">
      <ns0:c r="A892" s="5" t="n"/>
      <ns0:c r="B892" s="6" t="n"/>
      <ns0:c r="C892" s="6" t="n"/>
      <ns0:c r="D892" s="7" t="n"/>
      <ns0:c r="E892" s="7" t="n"/>
      <ns0:c r="F892" s="8" t="str">
        <ns0:f>IF(OR(B892="",J892&lt;&gt;"販売済み",E892="",C892=""),"",IFERROR(IF(OR(COUNTIF('手数料マスタ'!$A$5:$A$104,C892)&lt;&gt;1,COUNTIFS('手数料マスタ'!$A$5:$A$104,C892,'手数料マスタ'!$B$5:$B$104,"&lt;&gt;")&lt;&gt;1,NOT(ISNUMBER(VLOOKUP(C892,'手数料マスタ'!$A$5:$B$104,2,FALSE))),VLOOKUP(C892,'手数料マスタ'!$A$5:$B$104,2,FALSE)&lt;0,VLOOKUP(C892,'手数料マスタ'!$A$5:$B$104,2,FALSE)&gt;1),"要確認",ROUND(E892*VLOOKUP(C892,'手数料マスタ'!$A$5:$B$104,2,FALSE),0)),"要確認"))</ns0:f>
        <ns0:v/>
      </ns0:c>
      <ns0:c r="G892" s="7" t="n"/>
      <ns0:c r="H892" s="7" t="n"/>
      <ns0:c r="I892" s="8" t="str">
        <ns0:f>IF(OR(B892="",J892&lt;&gt;"販売済み",D892="",E892="",G892="",H892=""),"",IF(ISNUMBER(F892),E892-D892-F892-G892-H892,"要確認"))</ns0:f>
        <ns0:v/>
      </ns0:c>
      <ns0:c r="J892" s="6" t="n"/>
      <ns0:c r="K892" s="5" t="n"/>
      <ns0:c r="L892" s="9" t="str">
        <ns0:f>IF(AND(B892&lt;&gt;"",J892="在庫"),COUNTIFS($J$5:J892,"在庫",$B$5:B892,"&lt;&gt;"),"")</ns0:f>
        <ns0:v/>
      </ns0:c>
    </ns0:row>
    <ns0:row r="893">
      <ns0:c r="A893" s="5" t="n"/>
      <ns0:c r="B893" s="6" t="n"/>
      <ns0:c r="C893" s="6" t="n"/>
      <ns0:c r="D893" s="7" t="n"/>
      <ns0:c r="E893" s="7" t="n"/>
      <ns0:c r="F893" s="8" t="str">
        <ns0:f>IF(OR(B893="",J893&lt;&gt;"販売済み",E893="",C893=""),"",IFERROR(IF(OR(COUNTIF('手数料マスタ'!$A$5:$A$104,C893)&lt;&gt;1,COUNTIFS('手数料マスタ'!$A$5:$A$104,C893,'手数料マスタ'!$B$5:$B$104,"&lt;&gt;")&lt;&gt;1,NOT(ISNUMBER(VLOOKUP(C893,'手数料マスタ'!$A$5:$B$104,2,FALSE))),VLOOKUP(C893,'手数料マスタ'!$A$5:$B$104,2,FALSE)&lt;0,VLOOKUP(C893,'手数料マスタ'!$A$5:$B$104,2,FALSE)&gt;1),"要確認",ROUND(E893*VLOOKUP(C893,'手数料マスタ'!$A$5:$B$104,2,FALSE),0)),"要確認"))</ns0:f>
        <ns0:v/>
      </ns0:c>
      <ns0:c r="G893" s="7" t="n"/>
      <ns0:c r="H893" s="7" t="n"/>
      <ns0:c r="I893" s="8" t="str">
        <ns0:f>IF(OR(B893="",J893&lt;&gt;"販売済み",D893="",E893="",G893="",H893=""),"",IF(ISNUMBER(F893),E893-D893-F893-G893-H893,"要確認"))</ns0:f>
        <ns0:v/>
      </ns0:c>
      <ns0:c r="J893" s="6" t="n"/>
      <ns0:c r="K893" s="5" t="n"/>
      <ns0:c r="L893" s="9" t="str">
        <ns0:f>IF(AND(B893&lt;&gt;"",J893="在庫"),COUNTIFS($J$5:J893,"在庫",$B$5:B893,"&lt;&gt;"),"")</ns0:f>
        <ns0:v/>
      </ns0:c>
    </ns0:row>
    <ns0:row r="894">
      <ns0:c r="A894" s="5" t="n"/>
      <ns0:c r="B894" s="6" t="n"/>
      <ns0:c r="C894" s="6" t="n"/>
      <ns0:c r="D894" s="7" t="n"/>
      <ns0:c r="E894" s="7" t="n"/>
      <ns0:c r="F894" s="8" t="str">
        <ns0:f>IF(OR(B894="",J894&lt;&gt;"販売済み",E894="",C894=""),"",IFERROR(IF(OR(COUNTIF('手数料マスタ'!$A$5:$A$104,C894)&lt;&gt;1,COUNTIFS('手数料マスタ'!$A$5:$A$104,C894,'手数料マスタ'!$B$5:$B$104,"&lt;&gt;")&lt;&gt;1,NOT(ISNUMBER(VLOOKUP(C894,'手数料マスタ'!$A$5:$B$104,2,FALSE))),VLOOKUP(C894,'手数料マスタ'!$A$5:$B$104,2,FALSE)&lt;0,VLOOKUP(C894,'手数料マスタ'!$A$5:$B$104,2,FALSE)&gt;1),"要確認",ROUND(E894*VLOOKUP(C894,'手数料マスタ'!$A$5:$B$104,2,FALSE),0)),"要確認"))</ns0:f>
        <ns0:v/>
      </ns0:c>
      <ns0:c r="G894" s="7" t="n"/>
      <ns0:c r="H894" s="7" t="n"/>
      <ns0:c r="I894" s="8" t="str">
        <ns0:f>IF(OR(B894="",J894&lt;&gt;"販売済み",D894="",E894="",G894="",H894=""),"",IF(ISNUMBER(F894),E894-D894-F894-G894-H894,"要確認"))</ns0:f>
        <ns0:v/>
      </ns0:c>
      <ns0:c r="J894" s="6" t="n"/>
      <ns0:c r="K894" s="5" t="n"/>
      <ns0:c r="L894" s="9" t="str">
        <ns0:f>IF(AND(B894&lt;&gt;"",J894="在庫"),COUNTIFS($J$5:J894,"在庫",$B$5:B894,"&lt;&gt;"),"")</ns0:f>
        <ns0:v/>
      </ns0:c>
    </ns0:row>
    <ns0:row r="895">
      <ns0:c r="A895" s="5" t="n"/>
      <ns0:c r="B895" s="6" t="n"/>
      <ns0:c r="C895" s="6" t="n"/>
      <ns0:c r="D895" s="7" t="n"/>
      <ns0:c r="E895" s="7" t="n"/>
      <ns0:c r="F895" s="8" t="str">
        <ns0:f>IF(OR(B895="",J895&lt;&gt;"販売済み",E895="",C895=""),"",IFERROR(IF(OR(COUNTIF('手数料マスタ'!$A$5:$A$104,C895)&lt;&gt;1,COUNTIFS('手数料マスタ'!$A$5:$A$104,C895,'手数料マスタ'!$B$5:$B$104,"&lt;&gt;")&lt;&gt;1,NOT(ISNUMBER(VLOOKUP(C895,'手数料マスタ'!$A$5:$B$104,2,FALSE))),VLOOKUP(C895,'手数料マスタ'!$A$5:$B$104,2,FALSE)&lt;0,VLOOKUP(C895,'手数料マスタ'!$A$5:$B$104,2,FALSE)&gt;1),"要確認",ROUND(E895*VLOOKUP(C895,'手数料マスタ'!$A$5:$B$104,2,FALSE),0)),"要確認"))</ns0:f>
        <ns0:v/>
      </ns0:c>
      <ns0:c r="G895" s="7" t="n"/>
      <ns0:c r="H895" s="7" t="n"/>
      <ns0:c r="I895" s="8" t="str">
        <ns0:f>IF(OR(B895="",J895&lt;&gt;"販売済み",D895="",E895="",G895="",H895=""),"",IF(ISNUMBER(F895),E895-D895-F895-G895-H895,"要確認"))</ns0:f>
        <ns0:v/>
      </ns0:c>
      <ns0:c r="J895" s="6" t="n"/>
      <ns0:c r="K895" s="5" t="n"/>
      <ns0:c r="L895" s="9" t="str">
        <ns0:f>IF(AND(B895&lt;&gt;"",J895="在庫"),COUNTIFS($J$5:J895,"在庫",$B$5:B895,"&lt;&gt;"),"")</ns0:f>
        <ns0:v/>
      </ns0:c>
    </ns0:row>
    <ns0:row r="896">
      <ns0:c r="A896" s="5" t="n"/>
      <ns0:c r="B896" s="6" t="n"/>
      <ns0:c r="C896" s="6" t="n"/>
      <ns0:c r="D896" s="7" t="n"/>
      <ns0:c r="E896" s="7" t="n"/>
      <ns0:c r="F896" s="8" t="str">
        <ns0:f>IF(OR(B896="",J896&lt;&gt;"販売済み",E896="",C896=""),"",IFERROR(IF(OR(COUNTIF('手数料マスタ'!$A$5:$A$104,C896)&lt;&gt;1,COUNTIFS('手数料マスタ'!$A$5:$A$104,C896,'手数料マスタ'!$B$5:$B$104,"&lt;&gt;")&lt;&gt;1,NOT(ISNUMBER(VLOOKUP(C896,'手数料マスタ'!$A$5:$B$104,2,FALSE))),VLOOKUP(C896,'手数料マスタ'!$A$5:$B$104,2,FALSE)&lt;0,VLOOKUP(C896,'手数料マスタ'!$A$5:$B$104,2,FALSE)&gt;1),"要確認",ROUND(E896*VLOOKUP(C896,'手数料マスタ'!$A$5:$B$104,2,FALSE),0)),"要確認"))</ns0:f>
        <ns0:v/>
      </ns0:c>
      <ns0:c r="G896" s="7" t="n"/>
      <ns0:c r="H896" s="7" t="n"/>
      <ns0:c r="I896" s="8" t="str">
        <ns0:f>IF(OR(B896="",J896&lt;&gt;"販売済み",D896="",E896="",G896="",H896=""),"",IF(ISNUMBER(F896),E896-D896-F896-G896-H896,"要確認"))</ns0:f>
        <ns0:v/>
      </ns0:c>
      <ns0:c r="J896" s="6" t="n"/>
      <ns0:c r="K896" s="5" t="n"/>
      <ns0:c r="L896" s="9" t="str">
        <ns0:f>IF(AND(B896&lt;&gt;"",J896="在庫"),COUNTIFS($J$5:J896,"在庫",$B$5:B896,"&lt;&gt;"),"")</ns0:f>
        <ns0:v/>
      </ns0:c>
    </ns0:row>
    <ns0:row r="897">
      <ns0:c r="A897" s="5" t="n"/>
      <ns0:c r="B897" s="6" t="n"/>
      <ns0:c r="C897" s="6" t="n"/>
      <ns0:c r="D897" s="7" t="n"/>
      <ns0:c r="E897" s="7" t="n"/>
      <ns0:c r="F897" s="8" t="str">
        <ns0:f>IF(OR(B897="",J897&lt;&gt;"販売済み",E897="",C897=""),"",IFERROR(IF(OR(COUNTIF('手数料マスタ'!$A$5:$A$104,C897)&lt;&gt;1,COUNTIFS('手数料マスタ'!$A$5:$A$104,C897,'手数料マスタ'!$B$5:$B$104,"&lt;&gt;")&lt;&gt;1,NOT(ISNUMBER(VLOOKUP(C897,'手数料マスタ'!$A$5:$B$104,2,FALSE))),VLOOKUP(C897,'手数料マスタ'!$A$5:$B$104,2,FALSE)&lt;0,VLOOKUP(C897,'手数料マスタ'!$A$5:$B$104,2,FALSE)&gt;1),"要確認",ROUND(E897*VLOOKUP(C897,'手数料マスタ'!$A$5:$B$104,2,FALSE),0)),"要確認"))</ns0:f>
        <ns0:v/>
      </ns0:c>
      <ns0:c r="G897" s="7" t="n"/>
      <ns0:c r="H897" s="7" t="n"/>
      <ns0:c r="I897" s="8" t="str">
        <ns0:f>IF(OR(B897="",J897&lt;&gt;"販売済み",D897="",E897="",G897="",H897=""),"",IF(ISNUMBER(F897),E897-D897-F897-G897-H897,"要確認"))</ns0:f>
        <ns0:v/>
      </ns0:c>
      <ns0:c r="J897" s="6" t="n"/>
      <ns0:c r="K897" s="5" t="n"/>
      <ns0:c r="L897" s="9" t="str">
        <ns0:f>IF(AND(B897&lt;&gt;"",J897="在庫"),COUNTIFS($J$5:J897,"在庫",$B$5:B897,"&lt;&gt;"),"")</ns0:f>
        <ns0:v/>
      </ns0:c>
    </ns0:row>
    <ns0:row r="898">
      <ns0:c r="A898" s="5" t="n"/>
      <ns0:c r="B898" s="6" t="n"/>
      <ns0:c r="C898" s="6" t="n"/>
      <ns0:c r="D898" s="7" t="n"/>
      <ns0:c r="E898" s="7" t="n"/>
      <ns0:c r="F898" s="8" t="str">
        <ns0:f>IF(OR(B898="",J898&lt;&gt;"販売済み",E898="",C898=""),"",IFERROR(IF(OR(COUNTIF('手数料マスタ'!$A$5:$A$104,C898)&lt;&gt;1,COUNTIFS('手数料マスタ'!$A$5:$A$104,C898,'手数料マスタ'!$B$5:$B$104,"&lt;&gt;")&lt;&gt;1,NOT(ISNUMBER(VLOOKUP(C898,'手数料マスタ'!$A$5:$B$104,2,FALSE))),VLOOKUP(C898,'手数料マスタ'!$A$5:$B$104,2,FALSE)&lt;0,VLOOKUP(C898,'手数料マスタ'!$A$5:$B$104,2,FALSE)&gt;1),"要確認",ROUND(E898*VLOOKUP(C898,'手数料マスタ'!$A$5:$B$104,2,FALSE),0)),"要確認"))</ns0:f>
        <ns0:v/>
      </ns0:c>
      <ns0:c r="G898" s="7" t="n"/>
      <ns0:c r="H898" s="7" t="n"/>
      <ns0:c r="I898" s="8" t="str">
        <ns0:f>IF(OR(B898="",J898&lt;&gt;"販売済み",D898="",E898="",G898="",H898=""),"",IF(ISNUMBER(F898),E898-D898-F898-G898-H898,"要確認"))</ns0:f>
        <ns0:v/>
      </ns0:c>
      <ns0:c r="J898" s="6" t="n"/>
      <ns0:c r="K898" s="5" t="n"/>
      <ns0:c r="L898" s="9" t="str">
        <ns0:f>IF(AND(B898&lt;&gt;"",J898="在庫"),COUNTIFS($J$5:J898,"在庫",$B$5:B898,"&lt;&gt;"),"")</ns0:f>
        <ns0:v/>
      </ns0:c>
    </ns0:row>
    <ns0:row r="899">
      <ns0:c r="A899" s="5" t="n"/>
      <ns0:c r="B899" s="6" t="n"/>
      <ns0:c r="C899" s="6" t="n"/>
      <ns0:c r="D899" s="7" t="n"/>
      <ns0:c r="E899" s="7" t="n"/>
      <ns0:c r="F899" s="8" t="str">
        <ns0:f>IF(OR(B899="",J899&lt;&gt;"販売済み",E899="",C899=""),"",IFERROR(IF(OR(COUNTIF('手数料マスタ'!$A$5:$A$104,C899)&lt;&gt;1,COUNTIFS('手数料マスタ'!$A$5:$A$104,C899,'手数料マスタ'!$B$5:$B$104,"&lt;&gt;")&lt;&gt;1,NOT(ISNUMBER(VLOOKUP(C899,'手数料マスタ'!$A$5:$B$104,2,FALSE))),VLOOKUP(C899,'手数料マスタ'!$A$5:$B$104,2,FALSE)&lt;0,VLOOKUP(C899,'手数料マスタ'!$A$5:$B$104,2,FALSE)&gt;1),"要確認",ROUND(E899*VLOOKUP(C899,'手数料マスタ'!$A$5:$B$104,2,FALSE),0)),"要確認"))</ns0:f>
        <ns0:v/>
      </ns0:c>
      <ns0:c r="G899" s="7" t="n"/>
      <ns0:c r="H899" s="7" t="n"/>
      <ns0:c r="I899" s="8" t="str">
        <ns0:f>IF(OR(B899="",J899&lt;&gt;"販売済み",D899="",E899="",G899="",H899=""),"",IF(ISNUMBER(F899),E899-D899-F899-G899-H899,"要確認"))</ns0:f>
        <ns0:v/>
      </ns0:c>
      <ns0:c r="J899" s="6" t="n"/>
      <ns0:c r="K899" s="5" t="n"/>
      <ns0:c r="L899" s="9" t="str">
        <ns0:f>IF(AND(B899&lt;&gt;"",J899="在庫"),COUNTIFS($J$5:J899,"在庫",$B$5:B899,"&lt;&gt;"),"")</ns0:f>
        <ns0:v/>
      </ns0:c>
    </ns0:row>
    <ns0:row r="900">
      <ns0:c r="A900" s="5" t="n"/>
      <ns0:c r="B900" s="6" t="n"/>
      <ns0:c r="C900" s="6" t="n"/>
      <ns0:c r="D900" s="7" t="n"/>
      <ns0:c r="E900" s="7" t="n"/>
      <ns0:c r="F900" s="8" t="str">
        <ns0:f>IF(OR(B900="",J900&lt;&gt;"販売済み",E900="",C900=""),"",IFERROR(IF(OR(COUNTIF('手数料マスタ'!$A$5:$A$104,C900)&lt;&gt;1,COUNTIFS('手数料マスタ'!$A$5:$A$104,C900,'手数料マスタ'!$B$5:$B$104,"&lt;&gt;")&lt;&gt;1,NOT(ISNUMBER(VLOOKUP(C900,'手数料マスタ'!$A$5:$B$104,2,FALSE))),VLOOKUP(C900,'手数料マスタ'!$A$5:$B$104,2,FALSE)&lt;0,VLOOKUP(C900,'手数料マスタ'!$A$5:$B$104,2,FALSE)&gt;1),"要確認",ROUND(E900*VLOOKUP(C900,'手数料マスタ'!$A$5:$B$104,2,FALSE),0)),"要確認"))</ns0:f>
        <ns0:v/>
      </ns0:c>
      <ns0:c r="G900" s="7" t="n"/>
      <ns0:c r="H900" s="7" t="n"/>
      <ns0:c r="I900" s="8" t="str">
        <ns0:f>IF(OR(B900="",J900&lt;&gt;"販売済み",D900="",E900="",G900="",H900=""),"",IF(ISNUMBER(F900),E900-D900-F900-G900-H900,"要確認"))</ns0:f>
        <ns0:v/>
      </ns0:c>
      <ns0:c r="J900" s="6" t="n"/>
      <ns0:c r="K900" s="5" t="n"/>
      <ns0:c r="L900" s="9" t="str">
        <ns0:f>IF(AND(B900&lt;&gt;"",J900="在庫"),COUNTIFS($J$5:J900,"在庫",$B$5:B900,"&lt;&gt;"),"")</ns0:f>
        <ns0:v/>
      </ns0:c>
    </ns0:row>
    <ns0:row r="901">
      <ns0:c r="A901" s="5" t="n"/>
      <ns0:c r="B901" s="6" t="n"/>
      <ns0:c r="C901" s="6" t="n"/>
      <ns0:c r="D901" s="7" t="n"/>
      <ns0:c r="E901" s="7" t="n"/>
      <ns0:c r="F901" s="8" t="str">
        <ns0:f>IF(OR(B901="",J901&lt;&gt;"販売済み",E901="",C901=""),"",IFERROR(IF(OR(COUNTIF('手数料マスタ'!$A$5:$A$104,C901)&lt;&gt;1,COUNTIFS('手数料マスタ'!$A$5:$A$104,C901,'手数料マスタ'!$B$5:$B$104,"&lt;&gt;")&lt;&gt;1,NOT(ISNUMBER(VLOOKUP(C901,'手数料マスタ'!$A$5:$B$104,2,FALSE))),VLOOKUP(C901,'手数料マスタ'!$A$5:$B$104,2,FALSE)&lt;0,VLOOKUP(C901,'手数料マスタ'!$A$5:$B$104,2,FALSE)&gt;1),"要確認",ROUND(E901*VLOOKUP(C901,'手数料マスタ'!$A$5:$B$104,2,FALSE),0)),"要確認"))</ns0:f>
        <ns0:v/>
      </ns0:c>
      <ns0:c r="G901" s="7" t="n"/>
      <ns0:c r="H901" s="7" t="n"/>
      <ns0:c r="I901" s="8" t="str">
        <ns0:f>IF(OR(B901="",J901&lt;&gt;"販売済み",D901="",E901="",G901="",H901=""),"",IF(ISNUMBER(F901),E901-D901-F901-G901-H901,"要確認"))</ns0:f>
        <ns0:v/>
      </ns0:c>
      <ns0:c r="J901" s="6" t="n"/>
      <ns0:c r="K901" s="5" t="n"/>
      <ns0:c r="L901" s="9" t="str">
        <ns0:f>IF(AND(B901&lt;&gt;"",J901="在庫"),COUNTIFS($J$5:J901,"在庫",$B$5:B901,"&lt;&gt;"),"")</ns0:f>
        <ns0:v/>
      </ns0:c>
    </ns0:row>
    <ns0:row r="902">
      <ns0:c r="A902" s="5" t="n"/>
      <ns0:c r="B902" s="6" t="n"/>
      <ns0:c r="C902" s="6" t="n"/>
      <ns0:c r="D902" s="7" t="n"/>
      <ns0:c r="E902" s="7" t="n"/>
      <ns0:c r="F902" s="8" t="str">
        <ns0:f>IF(OR(B902="",J902&lt;&gt;"販売済み",E902="",C902=""),"",IFERROR(IF(OR(COUNTIF('手数料マスタ'!$A$5:$A$104,C902)&lt;&gt;1,COUNTIFS('手数料マスタ'!$A$5:$A$104,C902,'手数料マスタ'!$B$5:$B$104,"&lt;&gt;")&lt;&gt;1,NOT(ISNUMBER(VLOOKUP(C902,'手数料マスタ'!$A$5:$B$104,2,FALSE))),VLOOKUP(C902,'手数料マスタ'!$A$5:$B$104,2,FALSE)&lt;0,VLOOKUP(C902,'手数料マスタ'!$A$5:$B$104,2,FALSE)&gt;1),"要確認",ROUND(E902*VLOOKUP(C902,'手数料マスタ'!$A$5:$B$104,2,FALSE),0)),"要確認"))</ns0:f>
        <ns0:v/>
      </ns0:c>
      <ns0:c r="G902" s="7" t="n"/>
      <ns0:c r="H902" s="7" t="n"/>
      <ns0:c r="I902" s="8" t="str">
        <ns0:f>IF(OR(B902="",J902&lt;&gt;"販売済み",D902="",E902="",G902="",H902=""),"",IF(ISNUMBER(F902),E902-D902-F902-G902-H902,"要確認"))</ns0:f>
        <ns0:v/>
      </ns0:c>
      <ns0:c r="J902" s="6" t="n"/>
      <ns0:c r="K902" s="5" t="n"/>
      <ns0:c r="L902" s="9" t="str">
        <ns0:f>IF(AND(B902&lt;&gt;"",J902="在庫"),COUNTIFS($J$5:J902,"在庫",$B$5:B902,"&lt;&gt;"),"")</ns0:f>
        <ns0:v/>
      </ns0:c>
    </ns0:row>
    <ns0:row r="903">
      <ns0:c r="A903" s="5" t="n"/>
      <ns0:c r="B903" s="6" t="n"/>
      <ns0:c r="C903" s="6" t="n"/>
      <ns0:c r="D903" s="7" t="n"/>
      <ns0:c r="E903" s="7" t="n"/>
      <ns0:c r="F903" s="8" t="str">
        <ns0:f>IF(OR(B903="",J903&lt;&gt;"販売済み",E903="",C903=""),"",IFERROR(IF(OR(COUNTIF('手数料マスタ'!$A$5:$A$104,C903)&lt;&gt;1,COUNTIFS('手数料マスタ'!$A$5:$A$104,C903,'手数料マスタ'!$B$5:$B$104,"&lt;&gt;")&lt;&gt;1,NOT(ISNUMBER(VLOOKUP(C903,'手数料マスタ'!$A$5:$B$104,2,FALSE))),VLOOKUP(C903,'手数料マスタ'!$A$5:$B$104,2,FALSE)&lt;0,VLOOKUP(C903,'手数料マスタ'!$A$5:$B$104,2,FALSE)&gt;1),"要確認",ROUND(E903*VLOOKUP(C903,'手数料マスタ'!$A$5:$B$104,2,FALSE),0)),"要確認"))</ns0:f>
        <ns0:v/>
      </ns0:c>
      <ns0:c r="G903" s="7" t="n"/>
      <ns0:c r="H903" s="7" t="n"/>
      <ns0:c r="I903" s="8" t="str">
        <ns0:f>IF(OR(B903="",J903&lt;&gt;"販売済み",D903="",E903="",G903="",H903=""),"",IF(ISNUMBER(F903),E903-D903-F903-G903-H903,"要確認"))</ns0:f>
        <ns0:v/>
      </ns0:c>
      <ns0:c r="J903" s="6" t="n"/>
      <ns0:c r="K903" s="5" t="n"/>
      <ns0:c r="L903" s="9" t="str">
        <ns0:f>IF(AND(B903&lt;&gt;"",J903="在庫"),COUNTIFS($J$5:J903,"在庫",$B$5:B903,"&lt;&gt;"),"")</ns0:f>
        <ns0:v/>
      </ns0:c>
    </ns0:row>
    <ns0:row r="904">
      <ns0:c r="A904" s="5" t="n"/>
      <ns0:c r="B904" s="6" t="n"/>
      <ns0:c r="C904" s="6" t="n"/>
      <ns0:c r="D904" s="7" t="n"/>
      <ns0:c r="E904" s="7" t="n"/>
      <ns0:c r="F904" s="8" t="str">
        <ns0:f>IF(OR(B904="",J904&lt;&gt;"販売済み",E904="",C904=""),"",IFERROR(IF(OR(COUNTIF('手数料マスタ'!$A$5:$A$104,C904)&lt;&gt;1,COUNTIFS('手数料マスタ'!$A$5:$A$104,C904,'手数料マスタ'!$B$5:$B$104,"&lt;&gt;")&lt;&gt;1,NOT(ISNUMBER(VLOOKUP(C904,'手数料マスタ'!$A$5:$B$104,2,FALSE))),VLOOKUP(C904,'手数料マスタ'!$A$5:$B$104,2,FALSE)&lt;0,VLOOKUP(C904,'手数料マスタ'!$A$5:$B$104,2,FALSE)&gt;1),"要確認",ROUND(E904*VLOOKUP(C904,'手数料マスタ'!$A$5:$B$104,2,FALSE),0)),"要確認"))</ns0:f>
        <ns0:v/>
      </ns0:c>
      <ns0:c r="G904" s="7" t="n"/>
      <ns0:c r="H904" s="7" t="n"/>
      <ns0:c r="I904" s="8" t="str">
        <ns0:f>IF(OR(B904="",J904&lt;&gt;"販売済み",D904="",E904="",G904="",H904=""),"",IF(ISNUMBER(F904),E904-D904-F904-G904-H904,"要確認"))</ns0:f>
        <ns0:v/>
      </ns0:c>
      <ns0:c r="J904" s="6" t="n"/>
      <ns0:c r="K904" s="5" t="n"/>
      <ns0:c r="L904" s="9" t="str">
        <ns0:f>IF(AND(B904&lt;&gt;"",J904="在庫"),COUNTIFS($J$5:J904,"在庫",$B$5:B904,"&lt;&gt;"),"")</ns0:f>
        <ns0:v/>
      </ns0:c>
    </ns0:row>
    <ns0:row r="905">
      <ns0:c r="A905" s="5" t="n"/>
      <ns0:c r="B905" s="6" t="n"/>
      <ns0:c r="C905" s="6" t="n"/>
      <ns0:c r="D905" s="7" t="n"/>
      <ns0:c r="E905" s="7" t="n"/>
      <ns0:c r="F905" s="8" t="str">
        <ns0:f>IF(OR(B905="",J905&lt;&gt;"販売済み",E905="",C905=""),"",IFERROR(IF(OR(COUNTIF('手数料マスタ'!$A$5:$A$104,C905)&lt;&gt;1,COUNTIFS('手数料マスタ'!$A$5:$A$104,C905,'手数料マスタ'!$B$5:$B$104,"&lt;&gt;")&lt;&gt;1,NOT(ISNUMBER(VLOOKUP(C905,'手数料マスタ'!$A$5:$B$104,2,FALSE))),VLOOKUP(C905,'手数料マスタ'!$A$5:$B$104,2,FALSE)&lt;0,VLOOKUP(C905,'手数料マスタ'!$A$5:$B$104,2,FALSE)&gt;1),"要確認",ROUND(E905*VLOOKUP(C905,'手数料マスタ'!$A$5:$B$104,2,FALSE),0)),"要確認"))</ns0:f>
        <ns0:v/>
      </ns0:c>
      <ns0:c r="G905" s="7" t="n"/>
      <ns0:c r="H905" s="7" t="n"/>
      <ns0:c r="I905" s="8" t="str">
        <ns0:f>IF(OR(B905="",J905&lt;&gt;"販売済み",D905="",E905="",G905="",H905=""),"",IF(ISNUMBER(F905),E905-D905-F905-G905-H905,"要確認"))</ns0:f>
        <ns0:v/>
      </ns0:c>
      <ns0:c r="J905" s="6" t="n"/>
      <ns0:c r="K905" s="5" t="n"/>
      <ns0:c r="L905" s="9" t="str">
        <ns0:f>IF(AND(B905&lt;&gt;"",J905="在庫"),COUNTIFS($J$5:J905,"在庫",$B$5:B905,"&lt;&gt;"),"")</ns0:f>
        <ns0:v/>
      </ns0:c>
    </ns0:row>
    <ns0:row r="906">
      <ns0:c r="A906" s="5" t="n"/>
      <ns0:c r="B906" s="6" t="n"/>
      <ns0:c r="C906" s="6" t="n"/>
      <ns0:c r="D906" s="7" t="n"/>
      <ns0:c r="E906" s="7" t="n"/>
      <ns0:c r="F906" s="8" t="str">
        <ns0:f>IF(OR(B906="",J906&lt;&gt;"販売済み",E906="",C906=""),"",IFERROR(IF(OR(COUNTIF('手数料マスタ'!$A$5:$A$104,C906)&lt;&gt;1,COUNTIFS('手数料マスタ'!$A$5:$A$104,C906,'手数料マスタ'!$B$5:$B$104,"&lt;&gt;")&lt;&gt;1,NOT(ISNUMBER(VLOOKUP(C906,'手数料マスタ'!$A$5:$B$104,2,FALSE))),VLOOKUP(C906,'手数料マスタ'!$A$5:$B$104,2,FALSE)&lt;0,VLOOKUP(C906,'手数料マスタ'!$A$5:$B$104,2,FALSE)&gt;1),"要確認",ROUND(E906*VLOOKUP(C906,'手数料マスタ'!$A$5:$B$104,2,FALSE),0)),"要確認"))</ns0:f>
        <ns0:v/>
      </ns0:c>
      <ns0:c r="G906" s="7" t="n"/>
      <ns0:c r="H906" s="7" t="n"/>
      <ns0:c r="I906" s="8" t="str">
        <ns0:f>IF(OR(B906="",J906&lt;&gt;"販売済み",D906="",E906="",G906="",H906=""),"",IF(ISNUMBER(F906),E906-D906-F906-G906-H906,"要確認"))</ns0:f>
        <ns0:v/>
      </ns0:c>
      <ns0:c r="J906" s="6" t="n"/>
      <ns0:c r="K906" s="5" t="n"/>
      <ns0:c r="L906" s="9" t="str">
        <ns0:f>IF(AND(B906&lt;&gt;"",J906="在庫"),COUNTIFS($J$5:J906,"在庫",$B$5:B906,"&lt;&gt;"),"")</ns0:f>
        <ns0:v/>
      </ns0:c>
    </ns0:row>
    <ns0:row r="907">
      <ns0:c r="A907" s="5" t="n"/>
      <ns0:c r="B907" s="6" t="n"/>
      <ns0:c r="C907" s="6" t="n"/>
      <ns0:c r="D907" s="7" t="n"/>
      <ns0:c r="E907" s="7" t="n"/>
      <ns0:c r="F907" s="8" t="str">
        <ns0:f>IF(OR(B907="",J907&lt;&gt;"販売済み",E907="",C907=""),"",IFERROR(IF(OR(COUNTIF('手数料マスタ'!$A$5:$A$104,C907)&lt;&gt;1,COUNTIFS('手数料マスタ'!$A$5:$A$104,C907,'手数料マスタ'!$B$5:$B$104,"&lt;&gt;")&lt;&gt;1,NOT(ISNUMBER(VLOOKUP(C907,'手数料マスタ'!$A$5:$B$104,2,FALSE))),VLOOKUP(C907,'手数料マスタ'!$A$5:$B$104,2,FALSE)&lt;0,VLOOKUP(C907,'手数料マスタ'!$A$5:$B$104,2,FALSE)&gt;1),"要確認",ROUND(E907*VLOOKUP(C907,'手数料マスタ'!$A$5:$B$104,2,FALSE),0)),"要確認"))</ns0:f>
        <ns0:v/>
      </ns0:c>
      <ns0:c r="G907" s="7" t="n"/>
      <ns0:c r="H907" s="7" t="n"/>
      <ns0:c r="I907" s="8" t="str">
        <ns0:f>IF(OR(B907="",J907&lt;&gt;"販売済み",D907="",E907="",G907="",H907=""),"",IF(ISNUMBER(F907),E907-D907-F907-G907-H907,"要確認"))</ns0:f>
        <ns0:v/>
      </ns0:c>
      <ns0:c r="J907" s="6" t="n"/>
      <ns0:c r="K907" s="5" t="n"/>
      <ns0:c r="L907" s="9" t="str">
        <ns0:f>IF(AND(B907&lt;&gt;"",J907="在庫"),COUNTIFS($J$5:J907,"在庫",$B$5:B907,"&lt;&gt;"),"")</ns0:f>
        <ns0:v/>
      </ns0:c>
    </ns0:row>
    <ns0:row r="908">
      <ns0:c r="A908" s="5" t="n"/>
      <ns0:c r="B908" s="6" t="n"/>
      <ns0:c r="C908" s="6" t="n"/>
      <ns0:c r="D908" s="7" t="n"/>
      <ns0:c r="E908" s="7" t="n"/>
      <ns0:c r="F908" s="8" t="str">
        <ns0:f>IF(OR(B908="",J908&lt;&gt;"販売済み",E908="",C908=""),"",IFERROR(IF(OR(COUNTIF('手数料マスタ'!$A$5:$A$104,C908)&lt;&gt;1,COUNTIFS('手数料マスタ'!$A$5:$A$104,C908,'手数料マスタ'!$B$5:$B$104,"&lt;&gt;")&lt;&gt;1,NOT(ISNUMBER(VLOOKUP(C908,'手数料マスタ'!$A$5:$B$104,2,FALSE))),VLOOKUP(C908,'手数料マスタ'!$A$5:$B$104,2,FALSE)&lt;0,VLOOKUP(C908,'手数料マスタ'!$A$5:$B$104,2,FALSE)&gt;1),"要確認",ROUND(E908*VLOOKUP(C908,'手数料マスタ'!$A$5:$B$104,2,FALSE),0)),"要確認"))</ns0:f>
        <ns0:v/>
      </ns0:c>
      <ns0:c r="G908" s="7" t="n"/>
      <ns0:c r="H908" s="7" t="n"/>
      <ns0:c r="I908" s="8" t="str">
        <ns0:f>IF(OR(B908="",J908&lt;&gt;"販売済み",D908="",E908="",G908="",H908=""),"",IF(ISNUMBER(F908),E908-D908-F908-G908-H908,"要確認"))</ns0:f>
        <ns0:v/>
      </ns0:c>
      <ns0:c r="J908" s="6" t="n"/>
      <ns0:c r="K908" s="5" t="n"/>
      <ns0:c r="L908" s="9" t="str">
        <ns0:f>IF(AND(B908&lt;&gt;"",J908="在庫"),COUNTIFS($J$5:J908,"在庫",$B$5:B908,"&lt;&gt;"),"")</ns0:f>
        <ns0:v/>
      </ns0:c>
    </ns0:row>
    <ns0:row r="909">
      <ns0:c r="A909" s="5" t="n"/>
      <ns0:c r="B909" s="6" t="n"/>
      <ns0:c r="C909" s="6" t="n"/>
      <ns0:c r="D909" s="7" t="n"/>
      <ns0:c r="E909" s="7" t="n"/>
      <ns0:c r="F909" s="8" t="str">
        <ns0:f>IF(OR(B909="",J909&lt;&gt;"販売済み",E909="",C909=""),"",IFERROR(IF(OR(COUNTIF('手数料マスタ'!$A$5:$A$104,C909)&lt;&gt;1,COUNTIFS('手数料マスタ'!$A$5:$A$104,C909,'手数料マスタ'!$B$5:$B$104,"&lt;&gt;")&lt;&gt;1,NOT(ISNUMBER(VLOOKUP(C909,'手数料マスタ'!$A$5:$B$104,2,FALSE))),VLOOKUP(C909,'手数料マスタ'!$A$5:$B$104,2,FALSE)&lt;0,VLOOKUP(C909,'手数料マスタ'!$A$5:$B$104,2,FALSE)&gt;1),"要確認",ROUND(E909*VLOOKUP(C909,'手数料マスタ'!$A$5:$B$104,2,FALSE),0)),"要確認"))</ns0:f>
        <ns0:v/>
      </ns0:c>
      <ns0:c r="G909" s="7" t="n"/>
      <ns0:c r="H909" s="7" t="n"/>
      <ns0:c r="I909" s="8" t="str">
        <ns0:f>IF(OR(B909="",J909&lt;&gt;"販売済み",D909="",E909="",G909="",H909=""),"",IF(ISNUMBER(F909),E909-D909-F909-G909-H909,"要確認"))</ns0:f>
        <ns0:v/>
      </ns0:c>
      <ns0:c r="J909" s="6" t="n"/>
      <ns0:c r="K909" s="5" t="n"/>
      <ns0:c r="L909" s="9" t="str">
        <ns0:f>IF(AND(B909&lt;&gt;"",J909="在庫"),COUNTIFS($J$5:J909,"在庫",$B$5:B909,"&lt;&gt;"),"")</ns0:f>
        <ns0:v/>
      </ns0:c>
    </ns0:row>
    <ns0:row r="910">
      <ns0:c r="A910" s="5" t="n"/>
      <ns0:c r="B910" s="6" t="n"/>
      <ns0:c r="C910" s="6" t="n"/>
      <ns0:c r="D910" s="7" t="n"/>
      <ns0:c r="E910" s="7" t="n"/>
      <ns0:c r="F910" s="8" t="str">
        <ns0:f>IF(OR(B910="",J910&lt;&gt;"販売済み",E910="",C910=""),"",IFERROR(IF(OR(COUNTIF('手数料マスタ'!$A$5:$A$104,C910)&lt;&gt;1,COUNTIFS('手数料マスタ'!$A$5:$A$104,C910,'手数料マスタ'!$B$5:$B$104,"&lt;&gt;")&lt;&gt;1,NOT(ISNUMBER(VLOOKUP(C910,'手数料マスタ'!$A$5:$B$104,2,FALSE))),VLOOKUP(C910,'手数料マスタ'!$A$5:$B$104,2,FALSE)&lt;0,VLOOKUP(C910,'手数料マスタ'!$A$5:$B$104,2,FALSE)&gt;1),"要確認",ROUND(E910*VLOOKUP(C910,'手数料マスタ'!$A$5:$B$104,2,FALSE),0)),"要確認"))</ns0:f>
        <ns0:v/>
      </ns0:c>
      <ns0:c r="G910" s="7" t="n"/>
      <ns0:c r="H910" s="7" t="n"/>
      <ns0:c r="I910" s="8" t="str">
        <ns0:f>IF(OR(B910="",J910&lt;&gt;"販売済み",D910="",E910="",G910="",H910=""),"",IF(ISNUMBER(F910),E910-D910-F910-G910-H910,"要確認"))</ns0:f>
        <ns0:v/>
      </ns0:c>
      <ns0:c r="J910" s="6" t="n"/>
      <ns0:c r="K910" s="5" t="n"/>
      <ns0:c r="L910" s="9" t="str">
        <ns0:f>IF(AND(B910&lt;&gt;"",J910="在庫"),COUNTIFS($J$5:J910,"在庫",$B$5:B910,"&lt;&gt;"),"")</ns0:f>
        <ns0:v/>
      </ns0:c>
    </ns0:row>
    <ns0:row r="911">
      <ns0:c r="A911" s="5" t="n"/>
      <ns0:c r="B911" s="6" t="n"/>
      <ns0:c r="C911" s="6" t="n"/>
      <ns0:c r="D911" s="7" t="n"/>
      <ns0:c r="E911" s="7" t="n"/>
      <ns0:c r="F911" s="8" t="str">
        <ns0:f>IF(OR(B911="",J911&lt;&gt;"販売済み",E911="",C911=""),"",IFERROR(IF(OR(COUNTIF('手数料マスタ'!$A$5:$A$104,C911)&lt;&gt;1,COUNTIFS('手数料マスタ'!$A$5:$A$104,C911,'手数料マスタ'!$B$5:$B$104,"&lt;&gt;")&lt;&gt;1,NOT(ISNUMBER(VLOOKUP(C911,'手数料マスタ'!$A$5:$B$104,2,FALSE))),VLOOKUP(C911,'手数料マスタ'!$A$5:$B$104,2,FALSE)&lt;0,VLOOKUP(C911,'手数料マスタ'!$A$5:$B$104,2,FALSE)&gt;1),"要確認",ROUND(E911*VLOOKUP(C911,'手数料マスタ'!$A$5:$B$104,2,FALSE),0)),"要確認"))</ns0:f>
        <ns0:v/>
      </ns0:c>
      <ns0:c r="G911" s="7" t="n"/>
      <ns0:c r="H911" s="7" t="n"/>
      <ns0:c r="I911" s="8" t="str">
        <ns0:f>IF(OR(B911="",J911&lt;&gt;"販売済み",D911="",E911="",G911="",H911=""),"",IF(ISNUMBER(F911),E911-D911-F911-G911-H911,"要確認"))</ns0:f>
        <ns0:v/>
      </ns0:c>
      <ns0:c r="J911" s="6" t="n"/>
      <ns0:c r="K911" s="5" t="n"/>
      <ns0:c r="L911" s="9" t="str">
        <ns0:f>IF(AND(B911&lt;&gt;"",J911="在庫"),COUNTIFS($J$5:J911,"在庫",$B$5:B911,"&lt;&gt;"),"")</ns0:f>
        <ns0:v/>
      </ns0:c>
    </ns0:row>
    <ns0:row r="912">
      <ns0:c r="A912" s="5" t="n"/>
      <ns0:c r="B912" s="6" t="n"/>
      <ns0:c r="C912" s="6" t="n"/>
      <ns0:c r="D912" s="7" t="n"/>
      <ns0:c r="E912" s="7" t="n"/>
      <ns0:c r="F912" s="8" t="str">
        <ns0:f>IF(OR(B912="",J912&lt;&gt;"販売済み",E912="",C912=""),"",IFERROR(IF(OR(COUNTIF('手数料マスタ'!$A$5:$A$104,C912)&lt;&gt;1,COUNTIFS('手数料マスタ'!$A$5:$A$104,C912,'手数料マスタ'!$B$5:$B$104,"&lt;&gt;")&lt;&gt;1,NOT(ISNUMBER(VLOOKUP(C912,'手数料マスタ'!$A$5:$B$104,2,FALSE))),VLOOKUP(C912,'手数料マスタ'!$A$5:$B$104,2,FALSE)&lt;0,VLOOKUP(C912,'手数料マスタ'!$A$5:$B$104,2,FALSE)&gt;1),"要確認",ROUND(E912*VLOOKUP(C912,'手数料マスタ'!$A$5:$B$104,2,FALSE),0)),"要確認"))</ns0:f>
        <ns0:v/>
      </ns0:c>
      <ns0:c r="G912" s="7" t="n"/>
      <ns0:c r="H912" s="7" t="n"/>
      <ns0:c r="I912" s="8" t="str">
        <ns0:f>IF(OR(B912="",J912&lt;&gt;"販売済み",D912="",E912="",G912="",H912=""),"",IF(ISNUMBER(F912),E912-D912-F912-G912-H912,"要確認"))</ns0:f>
        <ns0:v/>
      </ns0:c>
      <ns0:c r="J912" s="6" t="n"/>
      <ns0:c r="K912" s="5" t="n"/>
      <ns0:c r="L912" s="9" t="str">
        <ns0:f>IF(AND(B912&lt;&gt;"",J912="在庫"),COUNTIFS($J$5:J912,"在庫",$B$5:B912,"&lt;&gt;"),"")</ns0:f>
        <ns0:v/>
      </ns0:c>
    </ns0:row>
    <ns0:row r="913">
      <ns0:c r="A913" s="5" t="n"/>
      <ns0:c r="B913" s="6" t="n"/>
      <ns0:c r="C913" s="6" t="n"/>
      <ns0:c r="D913" s="7" t="n"/>
      <ns0:c r="E913" s="7" t="n"/>
      <ns0:c r="F913" s="8" t="str">
        <ns0:f>IF(OR(B913="",J913&lt;&gt;"販売済み",E913="",C913=""),"",IFERROR(IF(OR(COUNTIF('手数料マスタ'!$A$5:$A$104,C913)&lt;&gt;1,COUNTIFS('手数料マスタ'!$A$5:$A$104,C913,'手数料マスタ'!$B$5:$B$104,"&lt;&gt;")&lt;&gt;1,NOT(ISNUMBER(VLOOKUP(C913,'手数料マスタ'!$A$5:$B$104,2,FALSE))),VLOOKUP(C913,'手数料マスタ'!$A$5:$B$104,2,FALSE)&lt;0,VLOOKUP(C913,'手数料マスタ'!$A$5:$B$104,2,FALSE)&gt;1),"要確認",ROUND(E913*VLOOKUP(C913,'手数料マスタ'!$A$5:$B$104,2,FALSE),0)),"要確認"))</ns0:f>
        <ns0:v/>
      </ns0:c>
      <ns0:c r="G913" s="7" t="n"/>
      <ns0:c r="H913" s="7" t="n"/>
      <ns0:c r="I913" s="8" t="str">
        <ns0:f>IF(OR(B913="",J913&lt;&gt;"販売済み",D913="",E913="",G913="",H913=""),"",IF(ISNUMBER(F913),E913-D913-F913-G913-H913,"要確認"))</ns0:f>
        <ns0:v/>
      </ns0:c>
      <ns0:c r="J913" s="6" t="n"/>
      <ns0:c r="K913" s="5" t="n"/>
      <ns0:c r="L913" s="9" t="str">
        <ns0:f>IF(AND(B913&lt;&gt;"",J913="在庫"),COUNTIFS($J$5:J913,"在庫",$B$5:B913,"&lt;&gt;"),"")</ns0:f>
        <ns0:v/>
      </ns0:c>
    </ns0:row>
    <ns0:row r="914">
      <ns0:c r="A914" s="5" t="n"/>
      <ns0:c r="B914" s="6" t="n"/>
      <ns0:c r="C914" s="6" t="n"/>
      <ns0:c r="D914" s="7" t="n"/>
      <ns0:c r="E914" s="7" t="n"/>
      <ns0:c r="F914" s="8" t="str">
        <ns0:f>IF(OR(B914="",J914&lt;&gt;"販売済み",E914="",C914=""),"",IFERROR(IF(OR(COUNTIF('手数料マスタ'!$A$5:$A$104,C914)&lt;&gt;1,COUNTIFS('手数料マスタ'!$A$5:$A$104,C914,'手数料マスタ'!$B$5:$B$104,"&lt;&gt;")&lt;&gt;1,NOT(ISNUMBER(VLOOKUP(C914,'手数料マスタ'!$A$5:$B$104,2,FALSE))),VLOOKUP(C914,'手数料マスタ'!$A$5:$B$104,2,FALSE)&lt;0,VLOOKUP(C914,'手数料マスタ'!$A$5:$B$104,2,FALSE)&gt;1),"要確認",ROUND(E914*VLOOKUP(C914,'手数料マスタ'!$A$5:$B$104,2,FALSE),0)),"要確認"))</ns0:f>
        <ns0:v/>
      </ns0:c>
      <ns0:c r="G914" s="7" t="n"/>
      <ns0:c r="H914" s="7" t="n"/>
      <ns0:c r="I914" s="8" t="str">
        <ns0:f>IF(OR(B914="",J914&lt;&gt;"販売済み",D914="",E914="",G914="",H914=""),"",IF(ISNUMBER(F914),E914-D914-F914-G914-H914,"要確認"))</ns0:f>
        <ns0:v/>
      </ns0:c>
      <ns0:c r="J914" s="6" t="n"/>
      <ns0:c r="K914" s="5" t="n"/>
      <ns0:c r="L914" s="9" t="str">
        <ns0:f>IF(AND(B914&lt;&gt;"",J914="在庫"),COUNTIFS($J$5:J914,"在庫",$B$5:B914,"&lt;&gt;"),"")</ns0:f>
        <ns0:v/>
      </ns0:c>
    </ns0:row>
    <ns0:row r="915">
      <ns0:c r="A915" s="5" t="n"/>
      <ns0:c r="B915" s="6" t="n"/>
      <ns0:c r="C915" s="6" t="n"/>
      <ns0:c r="D915" s="7" t="n"/>
      <ns0:c r="E915" s="7" t="n"/>
      <ns0:c r="F915" s="8" t="str">
        <ns0:f>IF(OR(B915="",J915&lt;&gt;"販売済み",E915="",C915=""),"",IFERROR(IF(OR(COUNTIF('手数料マスタ'!$A$5:$A$104,C915)&lt;&gt;1,COUNTIFS('手数料マスタ'!$A$5:$A$104,C915,'手数料マスタ'!$B$5:$B$104,"&lt;&gt;")&lt;&gt;1,NOT(ISNUMBER(VLOOKUP(C915,'手数料マスタ'!$A$5:$B$104,2,FALSE))),VLOOKUP(C915,'手数料マスタ'!$A$5:$B$104,2,FALSE)&lt;0,VLOOKUP(C915,'手数料マスタ'!$A$5:$B$104,2,FALSE)&gt;1),"要確認",ROUND(E915*VLOOKUP(C915,'手数料マスタ'!$A$5:$B$104,2,FALSE),0)),"要確認"))</ns0:f>
        <ns0:v/>
      </ns0:c>
      <ns0:c r="G915" s="7" t="n"/>
      <ns0:c r="H915" s="7" t="n"/>
      <ns0:c r="I915" s="8" t="str">
        <ns0:f>IF(OR(B915="",J915&lt;&gt;"販売済み",D915="",E915="",G915="",H915=""),"",IF(ISNUMBER(F915),E915-D915-F915-G915-H915,"要確認"))</ns0:f>
        <ns0:v/>
      </ns0:c>
      <ns0:c r="J915" s="6" t="n"/>
      <ns0:c r="K915" s="5" t="n"/>
      <ns0:c r="L915" s="9" t="str">
        <ns0:f>IF(AND(B915&lt;&gt;"",J915="在庫"),COUNTIFS($J$5:J915,"在庫",$B$5:B915,"&lt;&gt;"),"")</ns0:f>
        <ns0:v/>
      </ns0:c>
    </ns0:row>
    <ns0:row r="916">
      <ns0:c r="A916" s="5" t="n"/>
      <ns0:c r="B916" s="6" t="n"/>
      <ns0:c r="C916" s="6" t="n"/>
      <ns0:c r="D916" s="7" t="n"/>
      <ns0:c r="E916" s="7" t="n"/>
      <ns0:c r="F916" s="8" t="str">
        <ns0:f>IF(OR(B916="",J916&lt;&gt;"販売済み",E916="",C916=""),"",IFERROR(IF(OR(COUNTIF('手数料マスタ'!$A$5:$A$104,C916)&lt;&gt;1,COUNTIFS('手数料マスタ'!$A$5:$A$104,C916,'手数料マスタ'!$B$5:$B$104,"&lt;&gt;")&lt;&gt;1,NOT(ISNUMBER(VLOOKUP(C916,'手数料マスタ'!$A$5:$B$104,2,FALSE))),VLOOKUP(C916,'手数料マスタ'!$A$5:$B$104,2,FALSE)&lt;0,VLOOKUP(C916,'手数料マスタ'!$A$5:$B$104,2,FALSE)&gt;1),"要確認",ROUND(E916*VLOOKUP(C916,'手数料マスタ'!$A$5:$B$104,2,FALSE),0)),"要確認"))</ns0:f>
        <ns0:v/>
      </ns0:c>
      <ns0:c r="G916" s="7" t="n"/>
      <ns0:c r="H916" s="7" t="n"/>
      <ns0:c r="I916" s="8" t="str">
        <ns0:f>IF(OR(B916="",J916&lt;&gt;"販売済み",D916="",E916="",G916="",H916=""),"",IF(ISNUMBER(F916),E916-D916-F916-G916-H916,"要確認"))</ns0:f>
        <ns0:v/>
      </ns0:c>
      <ns0:c r="J916" s="6" t="n"/>
      <ns0:c r="K916" s="5" t="n"/>
      <ns0:c r="L916" s="9" t="str">
        <ns0:f>IF(AND(B916&lt;&gt;"",J916="在庫"),COUNTIFS($J$5:J916,"在庫",$B$5:B916,"&lt;&gt;"),"")</ns0:f>
        <ns0:v/>
      </ns0:c>
    </ns0:row>
    <ns0:row r="917">
      <ns0:c r="A917" s="5" t="n"/>
      <ns0:c r="B917" s="6" t="n"/>
      <ns0:c r="C917" s="6" t="n"/>
      <ns0:c r="D917" s="7" t="n"/>
      <ns0:c r="E917" s="7" t="n"/>
      <ns0:c r="F917" s="8" t="str">
        <ns0:f>IF(OR(B917="",J917&lt;&gt;"販売済み",E917="",C917=""),"",IFERROR(IF(OR(COUNTIF('手数料マスタ'!$A$5:$A$104,C917)&lt;&gt;1,COUNTIFS('手数料マスタ'!$A$5:$A$104,C917,'手数料マスタ'!$B$5:$B$104,"&lt;&gt;")&lt;&gt;1,NOT(ISNUMBER(VLOOKUP(C917,'手数料マスタ'!$A$5:$B$104,2,FALSE))),VLOOKUP(C917,'手数料マスタ'!$A$5:$B$104,2,FALSE)&lt;0,VLOOKUP(C917,'手数料マスタ'!$A$5:$B$104,2,FALSE)&gt;1),"要確認",ROUND(E917*VLOOKUP(C917,'手数料マスタ'!$A$5:$B$104,2,FALSE),0)),"要確認"))</ns0:f>
        <ns0:v/>
      </ns0:c>
      <ns0:c r="G917" s="7" t="n"/>
      <ns0:c r="H917" s="7" t="n"/>
      <ns0:c r="I917" s="8" t="str">
        <ns0:f>IF(OR(B917="",J917&lt;&gt;"販売済み",D917="",E917="",G917="",H917=""),"",IF(ISNUMBER(F917),E917-D917-F917-G917-H917,"要確認"))</ns0:f>
        <ns0:v/>
      </ns0:c>
      <ns0:c r="J917" s="6" t="n"/>
      <ns0:c r="K917" s="5" t="n"/>
      <ns0:c r="L917" s="9" t="str">
        <ns0:f>IF(AND(B917&lt;&gt;"",J917="在庫"),COUNTIFS($J$5:J917,"在庫",$B$5:B917,"&lt;&gt;"),"")</ns0:f>
        <ns0:v/>
      </ns0:c>
    </ns0:row>
    <ns0:row r="918">
      <ns0:c r="A918" s="5" t="n"/>
      <ns0:c r="B918" s="6" t="n"/>
      <ns0:c r="C918" s="6" t="n"/>
      <ns0:c r="D918" s="7" t="n"/>
      <ns0:c r="E918" s="7" t="n"/>
      <ns0:c r="F918" s="8" t="str">
        <ns0:f>IF(OR(B918="",J918&lt;&gt;"販売済み",E918="",C918=""),"",IFERROR(IF(OR(COUNTIF('手数料マスタ'!$A$5:$A$104,C918)&lt;&gt;1,COUNTIFS('手数料マスタ'!$A$5:$A$104,C918,'手数料マスタ'!$B$5:$B$104,"&lt;&gt;")&lt;&gt;1,NOT(ISNUMBER(VLOOKUP(C918,'手数料マスタ'!$A$5:$B$104,2,FALSE))),VLOOKUP(C918,'手数料マスタ'!$A$5:$B$104,2,FALSE)&lt;0,VLOOKUP(C918,'手数料マスタ'!$A$5:$B$104,2,FALSE)&gt;1),"要確認",ROUND(E918*VLOOKUP(C918,'手数料マスタ'!$A$5:$B$104,2,FALSE),0)),"要確認"))</ns0:f>
        <ns0:v/>
      </ns0:c>
      <ns0:c r="G918" s="7" t="n"/>
      <ns0:c r="H918" s="7" t="n"/>
      <ns0:c r="I918" s="8" t="str">
        <ns0:f>IF(OR(B918="",J918&lt;&gt;"販売済み",D918="",E918="",G918="",H918=""),"",IF(ISNUMBER(F918),E918-D918-F918-G918-H918,"要確認"))</ns0:f>
        <ns0:v/>
      </ns0:c>
      <ns0:c r="J918" s="6" t="n"/>
      <ns0:c r="K918" s="5" t="n"/>
      <ns0:c r="L918" s="9" t="str">
        <ns0:f>IF(AND(B918&lt;&gt;"",J918="在庫"),COUNTIFS($J$5:J918,"在庫",$B$5:B918,"&lt;&gt;"),"")</ns0:f>
        <ns0:v/>
      </ns0:c>
    </ns0:row>
    <ns0:row r="919">
      <ns0:c r="A919" s="5" t="n"/>
      <ns0:c r="B919" s="6" t="n"/>
      <ns0:c r="C919" s="6" t="n"/>
      <ns0:c r="D919" s="7" t="n"/>
      <ns0:c r="E919" s="7" t="n"/>
      <ns0:c r="F919" s="8" t="str">
        <ns0:f>IF(OR(B919="",J919&lt;&gt;"販売済み",E919="",C919=""),"",IFERROR(IF(OR(COUNTIF('手数料マスタ'!$A$5:$A$104,C919)&lt;&gt;1,COUNTIFS('手数料マスタ'!$A$5:$A$104,C919,'手数料マスタ'!$B$5:$B$104,"&lt;&gt;")&lt;&gt;1,NOT(ISNUMBER(VLOOKUP(C919,'手数料マスタ'!$A$5:$B$104,2,FALSE))),VLOOKUP(C919,'手数料マスタ'!$A$5:$B$104,2,FALSE)&lt;0,VLOOKUP(C919,'手数料マスタ'!$A$5:$B$104,2,FALSE)&gt;1),"要確認",ROUND(E919*VLOOKUP(C919,'手数料マスタ'!$A$5:$B$104,2,FALSE),0)),"要確認"))</ns0:f>
        <ns0:v/>
      </ns0:c>
      <ns0:c r="G919" s="7" t="n"/>
      <ns0:c r="H919" s="7" t="n"/>
      <ns0:c r="I919" s="8" t="str">
        <ns0:f>IF(OR(B919="",J919&lt;&gt;"販売済み",D919="",E919="",G919="",H919=""),"",IF(ISNUMBER(F919),E919-D919-F919-G919-H919,"要確認"))</ns0:f>
        <ns0:v/>
      </ns0:c>
      <ns0:c r="J919" s="6" t="n"/>
      <ns0:c r="K919" s="5" t="n"/>
      <ns0:c r="L919" s="9" t="str">
        <ns0:f>IF(AND(B919&lt;&gt;"",J919="在庫"),COUNTIFS($J$5:J919,"在庫",$B$5:B919,"&lt;&gt;"),"")</ns0:f>
        <ns0:v/>
      </ns0:c>
    </ns0:row>
    <ns0:row r="920">
      <ns0:c r="A920" s="5" t="n"/>
      <ns0:c r="B920" s="6" t="n"/>
      <ns0:c r="C920" s="6" t="n"/>
      <ns0:c r="D920" s="7" t="n"/>
      <ns0:c r="E920" s="7" t="n"/>
      <ns0:c r="F920" s="8" t="str">
        <ns0:f>IF(OR(B920="",J920&lt;&gt;"販売済み",E920="",C920=""),"",IFERROR(IF(OR(COUNTIF('手数料マスタ'!$A$5:$A$104,C920)&lt;&gt;1,COUNTIFS('手数料マスタ'!$A$5:$A$104,C920,'手数料マスタ'!$B$5:$B$104,"&lt;&gt;")&lt;&gt;1,NOT(ISNUMBER(VLOOKUP(C920,'手数料マスタ'!$A$5:$B$104,2,FALSE))),VLOOKUP(C920,'手数料マスタ'!$A$5:$B$104,2,FALSE)&lt;0,VLOOKUP(C920,'手数料マスタ'!$A$5:$B$104,2,FALSE)&gt;1),"要確認",ROUND(E920*VLOOKUP(C920,'手数料マスタ'!$A$5:$B$104,2,FALSE),0)),"要確認"))</ns0:f>
        <ns0:v/>
      </ns0:c>
      <ns0:c r="G920" s="7" t="n"/>
      <ns0:c r="H920" s="7" t="n"/>
      <ns0:c r="I920" s="8" t="str">
        <ns0:f>IF(OR(B920="",J920&lt;&gt;"販売済み",D920="",E920="",G920="",H920=""),"",IF(ISNUMBER(F920),E920-D920-F920-G920-H920,"要確認"))</ns0:f>
        <ns0:v/>
      </ns0:c>
      <ns0:c r="J920" s="6" t="n"/>
      <ns0:c r="K920" s="5" t="n"/>
      <ns0:c r="L920" s="9" t="str">
        <ns0:f>IF(AND(B920&lt;&gt;"",J920="在庫"),COUNTIFS($J$5:J920,"在庫",$B$5:B920,"&lt;&gt;"),"")</ns0:f>
        <ns0:v/>
      </ns0:c>
    </ns0:row>
    <ns0:row r="921">
      <ns0:c r="A921" s="5" t="n"/>
      <ns0:c r="B921" s="6" t="n"/>
      <ns0:c r="C921" s="6" t="n"/>
      <ns0:c r="D921" s="7" t="n"/>
      <ns0:c r="E921" s="7" t="n"/>
      <ns0:c r="F921" s="8" t="str">
        <ns0:f>IF(OR(B921="",J921&lt;&gt;"販売済み",E921="",C921=""),"",IFERROR(IF(OR(COUNTIF('手数料マスタ'!$A$5:$A$104,C921)&lt;&gt;1,COUNTIFS('手数料マスタ'!$A$5:$A$104,C921,'手数料マスタ'!$B$5:$B$104,"&lt;&gt;")&lt;&gt;1,NOT(ISNUMBER(VLOOKUP(C921,'手数料マスタ'!$A$5:$B$104,2,FALSE))),VLOOKUP(C921,'手数料マスタ'!$A$5:$B$104,2,FALSE)&lt;0,VLOOKUP(C921,'手数料マスタ'!$A$5:$B$104,2,FALSE)&gt;1),"要確認",ROUND(E921*VLOOKUP(C921,'手数料マスタ'!$A$5:$B$104,2,FALSE),0)),"要確認"))</ns0:f>
        <ns0:v/>
      </ns0:c>
      <ns0:c r="G921" s="7" t="n"/>
      <ns0:c r="H921" s="7" t="n"/>
      <ns0:c r="I921" s="8" t="str">
        <ns0:f>IF(OR(B921="",J921&lt;&gt;"販売済み",D921="",E921="",G921="",H921=""),"",IF(ISNUMBER(F921),E921-D921-F921-G921-H921,"要確認"))</ns0:f>
        <ns0:v/>
      </ns0:c>
      <ns0:c r="J921" s="6" t="n"/>
      <ns0:c r="K921" s="5" t="n"/>
      <ns0:c r="L921" s="9" t="str">
        <ns0:f>IF(AND(B921&lt;&gt;"",J921="在庫"),COUNTIFS($J$5:J921,"在庫",$B$5:B921,"&lt;&gt;"),"")</ns0:f>
        <ns0:v/>
      </ns0:c>
    </ns0:row>
    <ns0:row r="922">
      <ns0:c r="A922" s="5" t="n"/>
      <ns0:c r="B922" s="6" t="n"/>
      <ns0:c r="C922" s="6" t="n"/>
      <ns0:c r="D922" s="7" t="n"/>
      <ns0:c r="E922" s="7" t="n"/>
      <ns0:c r="F922" s="8" t="str">
        <ns0:f>IF(OR(B922="",J922&lt;&gt;"販売済み",E922="",C922=""),"",IFERROR(IF(OR(COUNTIF('手数料マスタ'!$A$5:$A$104,C922)&lt;&gt;1,COUNTIFS('手数料マスタ'!$A$5:$A$104,C922,'手数料マスタ'!$B$5:$B$104,"&lt;&gt;")&lt;&gt;1,NOT(ISNUMBER(VLOOKUP(C922,'手数料マスタ'!$A$5:$B$104,2,FALSE))),VLOOKUP(C922,'手数料マスタ'!$A$5:$B$104,2,FALSE)&lt;0,VLOOKUP(C922,'手数料マスタ'!$A$5:$B$104,2,FALSE)&gt;1),"要確認",ROUND(E922*VLOOKUP(C922,'手数料マスタ'!$A$5:$B$104,2,FALSE),0)),"要確認"))</ns0:f>
        <ns0:v/>
      </ns0:c>
      <ns0:c r="G922" s="7" t="n"/>
      <ns0:c r="H922" s="7" t="n"/>
      <ns0:c r="I922" s="8" t="str">
        <ns0:f>IF(OR(B922="",J922&lt;&gt;"販売済み",D922="",E922="",G922="",H922=""),"",IF(ISNUMBER(F922),E922-D922-F922-G922-H922,"要確認"))</ns0:f>
        <ns0:v/>
      </ns0:c>
      <ns0:c r="J922" s="6" t="n"/>
      <ns0:c r="K922" s="5" t="n"/>
      <ns0:c r="L922" s="9" t="str">
        <ns0:f>IF(AND(B922&lt;&gt;"",J922="在庫"),COUNTIFS($J$5:J922,"在庫",$B$5:B922,"&lt;&gt;"),"")</ns0:f>
        <ns0:v/>
      </ns0:c>
    </ns0:row>
    <ns0:row r="923">
      <ns0:c r="A923" s="5" t="n"/>
      <ns0:c r="B923" s="6" t="n"/>
      <ns0:c r="C923" s="6" t="n"/>
      <ns0:c r="D923" s="7" t="n"/>
      <ns0:c r="E923" s="7" t="n"/>
      <ns0:c r="F923" s="8" t="str">
        <ns0:f>IF(OR(B923="",J923&lt;&gt;"販売済み",E923="",C923=""),"",IFERROR(IF(OR(COUNTIF('手数料マスタ'!$A$5:$A$104,C923)&lt;&gt;1,COUNTIFS('手数料マスタ'!$A$5:$A$104,C923,'手数料マスタ'!$B$5:$B$104,"&lt;&gt;")&lt;&gt;1,NOT(ISNUMBER(VLOOKUP(C923,'手数料マスタ'!$A$5:$B$104,2,FALSE))),VLOOKUP(C923,'手数料マスタ'!$A$5:$B$104,2,FALSE)&lt;0,VLOOKUP(C923,'手数料マスタ'!$A$5:$B$104,2,FALSE)&gt;1),"要確認",ROUND(E923*VLOOKUP(C923,'手数料マスタ'!$A$5:$B$104,2,FALSE),0)),"要確認"))</ns0:f>
        <ns0:v/>
      </ns0:c>
      <ns0:c r="G923" s="7" t="n"/>
      <ns0:c r="H923" s="7" t="n"/>
      <ns0:c r="I923" s="8" t="str">
        <ns0:f>IF(OR(B923="",J923&lt;&gt;"販売済み",D923="",E923="",G923="",H923=""),"",IF(ISNUMBER(F923),E923-D923-F923-G923-H923,"要確認"))</ns0:f>
        <ns0:v/>
      </ns0:c>
      <ns0:c r="J923" s="6" t="n"/>
      <ns0:c r="K923" s="5" t="n"/>
      <ns0:c r="L923" s="9" t="str">
        <ns0:f>IF(AND(B923&lt;&gt;"",J923="在庫"),COUNTIFS($J$5:J923,"在庫",$B$5:B923,"&lt;&gt;"),"")</ns0:f>
        <ns0:v/>
      </ns0:c>
    </ns0:row>
    <ns0:row r="924">
      <ns0:c r="A924" s="5" t="n"/>
      <ns0:c r="B924" s="6" t="n"/>
      <ns0:c r="C924" s="6" t="n"/>
      <ns0:c r="D924" s="7" t="n"/>
      <ns0:c r="E924" s="7" t="n"/>
      <ns0:c r="F924" s="8" t="str">
        <ns0:f>IF(OR(B924="",J924&lt;&gt;"販売済み",E924="",C924=""),"",IFERROR(IF(OR(COUNTIF('手数料マスタ'!$A$5:$A$104,C924)&lt;&gt;1,COUNTIFS('手数料マスタ'!$A$5:$A$104,C924,'手数料マスタ'!$B$5:$B$104,"&lt;&gt;")&lt;&gt;1,NOT(ISNUMBER(VLOOKUP(C924,'手数料マスタ'!$A$5:$B$104,2,FALSE))),VLOOKUP(C924,'手数料マスタ'!$A$5:$B$104,2,FALSE)&lt;0,VLOOKUP(C924,'手数料マスタ'!$A$5:$B$104,2,FALSE)&gt;1),"要確認",ROUND(E924*VLOOKUP(C924,'手数料マスタ'!$A$5:$B$104,2,FALSE),0)),"要確認"))</ns0:f>
        <ns0:v/>
      </ns0:c>
      <ns0:c r="G924" s="7" t="n"/>
      <ns0:c r="H924" s="7" t="n"/>
      <ns0:c r="I924" s="8" t="str">
        <ns0:f>IF(OR(B924="",J924&lt;&gt;"販売済み",D924="",E924="",G924="",H924=""),"",IF(ISNUMBER(F924),E924-D924-F924-G924-H924,"要確認"))</ns0:f>
        <ns0:v/>
      </ns0:c>
      <ns0:c r="J924" s="6" t="n"/>
      <ns0:c r="K924" s="5" t="n"/>
      <ns0:c r="L924" s="9" t="str">
        <ns0:f>IF(AND(B924&lt;&gt;"",J924="在庫"),COUNTIFS($J$5:J924,"在庫",$B$5:B924,"&lt;&gt;"),"")</ns0:f>
        <ns0:v/>
      </ns0:c>
    </ns0:row>
    <ns0:row r="925">
      <ns0:c r="A925" s="5" t="n"/>
      <ns0:c r="B925" s="6" t="n"/>
      <ns0:c r="C925" s="6" t="n"/>
      <ns0:c r="D925" s="7" t="n"/>
      <ns0:c r="E925" s="7" t="n"/>
      <ns0:c r="F925" s="8" t="str">
        <ns0:f>IF(OR(B925="",J925&lt;&gt;"販売済み",E925="",C925=""),"",IFERROR(IF(OR(COUNTIF('手数料マスタ'!$A$5:$A$104,C925)&lt;&gt;1,COUNTIFS('手数料マスタ'!$A$5:$A$104,C925,'手数料マスタ'!$B$5:$B$104,"&lt;&gt;")&lt;&gt;1,NOT(ISNUMBER(VLOOKUP(C925,'手数料マスタ'!$A$5:$B$104,2,FALSE))),VLOOKUP(C925,'手数料マスタ'!$A$5:$B$104,2,FALSE)&lt;0,VLOOKUP(C925,'手数料マスタ'!$A$5:$B$104,2,FALSE)&gt;1),"要確認",ROUND(E925*VLOOKUP(C925,'手数料マスタ'!$A$5:$B$104,2,FALSE),0)),"要確認"))</ns0:f>
        <ns0:v/>
      </ns0:c>
      <ns0:c r="G925" s="7" t="n"/>
      <ns0:c r="H925" s="7" t="n"/>
      <ns0:c r="I925" s="8" t="str">
        <ns0:f>IF(OR(B925="",J925&lt;&gt;"販売済み",D925="",E925="",G925="",H925=""),"",IF(ISNUMBER(F925),E925-D925-F925-G925-H925,"要確認"))</ns0:f>
        <ns0:v/>
      </ns0:c>
      <ns0:c r="J925" s="6" t="n"/>
      <ns0:c r="K925" s="5" t="n"/>
      <ns0:c r="L925" s="9" t="str">
        <ns0:f>IF(AND(B925&lt;&gt;"",J925="在庫"),COUNTIFS($J$5:J925,"在庫",$B$5:B925,"&lt;&gt;"),"")</ns0:f>
        <ns0:v/>
      </ns0:c>
    </ns0:row>
    <ns0:row r="926">
      <ns0:c r="A926" s="5" t="n"/>
      <ns0:c r="B926" s="6" t="n"/>
      <ns0:c r="C926" s="6" t="n"/>
      <ns0:c r="D926" s="7" t="n"/>
      <ns0:c r="E926" s="7" t="n"/>
      <ns0:c r="F926" s="8" t="str">
        <ns0:f>IF(OR(B926="",J926&lt;&gt;"販売済み",E926="",C926=""),"",IFERROR(IF(OR(COUNTIF('手数料マスタ'!$A$5:$A$104,C926)&lt;&gt;1,COUNTIFS('手数料マスタ'!$A$5:$A$104,C926,'手数料マスタ'!$B$5:$B$104,"&lt;&gt;")&lt;&gt;1,NOT(ISNUMBER(VLOOKUP(C926,'手数料マスタ'!$A$5:$B$104,2,FALSE))),VLOOKUP(C926,'手数料マスタ'!$A$5:$B$104,2,FALSE)&lt;0,VLOOKUP(C926,'手数料マスタ'!$A$5:$B$104,2,FALSE)&gt;1),"要確認",ROUND(E926*VLOOKUP(C926,'手数料マスタ'!$A$5:$B$104,2,FALSE),0)),"要確認"))</ns0:f>
        <ns0:v/>
      </ns0:c>
      <ns0:c r="G926" s="7" t="n"/>
      <ns0:c r="H926" s="7" t="n"/>
      <ns0:c r="I926" s="8" t="str">
        <ns0:f>IF(OR(B926="",J926&lt;&gt;"販売済み",D926="",E926="",G926="",H926=""),"",IF(ISNUMBER(F926),E926-D926-F926-G926-H926,"要確認"))</ns0:f>
        <ns0:v/>
      </ns0:c>
      <ns0:c r="J926" s="6" t="n"/>
      <ns0:c r="K926" s="5" t="n"/>
      <ns0:c r="L926" s="9" t="str">
        <ns0:f>IF(AND(B926&lt;&gt;"",J926="在庫"),COUNTIFS($J$5:J926,"在庫",$B$5:B926,"&lt;&gt;"),"")</ns0:f>
        <ns0:v/>
      </ns0:c>
    </ns0:row>
    <ns0:row r="927">
      <ns0:c r="A927" s="5" t="n"/>
      <ns0:c r="B927" s="6" t="n"/>
      <ns0:c r="C927" s="6" t="n"/>
      <ns0:c r="D927" s="7" t="n"/>
      <ns0:c r="E927" s="7" t="n"/>
      <ns0:c r="F927" s="8" t="str">
        <ns0:f>IF(OR(B927="",J927&lt;&gt;"販売済み",E927="",C927=""),"",IFERROR(IF(OR(COUNTIF('手数料マスタ'!$A$5:$A$104,C927)&lt;&gt;1,COUNTIFS('手数料マスタ'!$A$5:$A$104,C927,'手数料マスタ'!$B$5:$B$104,"&lt;&gt;")&lt;&gt;1,NOT(ISNUMBER(VLOOKUP(C927,'手数料マスタ'!$A$5:$B$104,2,FALSE))),VLOOKUP(C927,'手数料マスタ'!$A$5:$B$104,2,FALSE)&lt;0,VLOOKUP(C927,'手数料マスタ'!$A$5:$B$104,2,FALSE)&gt;1),"要確認",ROUND(E927*VLOOKUP(C927,'手数料マスタ'!$A$5:$B$104,2,FALSE),0)),"要確認"))</ns0:f>
        <ns0:v/>
      </ns0:c>
      <ns0:c r="G927" s="7" t="n"/>
      <ns0:c r="H927" s="7" t="n"/>
      <ns0:c r="I927" s="8" t="str">
        <ns0:f>IF(OR(B927="",J927&lt;&gt;"販売済み",D927="",E927="",G927="",H927=""),"",IF(ISNUMBER(F927),E927-D927-F927-G927-H927,"要確認"))</ns0:f>
        <ns0:v/>
      </ns0:c>
      <ns0:c r="J927" s="6" t="n"/>
      <ns0:c r="K927" s="5" t="n"/>
      <ns0:c r="L927" s="9" t="str">
        <ns0:f>IF(AND(B927&lt;&gt;"",J927="在庫"),COUNTIFS($J$5:J927,"在庫",$B$5:B927,"&lt;&gt;"),"")</ns0:f>
        <ns0:v/>
      </ns0:c>
    </ns0:row>
    <ns0:row r="928">
      <ns0:c r="A928" s="5" t="n"/>
      <ns0:c r="B928" s="6" t="n"/>
      <ns0:c r="C928" s="6" t="n"/>
      <ns0:c r="D928" s="7" t="n"/>
      <ns0:c r="E928" s="7" t="n"/>
      <ns0:c r="F928" s="8" t="str">
        <ns0:f>IF(OR(B928="",J928&lt;&gt;"販売済み",E928="",C928=""),"",IFERROR(IF(OR(COUNTIF('手数料マスタ'!$A$5:$A$104,C928)&lt;&gt;1,COUNTIFS('手数料マスタ'!$A$5:$A$104,C928,'手数料マスタ'!$B$5:$B$104,"&lt;&gt;")&lt;&gt;1,NOT(ISNUMBER(VLOOKUP(C928,'手数料マスタ'!$A$5:$B$104,2,FALSE))),VLOOKUP(C928,'手数料マスタ'!$A$5:$B$104,2,FALSE)&lt;0,VLOOKUP(C928,'手数料マスタ'!$A$5:$B$104,2,FALSE)&gt;1),"要確認",ROUND(E928*VLOOKUP(C928,'手数料マスタ'!$A$5:$B$104,2,FALSE),0)),"要確認"))</ns0:f>
        <ns0:v/>
      </ns0:c>
      <ns0:c r="G928" s="7" t="n"/>
      <ns0:c r="H928" s="7" t="n"/>
      <ns0:c r="I928" s="8" t="str">
        <ns0:f>IF(OR(B928="",J928&lt;&gt;"販売済み",D928="",E928="",G928="",H928=""),"",IF(ISNUMBER(F928),E928-D928-F928-G928-H928,"要確認"))</ns0:f>
        <ns0:v/>
      </ns0:c>
      <ns0:c r="J928" s="6" t="n"/>
      <ns0:c r="K928" s="5" t="n"/>
      <ns0:c r="L928" s="9" t="str">
        <ns0:f>IF(AND(B928&lt;&gt;"",J928="在庫"),COUNTIFS($J$5:J928,"在庫",$B$5:B928,"&lt;&gt;"),"")</ns0:f>
        <ns0:v/>
      </ns0:c>
    </ns0:row>
    <ns0:row r="929">
      <ns0:c r="A929" s="5" t="n"/>
      <ns0:c r="B929" s="6" t="n"/>
      <ns0:c r="C929" s="6" t="n"/>
      <ns0:c r="D929" s="7" t="n"/>
      <ns0:c r="E929" s="7" t="n"/>
      <ns0:c r="F929" s="8" t="str">
        <ns0:f>IF(OR(B929="",J929&lt;&gt;"販売済み",E929="",C929=""),"",IFERROR(IF(OR(COUNTIF('手数料マスタ'!$A$5:$A$104,C929)&lt;&gt;1,COUNTIFS('手数料マスタ'!$A$5:$A$104,C929,'手数料マスタ'!$B$5:$B$104,"&lt;&gt;")&lt;&gt;1,NOT(ISNUMBER(VLOOKUP(C929,'手数料マスタ'!$A$5:$B$104,2,FALSE))),VLOOKUP(C929,'手数料マスタ'!$A$5:$B$104,2,FALSE)&lt;0,VLOOKUP(C929,'手数料マスタ'!$A$5:$B$104,2,FALSE)&gt;1),"要確認",ROUND(E929*VLOOKUP(C929,'手数料マスタ'!$A$5:$B$104,2,FALSE),0)),"要確認"))</ns0:f>
        <ns0:v/>
      </ns0:c>
      <ns0:c r="G929" s="7" t="n"/>
      <ns0:c r="H929" s="7" t="n"/>
      <ns0:c r="I929" s="8" t="str">
        <ns0:f>IF(OR(B929="",J929&lt;&gt;"販売済み",D929="",E929="",G929="",H929=""),"",IF(ISNUMBER(F929),E929-D929-F929-G929-H929,"要確認"))</ns0:f>
        <ns0:v/>
      </ns0:c>
      <ns0:c r="J929" s="6" t="n"/>
      <ns0:c r="K929" s="5" t="n"/>
      <ns0:c r="L929" s="9" t="str">
        <ns0:f>IF(AND(B929&lt;&gt;"",J929="在庫"),COUNTIFS($J$5:J929,"在庫",$B$5:B929,"&lt;&gt;"),"")</ns0:f>
        <ns0:v/>
      </ns0:c>
    </ns0:row>
    <ns0:row r="930">
      <ns0:c r="A930" s="5" t="n"/>
      <ns0:c r="B930" s="6" t="n"/>
      <ns0:c r="C930" s="6" t="n"/>
      <ns0:c r="D930" s="7" t="n"/>
      <ns0:c r="E930" s="7" t="n"/>
      <ns0:c r="F930" s="8" t="str">
        <ns0:f>IF(OR(B930="",J930&lt;&gt;"販売済み",E930="",C930=""),"",IFERROR(IF(OR(COUNTIF('手数料マスタ'!$A$5:$A$104,C930)&lt;&gt;1,COUNTIFS('手数料マスタ'!$A$5:$A$104,C930,'手数料マスタ'!$B$5:$B$104,"&lt;&gt;")&lt;&gt;1,NOT(ISNUMBER(VLOOKUP(C930,'手数料マスタ'!$A$5:$B$104,2,FALSE))),VLOOKUP(C930,'手数料マスタ'!$A$5:$B$104,2,FALSE)&lt;0,VLOOKUP(C930,'手数料マスタ'!$A$5:$B$104,2,FALSE)&gt;1),"要確認",ROUND(E930*VLOOKUP(C930,'手数料マスタ'!$A$5:$B$104,2,FALSE),0)),"要確認"))</ns0:f>
        <ns0:v/>
      </ns0:c>
      <ns0:c r="G930" s="7" t="n"/>
      <ns0:c r="H930" s="7" t="n"/>
      <ns0:c r="I930" s="8" t="str">
        <ns0:f>IF(OR(B930="",J930&lt;&gt;"販売済み",D930="",E930="",G930="",H930=""),"",IF(ISNUMBER(F930),E930-D930-F930-G930-H930,"要確認"))</ns0:f>
        <ns0:v/>
      </ns0:c>
      <ns0:c r="J930" s="6" t="n"/>
      <ns0:c r="K930" s="5" t="n"/>
      <ns0:c r="L930" s="9" t="str">
        <ns0:f>IF(AND(B930&lt;&gt;"",J930="在庫"),COUNTIFS($J$5:J930,"在庫",$B$5:B930,"&lt;&gt;"),"")</ns0:f>
        <ns0:v/>
      </ns0:c>
    </ns0:row>
    <ns0:row r="931">
      <ns0:c r="A931" s="5" t="n"/>
      <ns0:c r="B931" s="6" t="n"/>
      <ns0:c r="C931" s="6" t="n"/>
      <ns0:c r="D931" s="7" t="n"/>
      <ns0:c r="E931" s="7" t="n"/>
      <ns0:c r="F931" s="8" t="str">
        <ns0:f>IF(OR(B931="",J931&lt;&gt;"販売済み",E931="",C931=""),"",IFERROR(IF(OR(COUNTIF('手数料マスタ'!$A$5:$A$104,C931)&lt;&gt;1,COUNTIFS('手数料マスタ'!$A$5:$A$104,C931,'手数料マスタ'!$B$5:$B$104,"&lt;&gt;")&lt;&gt;1,NOT(ISNUMBER(VLOOKUP(C931,'手数料マスタ'!$A$5:$B$104,2,FALSE))),VLOOKUP(C931,'手数料マスタ'!$A$5:$B$104,2,FALSE)&lt;0,VLOOKUP(C931,'手数料マスタ'!$A$5:$B$104,2,FALSE)&gt;1),"要確認",ROUND(E931*VLOOKUP(C931,'手数料マスタ'!$A$5:$B$104,2,FALSE),0)),"要確認"))</ns0:f>
        <ns0:v/>
      </ns0:c>
      <ns0:c r="G931" s="7" t="n"/>
      <ns0:c r="H931" s="7" t="n"/>
      <ns0:c r="I931" s="8" t="str">
        <ns0:f>IF(OR(B931="",J931&lt;&gt;"販売済み",D931="",E931="",G931="",H931=""),"",IF(ISNUMBER(F931),E931-D931-F931-G931-H931,"要確認"))</ns0:f>
        <ns0:v/>
      </ns0:c>
      <ns0:c r="J931" s="6" t="n"/>
      <ns0:c r="K931" s="5" t="n"/>
      <ns0:c r="L931" s="9" t="str">
        <ns0:f>IF(AND(B931&lt;&gt;"",J931="在庫"),COUNTIFS($J$5:J931,"在庫",$B$5:B931,"&lt;&gt;"),"")</ns0:f>
        <ns0:v/>
      </ns0:c>
    </ns0:row>
    <ns0:row r="932">
      <ns0:c r="A932" s="5" t="n"/>
      <ns0:c r="B932" s="6" t="n"/>
      <ns0:c r="C932" s="6" t="n"/>
      <ns0:c r="D932" s="7" t="n"/>
      <ns0:c r="E932" s="7" t="n"/>
      <ns0:c r="F932" s="8" t="str">
        <ns0:f>IF(OR(B932="",J932&lt;&gt;"販売済み",E932="",C932=""),"",IFERROR(IF(OR(COUNTIF('手数料マスタ'!$A$5:$A$104,C932)&lt;&gt;1,COUNTIFS('手数料マスタ'!$A$5:$A$104,C932,'手数料マスタ'!$B$5:$B$104,"&lt;&gt;")&lt;&gt;1,NOT(ISNUMBER(VLOOKUP(C932,'手数料マスタ'!$A$5:$B$104,2,FALSE))),VLOOKUP(C932,'手数料マスタ'!$A$5:$B$104,2,FALSE)&lt;0,VLOOKUP(C932,'手数料マスタ'!$A$5:$B$104,2,FALSE)&gt;1),"要確認",ROUND(E932*VLOOKUP(C932,'手数料マスタ'!$A$5:$B$104,2,FALSE),0)),"要確認"))</ns0:f>
        <ns0:v/>
      </ns0:c>
      <ns0:c r="G932" s="7" t="n"/>
      <ns0:c r="H932" s="7" t="n"/>
      <ns0:c r="I932" s="8" t="str">
        <ns0:f>IF(OR(B932="",J932&lt;&gt;"販売済み",D932="",E932="",G932="",H932=""),"",IF(ISNUMBER(F932),E932-D932-F932-G932-H932,"要確認"))</ns0:f>
        <ns0:v/>
      </ns0:c>
      <ns0:c r="J932" s="6" t="n"/>
      <ns0:c r="K932" s="5" t="n"/>
      <ns0:c r="L932" s="9" t="str">
        <ns0:f>IF(AND(B932&lt;&gt;"",J932="在庫"),COUNTIFS($J$5:J932,"在庫",$B$5:B932,"&lt;&gt;"),"")</ns0:f>
        <ns0:v/>
      </ns0:c>
    </ns0:row>
    <ns0:row r="933">
      <ns0:c r="A933" s="5" t="n"/>
      <ns0:c r="B933" s="6" t="n"/>
      <ns0:c r="C933" s="6" t="n"/>
      <ns0:c r="D933" s="7" t="n"/>
      <ns0:c r="E933" s="7" t="n"/>
      <ns0:c r="F933" s="8" t="str">
        <ns0:f>IF(OR(B933="",J933&lt;&gt;"販売済み",E933="",C933=""),"",IFERROR(IF(OR(COUNTIF('手数料マスタ'!$A$5:$A$104,C933)&lt;&gt;1,COUNTIFS('手数料マスタ'!$A$5:$A$104,C933,'手数料マスタ'!$B$5:$B$104,"&lt;&gt;")&lt;&gt;1,NOT(ISNUMBER(VLOOKUP(C933,'手数料マスタ'!$A$5:$B$104,2,FALSE))),VLOOKUP(C933,'手数料マスタ'!$A$5:$B$104,2,FALSE)&lt;0,VLOOKUP(C933,'手数料マスタ'!$A$5:$B$104,2,FALSE)&gt;1),"要確認",ROUND(E933*VLOOKUP(C933,'手数料マスタ'!$A$5:$B$104,2,FALSE),0)),"要確認"))</ns0:f>
        <ns0:v/>
      </ns0:c>
      <ns0:c r="G933" s="7" t="n"/>
      <ns0:c r="H933" s="7" t="n"/>
      <ns0:c r="I933" s="8" t="str">
        <ns0:f>IF(OR(B933="",J933&lt;&gt;"販売済み",D933="",E933="",G933="",H933=""),"",IF(ISNUMBER(F933),E933-D933-F933-G933-H933,"要確認"))</ns0:f>
        <ns0:v/>
      </ns0:c>
      <ns0:c r="J933" s="6" t="n"/>
      <ns0:c r="K933" s="5" t="n"/>
      <ns0:c r="L933" s="9" t="str">
        <ns0:f>IF(AND(B933&lt;&gt;"",J933="在庫"),COUNTIFS($J$5:J933,"在庫",$B$5:B933,"&lt;&gt;"),"")</ns0:f>
        <ns0:v/>
      </ns0:c>
    </ns0:row>
    <ns0:row r="934">
      <ns0:c r="A934" s="5" t="n"/>
      <ns0:c r="B934" s="6" t="n"/>
      <ns0:c r="C934" s="6" t="n"/>
      <ns0:c r="D934" s="7" t="n"/>
      <ns0:c r="E934" s="7" t="n"/>
      <ns0:c r="F934" s="8" t="str">
        <ns0:f>IF(OR(B934="",J934&lt;&gt;"販売済み",E934="",C934=""),"",IFERROR(IF(OR(COUNTIF('手数料マスタ'!$A$5:$A$104,C934)&lt;&gt;1,COUNTIFS('手数料マスタ'!$A$5:$A$104,C934,'手数料マスタ'!$B$5:$B$104,"&lt;&gt;")&lt;&gt;1,NOT(ISNUMBER(VLOOKUP(C934,'手数料マスタ'!$A$5:$B$104,2,FALSE))),VLOOKUP(C934,'手数料マスタ'!$A$5:$B$104,2,FALSE)&lt;0,VLOOKUP(C934,'手数料マスタ'!$A$5:$B$104,2,FALSE)&gt;1),"要確認",ROUND(E934*VLOOKUP(C934,'手数料マスタ'!$A$5:$B$104,2,FALSE),0)),"要確認"))</ns0:f>
        <ns0:v/>
      </ns0:c>
      <ns0:c r="G934" s="7" t="n"/>
      <ns0:c r="H934" s="7" t="n"/>
      <ns0:c r="I934" s="8" t="str">
        <ns0:f>IF(OR(B934="",J934&lt;&gt;"販売済み",D934="",E934="",G934="",H934=""),"",IF(ISNUMBER(F934),E934-D934-F934-G934-H934,"要確認"))</ns0:f>
        <ns0:v/>
      </ns0:c>
      <ns0:c r="J934" s="6" t="n"/>
      <ns0:c r="K934" s="5" t="n"/>
      <ns0:c r="L934" s="9" t="str">
        <ns0:f>IF(AND(B934&lt;&gt;"",J934="在庫"),COUNTIFS($J$5:J934,"在庫",$B$5:B934,"&lt;&gt;"),"")</ns0:f>
        <ns0:v/>
      </ns0:c>
    </ns0:row>
    <ns0:row r="935">
      <ns0:c r="A935" s="5" t="n"/>
      <ns0:c r="B935" s="6" t="n"/>
      <ns0:c r="C935" s="6" t="n"/>
      <ns0:c r="D935" s="7" t="n"/>
      <ns0:c r="E935" s="7" t="n"/>
      <ns0:c r="F935" s="8" t="str">
        <ns0:f>IF(OR(B935="",J935&lt;&gt;"販売済み",E935="",C935=""),"",IFERROR(IF(OR(COUNTIF('手数料マスタ'!$A$5:$A$104,C935)&lt;&gt;1,COUNTIFS('手数料マスタ'!$A$5:$A$104,C935,'手数料マスタ'!$B$5:$B$104,"&lt;&gt;")&lt;&gt;1,NOT(ISNUMBER(VLOOKUP(C935,'手数料マスタ'!$A$5:$B$104,2,FALSE))),VLOOKUP(C935,'手数料マスタ'!$A$5:$B$104,2,FALSE)&lt;0,VLOOKUP(C935,'手数料マスタ'!$A$5:$B$104,2,FALSE)&gt;1),"要確認",ROUND(E935*VLOOKUP(C935,'手数料マスタ'!$A$5:$B$104,2,FALSE),0)),"要確認"))</ns0:f>
        <ns0:v/>
      </ns0:c>
      <ns0:c r="G935" s="7" t="n"/>
      <ns0:c r="H935" s="7" t="n"/>
      <ns0:c r="I935" s="8" t="str">
        <ns0:f>IF(OR(B935="",J935&lt;&gt;"販売済み",D935="",E935="",G935="",H935=""),"",IF(ISNUMBER(F935),E935-D935-F935-G935-H935,"要確認"))</ns0:f>
        <ns0:v/>
      </ns0:c>
      <ns0:c r="J935" s="6" t="n"/>
      <ns0:c r="K935" s="5" t="n"/>
      <ns0:c r="L935" s="9" t="str">
        <ns0:f>IF(AND(B935&lt;&gt;"",J935="在庫"),COUNTIFS($J$5:J935,"在庫",$B$5:B935,"&lt;&gt;"),"")</ns0:f>
        <ns0:v/>
      </ns0:c>
    </ns0:row>
    <ns0:row r="936">
      <ns0:c r="A936" s="5" t="n"/>
      <ns0:c r="B936" s="6" t="n"/>
      <ns0:c r="C936" s="6" t="n"/>
      <ns0:c r="D936" s="7" t="n"/>
      <ns0:c r="E936" s="7" t="n"/>
      <ns0:c r="F936" s="8" t="str">
        <ns0:f>IF(OR(B936="",J936&lt;&gt;"販売済み",E936="",C936=""),"",IFERROR(IF(OR(COUNTIF('手数料マスタ'!$A$5:$A$104,C936)&lt;&gt;1,COUNTIFS('手数料マスタ'!$A$5:$A$104,C936,'手数料マスタ'!$B$5:$B$104,"&lt;&gt;")&lt;&gt;1,NOT(ISNUMBER(VLOOKUP(C936,'手数料マスタ'!$A$5:$B$104,2,FALSE))),VLOOKUP(C936,'手数料マスタ'!$A$5:$B$104,2,FALSE)&lt;0,VLOOKUP(C936,'手数料マスタ'!$A$5:$B$104,2,FALSE)&gt;1),"要確認",ROUND(E936*VLOOKUP(C936,'手数料マスタ'!$A$5:$B$104,2,FALSE),0)),"要確認"))</ns0:f>
        <ns0:v/>
      </ns0:c>
      <ns0:c r="G936" s="7" t="n"/>
      <ns0:c r="H936" s="7" t="n"/>
      <ns0:c r="I936" s="8" t="str">
        <ns0:f>IF(OR(B936="",J936&lt;&gt;"販売済み",D936="",E936="",G936="",H936=""),"",IF(ISNUMBER(F936),E936-D936-F936-G936-H936,"要確認"))</ns0:f>
        <ns0:v/>
      </ns0:c>
      <ns0:c r="J936" s="6" t="n"/>
      <ns0:c r="K936" s="5" t="n"/>
      <ns0:c r="L936" s="9" t="str">
        <ns0:f>IF(AND(B936&lt;&gt;"",J936="在庫"),COUNTIFS($J$5:J936,"在庫",$B$5:B936,"&lt;&gt;"),"")</ns0:f>
        <ns0:v/>
      </ns0:c>
    </ns0:row>
    <ns0:row r="937">
      <ns0:c r="A937" s="5" t="n"/>
      <ns0:c r="B937" s="6" t="n"/>
      <ns0:c r="C937" s="6" t="n"/>
      <ns0:c r="D937" s="7" t="n"/>
      <ns0:c r="E937" s="7" t="n"/>
      <ns0:c r="F937" s="8" t="str">
        <ns0:f>IF(OR(B937="",J937&lt;&gt;"販売済み",E937="",C937=""),"",IFERROR(IF(OR(COUNTIF('手数料マスタ'!$A$5:$A$104,C937)&lt;&gt;1,COUNTIFS('手数料マスタ'!$A$5:$A$104,C937,'手数料マスタ'!$B$5:$B$104,"&lt;&gt;")&lt;&gt;1,NOT(ISNUMBER(VLOOKUP(C937,'手数料マスタ'!$A$5:$B$104,2,FALSE))),VLOOKUP(C937,'手数料マスタ'!$A$5:$B$104,2,FALSE)&lt;0,VLOOKUP(C937,'手数料マスタ'!$A$5:$B$104,2,FALSE)&gt;1),"要確認",ROUND(E937*VLOOKUP(C937,'手数料マスタ'!$A$5:$B$104,2,FALSE),0)),"要確認"))</ns0:f>
        <ns0:v/>
      </ns0:c>
      <ns0:c r="G937" s="7" t="n"/>
      <ns0:c r="H937" s="7" t="n"/>
      <ns0:c r="I937" s="8" t="str">
        <ns0:f>IF(OR(B937="",J937&lt;&gt;"販売済み",D937="",E937="",G937="",H937=""),"",IF(ISNUMBER(F937),E937-D937-F937-G937-H937,"要確認"))</ns0:f>
        <ns0:v/>
      </ns0:c>
      <ns0:c r="J937" s="6" t="n"/>
      <ns0:c r="K937" s="5" t="n"/>
      <ns0:c r="L937" s="9" t="str">
        <ns0:f>IF(AND(B937&lt;&gt;"",J937="在庫"),COUNTIFS($J$5:J937,"在庫",$B$5:B937,"&lt;&gt;"),"")</ns0:f>
        <ns0:v/>
      </ns0:c>
    </ns0:row>
    <ns0:row r="938">
      <ns0:c r="A938" s="5" t="n"/>
      <ns0:c r="B938" s="6" t="n"/>
      <ns0:c r="C938" s="6" t="n"/>
      <ns0:c r="D938" s="7" t="n"/>
      <ns0:c r="E938" s="7" t="n"/>
      <ns0:c r="F938" s="8" t="str">
        <ns0:f>IF(OR(B938="",J938&lt;&gt;"販売済み",E938="",C938=""),"",IFERROR(IF(OR(COUNTIF('手数料マスタ'!$A$5:$A$104,C938)&lt;&gt;1,COUNTIFS('手数料マスタ'!$A$5:$A$104,C938,'手数料マスタ'!$B$5:$B$104,"&lt;&gt;")&lt;&gt;1,NOT(ISNUMBER(VLOOKUP(C938,'手数料マスタ'!$A$5:$B$104,2,FALSE))),VLOOKUP(C938,'手数料マスタ'!$A$5:$B$104,2,FALSE)&lt;0,VLOOKUP(C938,'手数料マスタ'!$A$5:$B$104,2,FALSE)&gt;1),"要確認",ROUND(E938*VLOOKUP(C938,'手数料マスタ'!$A$5:$B$104,2,FALSE),0)),"要確認"))</ns0:f>
        <ns0:v/>
      </ns0:c>
      <ns0:c r="G938" s="7" t="n"/>
      <ns0:c r="H938" s="7" t="n"/>
      <ns0:c r="I938" s="8" t="str">
        <ns0:f>IF(OR(B938="",J938&lt;&gt;"販売済み",D938="",E938="",G938="",H938=""),"",IF(ISNUMBER(F938),E938-D938-F938-G938-H938,"要確認"))</ns0:f>
        <ns0:v/>
      </ns0:c>
      <ns0:c r="J938" s="6" t="n"/>
      <ns0:c r="K938" s="5" t="n"/>
      <ns0:c r="L938" s="9" t="str">
        <ns0:f>IF(AND(B938&lt;&gt;"",J938="在庫"),COUNTIFS($J$5:J938,"在庫",$B$5:B938,"&lt;&gt;"),"")</ns0:f>
        <ns0:v/>
      </ns0:c>
    </ns0:row>
    <ns0:row r="939">
      <ns0:c r="A939" s="5" t="n"/>
      <ns0:c r="B939" s="6" t="n"/>
      <ns0:c r="C939" s="6" t="n"/>
      <ns0:c r="D939" s="7" t="n"/>
      <ns0:c r="E939" s="7" t="n"/>
      <ns0:c r="F939" s="8" t="str">
        <ns0:f>IF(OR(B939="",J939&lt;&gt;"販売済み",E939="",C939=""),"",IFERROR(IF(OR(COUNTIF('手数料マスタ'!$A$5:$A$104,C939)&lt;&gt;1,COUNTIFS('手数料マスタ'!$A$5:$A$104,C939,'手数料マスタ'!$B$5:$B$104,"&lt;&gt;")&lt;&gt;1,NOT(ISNUMBER(VLOOKUP(C939,'手数料マスタ'!$A$5:$B$104,2,FALSE))),VLOOKUP(C939,'手数料マスタ'!$A$5:$B$104,2,FALSE)&lt;0,VLOOKUP(C939,'手数料マスタ'!$A$5:$B$104,2,FALSE)&gt;1),"要確認",ROUND(E939*VLOOKUP(C939,'手数料マスタ'!$A$5:$B$104,2,FALSE),0)),"要確認"))</ns0:f>
        <ns0:v/>
      </ns0:c>
      <ns0:c r="G939" s="7" t="n"/>
      <ns0:c r="H939" s="7" t="n"/>
      <ns0:c r="I939" s="8" t="str">
        <ns0:f>IF(OR(B939="",J939&lt;&gt;"販売済み",D939="",E939="",G939="",H939=""),"",IF(ISNUMBER(F939),E939-D939-F939-G939-H939,"要確認"))</ns0:f>
        <ns0:v/>
      </ns0:c>
      <ns0:c r="J939" s="6" t="n"/>
      <ns0:c r="K939" s="5" t="n"/>
      <ns0:c r="L939" s="9" t="str">
        <ns0:f>IF(AND(B939&lt;&gt;"",J939="在庫"),COUNTIFS($J$5:J939,"在庫",$B$5:B939,"&lt;&gt;"),"")</ns0:f>
        <ns0:v/>
      </ns0:c>
    </ns0:row>
    <ns0:row r="940">
      <ns0:c r="A940" s="5" t="n"/>
      <ns0:c r="B940" s="6" t="n"/>
      <ns0:c r="C940" s="6" t="n"/>
      <ns0:c r="D940" s="7" t="n"/>
      <ns0:c r="E940" s="7" t="n"/>
      <ns0:c r="F940" s="8" t="str">
        <ns0:f>IF(OR(B940="",J940&lt;&gt;"販売済み",E940="",C940=""),"",IFERROR(IF(OR(COUNTIF('手数料マスタ'!$A$5:$A$104,C940)&lt;&gt;1,COUNTIFS('手数料マスタ'!$A$5:$A$104,C940,'手数料マスタ'!$B$5:$B$104,"&lt;&gt;")&lt;&gt;1,NOT(ISNUMBER(VLOOKUP(C940,'手数料マスタ'!$A$5:$B$104,2,FALSE))),VLOOKUP(C940,'手数料マスタ'!$A$5:$B$104,2,FALSE)&lt;0,VLOOKUP(C940,'手数料マスタ'!$A$5:$B$104,2,FALSE)&gt;1),"要確認",ROUND(E940*VLOOKUP(C940,'手数料マスタ'!$A$5:$B$104,2,FALSE),0)),"要確認"))</ns0:f>
        <ns0:v/>
      </ns0:c>
      <ns0:c r="G940" s="7" t="n"/>
      <ns0:c r="H940" s="7" t="n"/>
      <ns0:c r="I940" s="8" t="str">
        <ns0:f>IF(OR(B940="",J940&lt;&gt;"販売済み",D940="",E940="",G940="",H940=""),"",IF(ISNUMBER(F940),E940-D940-F940-G940-H940,"要確認"))</ns0:f>
        <ns0:v/>
      </ns0:c>
      <ns0:c r="J940" s="6" t="n"/>
      <ns0:c r="K940" s="5" t="n"/>
      <ns0:c r="L940" s="9" t="str">
        <ns0:f>IF(AND(B940&lt;&gt;"",J940="在庫"),COUNTIFS($J$5:J940,"在庫",$B$5:B940,"&lt;&gt;"),"")</ns0:f>
        <ns0:v/>
      </ns0:c>
    </ns0:row>
    <ns0:row r="941">
      <ns0:c r="A941" s="5" t="n"/>
      <ns0:c r="B941" s="6" t="n"/>
      <ns0:c r="C941" s="6" t="n"/>
      <ns0:c r="D941" s="7" t="n"/>
      <ns0:c r="E941" s="7" t="n"/>
      <ns0:c r="F941" s="8" t="str">
        <ns0:f>IF(OR(B941="",J941&lt;&gt;"販売済み",E941="",C941=""),"",IFERROR(IF(OR(COUNTIF('手数料マスタ'!$A$5:$A$104,C941)&lt;&gt;1,COUNTIFS('手数料マスタ'!$A$5:$A$104,C941,'手数料マスタ'!$B$5:$B$104,"&lt;&gt;")&lt;&gt;1,NOT(ISNUMBER(VLOOKUP(C941,'手数料マスタ'!$A$5:$B$104,2,FALSE))),VLOOKUP(C941,'手数料マスタ'!$A$5:$B$104,2,FALSE)&lt;0,VLOOKUP(C941,'手数料マスタ'!$A$5:$B$104,2,FALSE)&gt;1),"要確認",ROUND(E941*VLOOKUP(C941,'手数料マスタ'!$A$5:$B$104,2,FALSE),0)),"要確認"))</ns0:f>
        <ns0:v/>
      </ns0:c>
      <ns0:c r="G941" s="7" t="n"/>
      <ns0:c r="H941" s="7" t="n"/>
      <ns0:c r="I941" s="8" t="str">
        <ns0:f>IF(OR(B941="",J941&lt;&gt;"販売済み",D941="",E941="",G941="",H941=""),"",IF(ISNUMBER(F941),E941-D941-F941-G941-H941,"要確認"))</ns0:f>
        <ns0:v/>
      </ns0:c>
      <ns0:c r="J941" s="6" t="n"/>
      <ns0:c r="K941" s="5" t="n"/>
      <ns0:c r="L941" s="9" t="str">
        <ns0:f>IF(AND(B941&lt;&gt;"",J941="在庫"),COUNTIFS($J$5:J941,"在庫",$B$5:B941,"&lt;&gt;"),"")</ns0:f>
        <ns0:v/>
      </ns0:c>
    </ns0:row>
    <ns0:row r="942">
      <ns0:c r="A942" s="5" t="n"/>
      <ns0:c r="B942" s="6" t="n"/>
      <ns0:c r="C942" s="6" t="n"/>
      <ns0:c r="D942" s="7" t="n"/>
      <ns0:c r="E942" s="7" t="n"/>
      <ns0:c r="F942" s="8" t="str">
        <ns0:f>IF(OR(B942="",J942&lt;&gt;"販売済み",E942="",C942=""),"",IFERROR(IF(OR(COUNTIF('手数料マスタ'!$A$5:$A$104,C942)&lt;&gt;1,COUNTIFS('手数料マスタ'!$A$5:$A$104,C942,'手数料マスタ'!$B$5:$B$104,"&lt;&gt;")&lt;&gt;1,NOT(ISNUMBER(VLOOKUP(C942,'手数料マスタ'!$A$5:$B$104,2,FALSE))),VLOOKUP(C942,'手数料マスタ'!$A$5:$B$104,2,FALSE)&lt;0,VLOOKUP(C942,'手数料マスタ'!$A$5:$B$104,2,FALSE)&gt;1),"要確認",ROUND(E942*VLOOKUP(C942,'手数料マスタ'!$A$5:$B$104,2,FALSE),0)),"要確認"))</ns0:f>
        <ns0:v/>
      </ns0:c>
      <ns0:c r="G942" s="7" t="n"/>
      <ns0:c r="H942" s="7" t="n"/>
      <ns0:c r="I942" s="8" t="str">
        <ns0:f>IF(OR(B942="",J942&lt;&gt;"販売済み",D942="",E942="",G942="",H942=""),"",IF(ISNUMBER(F942),E942-D942-F942-G942-H942,"要確認"))</ns0:f>
        <ns0:v/>
      </ns0:c>
      <ns0:c r="J942" s="6" t="n"/>
      <ns0:c r="K942" s="5" t="n"/>
      <ns0:c r="L942" s="9" t="str">
        <ns0:f>IF(AND(B942&lt;&gt;"",J942="在庫"),COUNTIFS($J$5:J942,"在庫",$B$5:B942,"&lt;&gt;"),"")</ns0:f>
        <ns0:v/>
      </ns0:c>
    </ns0:row>
    <ns0:row r="943">
      <ns0:c r="A943" s="5" t="n"/>
      <ns0:c r="B943" s="6" t="n"/>
      <ns0:c r="C943" s="6" t="n"/>
      <ns0:c r="D943" s="7" t="n"/>
      <ns0:c r="E943" s="7" t="n"/>
      <ns0:c r="F943" s="8" t="str">
        <ns0:f>IF(OR(B943="",J943&lt;&gt;"販売済み",E943="",C943=""),"",IFERROR(IF(OR(COUNTIF('手数料マスタ'!$A$5:$A$104,C943)&lt;&gt;1,COUNTIFS('手数料マスタ'!$A$5:$A$104,C943,'手数料マスタ'!$B$5:$B$104,"&lt;&gt;")&lt;&gt;1,NOT(ISNUMBER(VLOOKUP(C943,'手数料マスタ'!$A$5:$B$104,2,FALSE))),VLOOKUP(C943,'手数料マスタ'!$A$5:$B$104,2,FALSE)&lt;0,VLOOKUP(C943,'手数料マスタ'!$A$5:$B$104,2,FALSE)&gt;1),"要確認",ROUND(E943*VLOOKUP(C943,'手数料マスタ'!$A$5:$B$104,2,FALSE),0)),"要確認"))</ns0:f>
        <ns0:v/>
      </ns0:c>
      <ns0:c r="G943" s="7" t="n"/>
      <ns0:c r="H943" s="7" t="n"/>
      <ns0:c r="I943" s="8" t="str">
        <ns0:f>IF(OR(B943="",J943&lt;&gt;"販売済み",D943="",E943="",G943="",H943=""),"",IF(ISNUMBER(F943),E943-D943-F943-G943-H943,"要確認"))</ns0:f>
        <ns0:v/>
      </ns0:c>
      <ns0:c r="J943" s="6" t="n"/>
      <ns0:c r="K943" s="5" t="n"/>
      <ns0:c r="L943" s="9" t="str">
        <ns0:f>IF(AND(B943&lt;&gt;"",J943="在庫"),COUNTIFS($J$5:J943,"在庫",$B$5:B943,"&lt;&gt;"),"")</ns0:f>
        <ns0:v/>
      </ns0:c>
    </ns0:row>
    <ns0:row r="944">
      <ns0:c r="A944" s="5" t="n"/>
      <ns0:c r="B944" s="6" t="n"/>
      <ns0:c r="C944" s="6" t="n"/>
      <ns0:c r="D944" s="7" t="n"/>
      <ns0:c r="E944" s="7" t="n"/>
      <ns0:c r="F944" s="8" t="str">
        <ns0:f>IF(OR(B944="",J944&lt;&gt;"販売済み",E944="",C944=""),"",IFERROR(IF(OR(COUNTIF('手数料マスタ'!$A$5:$A$104,C944)&lt;&gt;1,COUNTIFS('手数料マスタ'!$A$5:$A$104,C944,'手数料マスタ'!$B$5:$B$104,"&lt;&gt;")&lt;&gt;1,NOT(ISNUMBER(VLOOKUP(C944,'手数料マスタ'!$A$5:$B$104,2,FALSE))),VLOOKUP(C944,'手数料マスタ'!$A$5:$B$104,2,FALSE)&lt;0,VLOOKUP(C944,'手数料マスタ'!$A$5:$B$104,2,FALSE)&gt;1),"要確認",ROUND(E944*VLOOKUP(C944,'手数料マスタ'!$A$5:$B$104,2,FALSE),0)),"要確認"))</ns0:f>
        <ns0:v/>
      </ns0:c>
      <ns0:c r="G944" s="7" t="n"/>
      <ns0:c r="H944" s="7" t="n"/>
      <ns0:c r="I944" s="8" t="str">
        <ns0:f>IF(OR(B944="",J944&lt;&gt;"販売済み",D944="",E944="",G944="",H944=""),"",IF(ISNUMBER(F944),E944-D944-F944-G944-H944,"要確認"))</ns0:f>
        <ns0:v/>
      </ns0:c>
      <ns0:c r="J944" s="6" t="n"/>
      <ns0:c r="K944" s="5" t="n"/>
      <ns0:c r="L944" s="9" t="str">
        <ns0:f>IF(AND(B944&lt;&gt;"",J944="在庫"),COUNTIFS($J$5:J944,"在庫",$B$5:B944,"&lt;&gt;"),"")</ns0:f>
        <ns0:v/>
      </ns0:c>
    </ns0:row>
    <ns0:row r="945">
      <ns0:c r="A945" s="5" t="n"/>
      <ns0:c r="B945" s="6" t="n"/>
      <ns0:c r="C945" s="6" t="n"/>
      <ns0:c r="D945" s="7" t="n"/>
      <ns0:c r="E945" s="7" t="n"/>
      <ns0:c r="F945" s="8" t="str">
        <ns0:f>IF(OR(B945="",J945&lt;&gt;"販売済み",E945="",C945=""),"",IFERROR(IF(OR(COUNTIF('手数料マスタ'!$A$5:$A$104,C945)&lt;&gt;1,COUNTIFS('手数料マスタ'!$A$5:$A$104,C945,'手数料マスタ'!$B$5:$B$104,"&lt;&gt;")&lt;&gt;1,NOT(ISNUMBER(VLOOKUP(C945,'手数料マスタ'!$A$5:$B$104,2,FALSE))),VLOOKUP(C945,'手数料マスタ'!$A$5:$B$104,2,FALSE)&lt;0,VLOOKUP(C945,'手数料マスタ'!$A$5:$B$104,2,FALSE)&gt;1),"要確認",ROUND(E945*VLOOKUP(C945,'手数料マスタ'!$A$5:$B$104,2,FALSE),0)),"要確認"))</ns0:f>
        <ns0:v/>
      </ns0:c>
      <ns0:c r="G945" s="7" t="n"/>
      <ns0:c r="H945" s="7" t="n"/>
      <ns0:c r="I945" s="8" t="str">
        <ns0:f>IF(OR(B945="",J945&lt;&gt;"販売済み",D945="",E945="",G945="",H945=""),"",IF(ISNUMBER(F945),E945-D945-F945-G945-H945,"要確認"))</ns0:f>
        <ns0:v/>
      </ns0:c>
      <ns0:c r="J945" s="6" t="n"/>
      <ns0:c r="K945" s="5" t="n"/>
      <ns0:c r="L945" s="9" t="str">
        <ns0:f>IF(AND(B945&lt;&gt;"",J945="在庫"),COUNTIFS($J$5:J945,"在庫",$B$5:B945,"&lt;&gt;"),"")</ns0:f>
        <ns0:v/>
      </ns0:c>
    </ns0:row>
    <ns0:row r="946">
      <ns0:c r="A946" s="5" t="n"/>
      <ns0:c r="B946" s="6" t="n"/>
      <ns0:c r="C946" s="6" t="n"/>
      <ns0:c r="D946" s="7" t="n"/>
      <ns0:c r="E946" s="7" t="n"/>
      <ns0:c r="F946" s="8" t="str">
        <ns0:f>IF(OR(B946="",J946&lt;&gt;"販売済み",E946="",C946=""),"",IFERROR(IF(OR(COUNTIF('手数料マスタ'!$A$5:$A$104,C946)&lt;&gt;1,COUNTIFS('手数料マスタ'!$A$5:$A$104,C946,'手数料マスタ'!$B$5:$B$104,"&lt;&gt;")&lt;&gt;1,NOT(ISNUMBER(VLOOKUP(C946,'手数料マスタ'!$A$5:$B$104,2,FALSE))),VLOOKUP(C946,'手数料マスタ'!$A$5:$B$104,2,FALSE)&lt;0,VLOOKUP(C946,'手数料マスタ'!$A$5:$B$104,2,FALSE)&gt;1),"要確認",ROUND(E946*VLOOKUP(C946,'手数料マスタ'!$A$5:$B$104,2,FALSE),0)),"要確認"))</ns0:f>
        <ns0:v/>
      </ns0:c>
      <ns0:c r="G946" s="7" t="n"/>
      <ns0:c r="H946" s="7" t="n"/>
      <ns0:c r="I946" s="8" t="str">
        <ns0:f>IF(OR(B946="",J946&lt;&gt;"販売済み",D946="",E946="",G946="",H946=""),"",IF(ISNUMBER(F946),E946-D946-F946-G946-H946,"要確認"))</ns0:f>
        <ns0:v/>
      </ns0:c>
      <ns0:c r="J946" s="6" t="n"/>
      <ns0:c r="K946" s="5" t="n"/>
      <ns0:c r="L946" s="9" t="str">
        <ns0:f>IF(AND(B946&lt;&gt;"",J946="在庫"),COUNTIFS($J$5:J946,"在庫",$B$5:B946,"&lt;&gt;"),"")</ns0:f>
        <ns0:v/>
      </ns0:c>
    </ns0:row>
    <ns0:row r="947">
      <ns0:c r="A947" s="5" t="n"/>
      <ns0:c r="B947" s="6" t="n"/>
      <ns0:c r="C947" s="6" t="n"/>
      <ns0:c r="D947" s="7" t="n"/>
      <ns0:c r="E947" s="7" t="n"/>
      <ns0:c r="F947" s="8" t="str">
        <ns0:f>IF(OR(B947="",J947&lt;&gt;"販売済み",E947="",C947=""),"",IFERROR(IF(OR(COUNTIF('手数料マスタ'!$A$5:$A$104,C947)&lt;&gt;1,COUNTIFS('手数料マスタ'!$A$5:$A$104,C947,'手数料マスタ'!$B$5:$B$104,"&lt;&gt;")&lt;&gt;1,NOT(ISNUMBER(VLOOKUP(C947,'手数料マスタ'!$A$5:$B$104,2,FALSE))),VLOOKUP(C947,'手数料マスタ'!$A$5:$B$104,2,FALSE)&lt;0,VLOOKUP(C947,'手数料マスタ'!$A$5:$B$104,2,FALSE)&gt;1),"要確認",ROUND(E947*VLOOKUP(C947,'手数料マスタ'!$A$5:$B$104,2,FALSE),0)),"要確認"))</ns0:f>
        <ns0:v/>
      </ns0:c>
      <ns0:c r="G947" s="7" t="n"/>
      <ns0:c r="H947" s="7" t="n"/>
      <ns0:c r="I947" s="8" t="str">
        <ns0:f>IF(OR(B947="",J947&lt;&gt;"販売済み",D947="",E947="",G947="",H947=""),"",IF(ISNUMBER(F947),E947-D947-F947-G947-H947,"要確認"))</ns0:f>
        <ns0:v/>
      </ns0:c>
      <ns0:c r="J947" s="6" t="n"/>
      <ns0:c r="K947" s="5" t="n"/>
      <ns0:c r="L947" s="9" t="str">
        <ns0:f>IF(AND(B947&lt;&gt;"",J947="在庫"),COUNTIFS($J$5:J947,"在庫",$B$5:B947,"&lt;&gt;"),"")</ns0:f>
        <ns0:v/>
      </ns0:c>
    </ns0:row>
    <ns0:row r="948">
      <ns0:c r="A948" s="5" t="n"/>
      <ns0:c r="B948" s="6" t="n"/>
      <ns0:c r="C948" s="6" t="n"/>
      <ns0:c r="D948" s="7" t="n"/>
      <ns0:c r="E948" s="7" t="n"/>
      <ns0:c r="F948" s="8" t="str">
        <ns0:f>IF(OR(B948="",J948&lt;&gt;"販売済み",E948="",C948=""),"",IFERROR(IF(OR(COUNTIF('手数料マスタ'!$A$5:$A$104,C948)&lt;&gt;1,COUNTIFS('手数料マスタ'!$A$5:$A$104,C948,'手数料マスタ'!$B$5:$B$104,"&lt;&gt;")&lt;&gt;1,NOT(ISNUMBER(VLOOKUP(C948,'手数料マスタ'!$A$5:$B$104,2,FALSE))),VLOOKUP(C948,'手数料マスタ'!$A$5:$B$104,2,FALSE)&lt;0,VLOOKUP(C948,'手数料マスタ'!$A$5:$B$104,2,FALSE)&gt;1),"要確認",ROUND(E948*VLOOKUP(C948,'手数料マスタ'!$A$5:$B$104,2,FALSE),0)),"要確認"))</ns0:f>
        <ns0:v/>
      </ns0:c>
      <ns0:c r="G948" s="7" t="n"/>
      <ns0:c r="H948" s="7" t="n"/>
      <ns0:c r="I948" s="8" t="str">
        <ns0:f>IF(OR(B948="",J948&lt;&gt;"販売済み",D948="",E948="",G948="",H948=""),"",IF(ISNUMBER(F948),E948-D948-F948-G948-H948,"要確認"))</ns0:f>
        <ns0:v/>
      </ns0:c>
      <ns0:c r="J948" s="6" t="n"/>
      <ns0:c r="K948" s="5" t="n"/>
      <ns0:c r="L948" s="9" t="str">
        <ns0:f>IF(AND(B948&lt;&gt;"",J948="在庫"),COUNTIFS($J$5:J948,"在庫",$B$5:B948,"&lt;&gt;"),"")</ns0:f>
        <ns0:v/>
      </ns0:c>
    </ns0:row>
    <ns0:row r="949">
      <ns0:c r="A949" s="5" t="n"/>
      <ns0:c r="B949" s="6" t="n"/>
      <ns0:c r="C949" s="6" t="n"/>
      <ns0:c r="D949" s="7" t="n"/>
      <ns0:c r="E949" s="7" t="n"/>
      <ns0:c r="F949" s="8" t="str">
        <ns0:f>IF(OR(B949="",J949&lt;&gt;"販売済み",E949="",C949=""),"",IFERROR(IF(OR(COUNTIF('手数料マスタ'!$A$5:$A$104,C949)&lt;&gt;1,COUNTIFS('手数料マスタ'!$A$5:$A$104,C949,'手数料マスタ'!$B$5:$B$104,"&lt;&gt;")&lt;&gt;1,NOT(ISNUMBER(VLOOKUP(C949,'手数料マスタ'!$A$5:$B$104,2,FALSE))),VLOOKUP(C949,'手数料マスタ'!$A$5:$B$104,2,FALSE)&lt;0,VLOOKUP(C949,'手数料マスタ'!$A$5:$B$104,2,FALSE)&gt;1),"要確認",ROUND(E949*VLOOKUP(C949,'手数料マスタ'!$A$5:$B$104,2,FALSE),0)),"要確認"))</ns0:f>
        <ns0:v/>
      </ns0:c>
      <ns0:c r="G949" s="7" t="n"/>
      <ns0:c r="H949" s="7" t="n"/>
      <ns0:c r="I949" s="8" t="str">
        <ns0:f>IF(OR(B949="",J949&lt;&gt;"販売済み",D949="",E949="",G949="",H949=""),"",IF(ISNUMBER(F949),E949-D949-F949-G949-H949,"要確認"))</ns0:f>
        <ns0:v/>
      </ns0:c>
      <ns0:c r="J949" s="6" t="n"/>
      <ns0:c r="K949" s="5" t="n"/>
      <ns0:c r="L949" s="9" t="str">
        <ns0:f>IF(AND(B949&lt;&gt;"",J949="在庫"),COUNTIFS($J$5:J949,"在庫",$B$5:B949,"&lt;&gt;"),"")</ns0:f>
        <ns0:v/>
      </ns0:c>
    </ns0:row>
    <ns0:row r="950">
      <ns0:c r="A950" s="5" t="n"/>
      <ns0:c r="B950" s="6" t="n"/>
      <ns0:c r="C950" s="6" t="n"/>
      <ns0:c r="D950" s="7" t="n"/>
      <ns0:c r="E950" s="7" t="n"/>
      <ns0:c r="F950" s="8" t="str">
        <ns0:f>IF(OR(B950="",J950&lt;&gt;"販売済み",E950="",C950=""),"",IFERROR(IF(OR(COUNTIF('手数料マスタ'!$A$5:$A$104,C950)&lt;&gt;1,COUNTIFS('手数料マスタ'!$A$5:$A$104,C950,'手数料マスタ'!$B$5:$B$104,"&lt;&gt;")&lt;&gt;1,NOT(ISNUMBER(VLOOKUP(C950,'手数料マスタ'!$A$5:$B$104,2,FALSE))),VLOOKUP(C950,'手数料マスタ'!$A$5:$B$104,2,FALSE)&lt;0,VLOOKUP(C950,'手数料マスタ'!$A$5:$B$104,2,FALSE)&gt;1),"要確認",ROUND(E950*VLOOKUP(C950,'手数料マスタ'!$A$5:$B$104,2,FALSE),0)),"要確認"))</ns0:f>
        <ns0:v/>
      </ns0:c>
      <ns0:c r="G950" s="7" t="n"/>
      <ns0:c r="H950" s="7" t="n"/>
      <ns0:c r="I950" s="8" t="str">
        <ns0:f>IF(OR(B950="",J950&lt;&gt;"販売済み",D950="",E950="",G950="",H950=""),"",IF(ISNUMBER(F950),E950-D950-F950-G950-H950,"要確認"))</ns0:f>
        <ns0:v/>
      </ns0:c>
      <ns0:c r="J950" s="6" t="n"/>
      <ns0:c r="K950" s="5" t="n"/>
      <ns0:c r="L950" s="9" t="str">
        <ns0:f>IF(AND(B950&lt;&gt;"",J950="在庫"),COUNTIFS($J$5:J950,"在庫",$B$5:B950,"&lt;&gt;"),"")</ns0:f>
        <ns0:v/>
      </ns0:c>
    </ns0:row>
    <ns0:row r="951">
      <ns0:c r="A951" s="5" t="n"/>
      <ns0:c r="B951" s="6" t="n"/>
      <ns0:c r="C951" s="6" t="n"/>
      <ns0:c r="D951" s="7" t="n"/>
      <ns0:c r="E951" s="7" t="n"/>
      <ns0:c r="F951" s="8" t="str">
        <ns0:f>IF(OR(B951="",J951&lt;&gt;"販売済み",E951="",C951=""),"",IFERROR(IF(OR(COUNTIF('手数料マスタ'!$A$5:$A$104,C951)&lt;&gt;1,COUNTIFS('手数料マスタ'!$A$5:$A$104,C951,'手数料マスタ'!$B$5:$B$104,"&lt;&gt;")&lt;&gt;1,NOT(ISNUMBER(VLOOKUP(C951,'手数料マスタ'!$A$5:$B$104,2,FALSE))),VLOOKUP(C951,'手数料マスタ'!$A$5:$B$104,2,FALSE)&lt;0,VLOOKUP(C951,'手数料マスタ'!$A$5:$B$104,2,FALSE)&gt;1),"要確認",ROUND(E951*VLOOKUP(C951,'手数料マスタ'!$A$5:$B$104,2,FALSE),0)),"要確認"))</ns0:f>
        <ns0:v/>
      </ns0:c>
      <ns0:c r="G951" s="7" t="n"/>
      <ns0:c r="H951" s="7" t="n"/>
      <ns0:c r="I951" s="8" t="str">
        <ns0:f>IF(OR(B951="",J951&lt;&gt;"販売済み",D951="",E951="",G951="",H951=""),"",IF(ISNUMBER(F951),E951-D951-F951-G951-H951,"要確認"))</ns0:f>
        <ns0:v/>
      </ns0:c>
      <ns0:c r="J951" s="6" t="n"/>
      <ns0:c r="K951" s="5" t="n"/>
      <ns0:c r="L951" s="9" t="str">
        <ns0:f>IF(AND(B951&lt;&gt;"",J951="在庫"),COUNTIFS($J$5:J951,"在庫",$B$5:B951,"&lt;&gt;"),"")</ns0:f>
        <ns0:v/>
      </ns0:c>
    </ns0:row>
    <ns0:row r="952">
      <ns0:c r="A952" s="5" t="n"/>
      <ns0:c r="B952" s="6" t="n"/>
      <ns0:c r="C952" s="6" t="n"/>
      <ns0:c r="D952" s="7" t="n"/>
      <ns0:c r="E952" s="7" t="n"/>
      <ns0:c r="F952" s="8" t="str">
        <ns0:f>IF(OR(B952="",J952&lt;&gt;"販売済み",E952="",C952=""),"",IFERROR(IF(OR(COUNTIF('手数料マスタ'!$A$5:$A$104,C952)&lt;&gt;1,COUNTIFS('手数料マスタ'!$A$5:$A$104,C952,'手数料マスタ'!$B$5:$B$104,"&lt;&gt;")&lt;&gt;1,NOT(ISNUMBER(VLOOKUP(C952,'手数料マスタ'!$A$5:$B$104,2,FALSE))),VLOOKUP(C952,'手数料マスタ'!$A$5:$B$104,2,FALSE)&lt;0,VLOOKUP(C952,'手数料マスタ'!$A$5:$B$104,2,FALSE)&gt;1),"要確認",ROUND(E952*VLOOKUP(C952,'手数料マスタ'!$A$5:$B$104,2,FALSE),0)),"要確認"))</ns0:f>
        <ns0:v/>
      </ns0:c>
      <ns0:c r="G952" s="7" t="n"/>
      <ns0:c r="H952" s="7" t="n"/>
      <ns0:c r="I952" s="8" t="str">
        <ns0:f>IF(OR(B952="",J952&lt;&gt;"販売済み",D952="",E952="",G952="",H952=""),"",IF(ISNUMBER(F952),E952-D952-F952-G952-H952,"要確認"))</ns0:f>
        <ns0:v/>
      </ns0:c>
      <ns0:c r="J952" s="6" t="n"/>
      <ns0:c r="K952" s="5" t="n"/>
      <ns0:c r="L952" s="9" t="str">
        <ns0:f>IF(AND(B952&lt;&gt;"",J952="在庫"),COUNTIFS($J$5:J952,"在庫",$B$5:B952,"&lt;&gt;"),"")</ns0:f>
        <ns0:v/>
      </ns0:c>
    </ns0:row>
    <ns0:row r="953">
      <ns0:c r="A953" s="5" t="n"/>
      <ns0:c r="B953" s="6" t="n"/>
      <ns0:c r="C953" s="6" t="n"/>
      <ns0:c r="D953" s="7" t="n"/>
      <ns0:c r="E953" s="7" t="n"/>
      <ns0:c r="F953" s="8" t="str">
        <ns0:f>IF(OR(B953="",J953&lt;&gt;"販売済み",E953="",C953=""),"",IFERROR(IF(OR(COUNTIF('手数料マスタ'!$A$5:$A$104,C953)&lt;&gt;1,COUNTIFS('手数料マスタ'!$A$5:$A$104,C953,'手数料マスタ'!$B$5:$B$104,"&lt;&gt;")&lt;&gt;1,NOT(ISNUMBER(VLOOKUP(C953,'手数料マスタ'!$A$5:$B$104,2,FALSE))),VLOOKUP(C953,'手数料マスタ'!$A$5:$B$104,2,FALSE)&lt;0,VLOOKUP(C953,'手数料マスタ'!$A$5:$B$104,2,FALSE)&gt;1),"要確認",ROUND(E953*VLOOKUP(C953,'手数料マスタ'!$A$5:$B$104,2,FALSE),0)),"要確認"))</ns0:f>
        <ns0:v/>
      </ns0:c>
      <ns0:c r="G953" s="7" t="n"/>
      <ns0:c r="H953" s="7" t="n"/>
      <ns0:c r="I953" s="8" t="str">
        <ns0:f>IF(OR(B953="",J953&lt;&gt;"販売済み",D953="",E953="",G953="",H953=""),"",IF(ISNUMBER(F953),E953-D953-F953-G953-H953,"要確認"))</ns0:f>
        <ns0:v/>
      </ns0:c>
      <ns0:c r="J953" s="6" t="n"/>
      <ns0:c r="K953" s="5" t="n"/>
      <ns0:c r="L953" s="9" t="str">
        <ns0:f>IF(AND(B953&lt;&gt;"",J953="在庫"),COUNTIFS($J$5:J953,"在庫",$B$5:B953,"&lt;&gt;"),"")</ns0:f>
        <ns0:v/>
      </ns0:c>
    </ns0:row>
    <ns0:row r="954">
      <ns0:c r="A954" s="5" t="n"/>
      <ns0:c r="B954" s="6" t="n"/>
      <ns0:c r="C954" s="6" t="n"/>
      <ns0:c r="D954" s="7" t="n"/>
      <ns0:c r="E954" s="7" t="n"/>
      <ns0:c r="F954" s="8" t="str">
        <ns0:f>IF(OR(B954="",J954&lt;&gt;"販売済み",E954="",C954=""),"",IFERROR(IF(OR(COUNTIF('手数料マスタ'!$A$5:$A$104,C954)&lt;&gt;1,COUNTIFS('手数料マスタ'!$A$5:$A$104,C954,'手数料マスタ'!$B$5:$B$104,"&lt;&gt;")&lt;&gt;1,NOT(ISNUMBER(VLOOKUP(C954,'手数料マスタ'!$A$5:$B$104,2,FALSE))),VLOOKUP(C954,'手数料マスタ'!$A$5:$B$104,2,FALSE)&lt;0,VLOOKUP(C954,'手数料マスタ'!$A$5:$B$104,2,FALSE)&gt;1),"要確認",ROUND(E954*VLOOKUP(C954,'手数料マスタ'!$A$5:$B$104,2,FALSE),0)),"要確認"))</ns0:f>
        <ns0:v/>
      </ns0:c>
      <ns0:c r="G954" s="7" t="n"/>
      <ns0:c r="H954" s="7" t="n"/>
      <ns0:c r="I954" s="8" t="str">
        <ns0:f>IF(OR(B954="",J954&lt;&gt;"販売済み",D954="",E954="",G954="",H954=""),"",IF(ISNUMBER(F954),E954-D954-F954-G954-H954,"要確認"))</ns0:f>
        <ns0:v/>
      </ns0:c>
      <ns0:c r="J954" s="6" t="n"/>
      <ns0:c r="K954" s="5" t="n"/>
      <ns0:c r="L954" s="9" t="str">
        <ns0:f>IF(AND(B954&lt;&gt;"",J954="在庫"),COUNTIFS($J$5:J954,"在庫",$B$5:B954,"&lt;&gt;"),"")</ns0:f>
        <ns0:v/>
      </ns0:c>
    </ns0:row>
    <ns0:row r="955">
      <ns0:c r="A955" s="5" t="n"/>
      <ns0:c r="B955" s="6" t="n"/>
      <ns0:c r="C955" s="6" t="n"/>
      <ns0:c r="D955" s="7" t="n"/>
      <ns0:c r="E955" s="7" t="n"/>
      <ns0:c r="F955" s="8" t="str">
        <ns0:f>IF(OR(B955="",J955&lt;&gt;"販売済み",E955="",C955=""),"",IFERROR(IF(OR(COUNTIF('手数料マスタ'!$A$5:$A$104,C955)&lt;&gt;1,COUNTIFS('手数料マスタ'!$A$5:$A$104,C955,'手数料マスタ'!$B$5:$B$104,"&lt;&gt;")&lt;&gt;1,NOT(ISNUMBER(VLOOKUP(C955,'手数料マスタ'!$A$5:$B$104,2,FALSE))),VLOOKUP(C955,'手数料マスタ'!$A$5:$B$104,2,FALSE)&lt;0,VLOOKUP(C955,'手数料マスタ'!$A$5:$B$104,2,FALSE)&gt;1),"要確認",ROUND(E955*VLOOKUP(C955,'手数料マスタ'!$A$5:$B$104,2,FALSE),0)),"要確認"))</ns0:f>
        <ns0:v/>
      </ns0:c>
      <ns0:c r="G955" s="7" t="n"/>
      <ns0:c r="H955" s="7" t="n"/>
      <ns0:c r="I955" s="8" t="str">
        <ns0:f>IF(OR(B955="",J955&lt;&gt;"販売済み",D955="",E955="",G955="",H955=""),"",IF(ISNUMBER(F955),E955-D955-F955-G955-H955,"要確認"))</ns0:f>
        <ns0:v/>
      </ns0:c>
      <ns0:c r="J955" s="6" t="n"/>
      <ns0:c r="K955" s="5" t="n"/>
      <ns0:c r="L955" s="9" t="str">
        <ns0:f>IF(AND(B955&lt;&gt;"",J955="在庫"),COUNTIFS($J$5:J955,"在庫",$B$5:B955,"&lt;&gt;"),"")</ns0:f>
        <ns0:v/>
      </ns0:c>
    </ns0:row>
    <ns0:row r="956">
      <ns0:c r="A956" s="5" t="n"/>
      <ns0:c r="B956" s="6" t="n"/>
      <ns0:c r="C956" s="6" t="n"/>
      <ns0:c r="D956" s="7" t="n"/>
      <ns0:c r="E956" s="7" t="n"/>
      <ns0:c r="F956" s="8" t="str">
        <ns0:f>IF(OR(B956="",J956&lt;&gt;"販売済み",E956="",C956=""),"",IFERROR(IF(OR(COUNTIF('手数料マスタ'!$A$5:$A$104,C956)&lt;&gt;1,COUNTIFS('手数料マスタ'!$A$5:$A$104,C956,'手数料マスタ'!$B$5:$B$104,"&lt;&gt;")&lt;&gt;1,NOT(ISNUMBER(VLOOKUP(C956,'手数料マスタ'!$A$5:$B$104,2,FALSE))),VLOOKUP(C956,'手数料マスタ'!$A$5:$B$104,2,FALSE)&lt;0,VLOOKUP(C956,'手数料マスタ'!$A$5:$B$104,2,FALSE)&gt;1),"要確認",ROUND(E956*VLOOKUP(C956,'手数料マスタ'!$A$5:$B$104,2,FALSE),0)),"要確認"))</ns0:f>
        <ns0:v/>
      </ns0:c>
      <ns0:c r="G956" s="7" t="n"/>
      <ns0:c r="H956" s="7" t="n"/>
      <ns0:c r="I956" s="8" t="str">
        <ns0:f>IF(OR(B956="",J956&lt;&gt;"販売済み",D956="",E956="",G956="",H956=""),"",IF(ISNUMBER(F956),E956-D956-F956-G956-H956,"要確認"))</ns0:f>
        <ns0:v/>
      </ns0:c>
      <ns0:c r="J956" s="6" t="n"/>
      <ns0:c r="K956" s="5" t="n"/>
      <ns0:c r="L956" s="9" t="str">
        <ns0:f>IF(AND(B956&lt;&gt;"",J956="在庫"),COUNTIFS($J$5:J956,"在庫",$B$5:B956,"&lt;&gt;"),"")</ns0:f>
        <ns0:v/>
      </ns0:c>
    </ns0:row>
    <ns0:row r="957">
      <ns0:c r="A957" s="5" t="n"/>
      <ns0:c r="B957" s="6" t="n"/>
      <ns0:c r="C957" s="6" t="n"/>
      <ns0:c r="D957" s="7" t="n"/>
      <ns0:c r="E957" s="7" t="n"/>
      <ns0:c r="F957" s="8" t="str">
        <ns0:f>IF(OR(B957="",J957&lt;&gt;"販売済み",E957="",C957=""),"",IFERROR(IF(OR(COUNTIF('手数料マスタ'!$A$5:$A$104,C957)&lt;&gt;1,COUNTIFS('手数料マスタ'!$A$5:$A$104,C957,'手数料マスタ'!$B$5:$B$104,"&lt;&gt;")&lt;&gt;1,NOT(ISNUMBER(VLOOKUP(C957,'手数料マスタ'!$A$5:$B$104,2,FALSE))),VLOOKUP(C957,'手数料マスタ'!$A$5:$B$104,2,FALSE)&lt;0,VLOOKUP(C957,'手数料マスタ'!$A$5:$B$104,2,FALSE)&gt;1),"要確認",ROUND(E957*VLOOKUP(C957,'手数料マスタ'!$A$5:$B$104,2,FALSE),0)),"要確認"))</ns0:f>
        <ns0:v/>
      </ns0:c>
      <ns0:c r="G957" s="7" t="n"/>
      <ns0:c r="H957" s="7" t="n"/>
      <ns0:c r="I957" s="8" t="str">
        <ns0:f>IF(OR(B957="",J957&lt;&gt;"販売済み",D957="",E957="",G957="",H957=""),"",IF(ISNUMBER(F957),E957-D957-F957-G957-H957,"要確認"))</ns0:f>
        <ns0:v/>
      </ns0:c>
      <ns0:c r="J957" s="6" t="n"/>
      <ns0:c r="K957" s="5" t="n"/>
      <ns0:c r="L957" s="9" t="str">
        <ns0:f>IF(AND(B957&lt;&gt;"",J957="在庫"),COUNTIFS($J$5:J957,"在庫",$B$5:B957,"&lt;&gt;"),"")</ns0:f>
        <ns0:v/>
      </ns0:c>
    </ns0:row>
    <ns0:row r="958">
      <ns0:c r="A958" s="5" t="n"/>
      <ns0:c r="B958" s="6" t="n"/>
      <ns0:c r="C958" s="6" t="n"/>
      <ns0:c r="D958" s="7" t="n"/>
      <ns0:c r="E958" s="7" t="n"/>
      <ns0:c r="F958" s="8" t="str">
        <ns0:f>IF(OR(B958="",J958&lt;&gt;"販売済み",E958="",C958=""),"",IFERROR(IF(OR(COUNTIF('手数料マスタ'!$A$5:$A$104,C958)&lt;&gt;1,COUNTIFS('手数料マスタ'!$A$5:$A$104,C958,'手数料マスタ'!$B$5:$B$104,"&lt;&gt;")&lt;&gt;1,NOT(ISNUMBER(VLOOKUP(C958,'手数料マスタ'!$A$5:$B$104,2,FALSE))),VLOOKUP(C958,'手数料マスタ'!$A$5:$B$104,2,FALSE)&lt;0,VLOOKUP(C958,'手数料マスタ'!$A$5:$B$104,2,FALSE)&gt;1),"要確認",ROUND(E958*VLOOKUP(C958,'手数料マスタ'!$A$5:$B$104,2,FALSE),0)),"要確認"))</ns0:f>
        <ns0:v/>
      </ns0:c>
      <ns0:c r="G958" s="7" t="n"/>
      <ns0:c r="H958" s="7" t="n"/>
      <ns0:c r="I958" s="8" t="str">
        <ns0:f>IF(OR(B958="",J958&lt;&gt;"販売済み",D958="",E958="",G958="",H958=""),"",IF(ISNUMBER(F958),E958-D958-F958-G958-H958,"要確認"))</ns0:f>
        <ns0:v/>
      </ns0:c>
      <ns0:c r="J958" s="6" t="n"/>
      <ns0:c r="K958" s="5" t="n"/>
      <ns0:c r="L958" s="9" t="str">
        <ns0:f>IF(AND(B958&lt;&gt;"",J958="在庫"),COUNTIFS($J$5:J958,"在庫",$B$5:B958,"&lt;&gt;"),"")</ns0:f>
        <ns0:v/>
      </ns0:c>
    </ns0:row>
    <ns0:row r="959">
      <ns0:c r="A959" s="5" t="n"/>
      <ns0:c r="B959" s="6" t="n"/>
      <ns0:c r="C959" s="6" t="n"/>
      <ns0:c r="D959" s="7" t="n"/>
      <ns0:c r="E959" s="7" t="n"/>
      <ns0:c r="F959" s="8" t="str">
        <ns0:f>IF(OR(B959="",J959&lt;&gt;"販売済み",E959="",C959=""),"",IFERROR(IF(OR(COUNTIF('手数料マスタ'!$A$5:$A$104,C959)&lt;&gt;1,COUNTIFS('手数料マスタ'!$A$5:$A$104,C959,'手数料マスタ'!$B$5:$B$104,"&lt;&gt;")&lt;&gt;1,NOT(ISNUMBER(VLOOKUP(C959,'手数料マスタ'!$A$5:$B$104,2,FALSE))),VLOOKUP(C959,'手数料マスタ'!$A$5:$B$104,2,FALSE)&lt;0,VLOOKUP(C959,'手数料マスタ'!$A$5:$B$104,2,FALSE)&gt;1),"要確認",ROUND(E959*VLOOKUP(C959,'手数料マスタ'!$A$5:$B$104,2,FALSE),0)),"要確認"))</ns0:f>
        <ns0:v/>
      </ns0:c>
      <ns0:c r="G959" s="7" t="n"/>
      <ns0:c r="H959" s="7" t="n"/>
      <ns0:c r="I959" s="8" t="str">
        <ns0:f>IF(OR(B959="",J959&lt;&gt;"販売済み",D959="",E959="",G959="",H959=""),"",IF(ISNUMBER(F959),E959-D959-F959-G959-H959,"要確認"))</ns0:f>
        <ns0:v/>
      </ns0:c>
      <ns0:c r="J959" s="6" t="n"/>
      <ns0:c r="K959" s="5" t="n"/>
      <ns0:c r="L959" s="9" t="str">
        <ns0:f>IF(AND(B959&lt;&gt;"",J959="在庫"),COUNTIFS($J$5:J959,"在庫",$B$5:B959,"&lt;&gt;"),"")</ns0:f>
        <ns0:v/>
      </ns0:c>
    </ns0:row>
    <ns0:row r="960">
      <ns0:c r="A960" s="5" t="n"/>
      <ns0:c r="B960" s="6" t="n"/>
      <ns0:c r="C960" s="6" t="n"/>
      <ns0:c r="D960" s="7" t="n"/>
      <ns0:c r="E960" s="7" t="n"/>
      <ns0:c r="F960" s="8" t="str">
        <ns0:f>IF(OR(B960="",J960&lt;&gt;"販売済み",E960="",C960=""),"",IFERROR(IF(OR(COUNTIF('手数料マスタ'!$A$5:$A$104,C960)&lt;&gt;1,COUNTIFS('手数料マスタ'!$A$5:$A$104,C960,'手数料マスタ'!$B$5:$B$104,"&lt;&gt;")&lt;&gt;1,NOT(ISNUMBER(VLOOKUP(C960,'手数料マスタ'!$A$5:$B$104,2,FALSE))),VLOOKUP(C960,'手数料マスタ'!$A$5:$B$104,2,FALSE)&lt;0,VLOOKUP(C960,'手数料マスタ'!$A$5:$B$104,2,FALSE)&gt;1),"要確認",ROUND(E960*VLOOKUP(C960,'手数料マスタ'!$A$5:$B$104,2,FALSE),0)),"要確認"))</ns0:f>
        <ns0:v/>
      </ns0:c>
      <ns0:c r="G960" s="7" t="n"/>
      <ns0:c r="H960" s="7" t="n"/>
      <ns0:c r="I960" s="8" t="str">
        <ns0:f>IF(OR(B960="",J960&lt;&gt;"販売済み",D960="",E960="",G960="",H960=""),"",IF(ISNUMBER(F960),E960-D960-F960-G960-H960,"要確認"))</ns0:f>
        <ns0:v/>
      </ns0:c>
      <ns0:c r="J960" s="6" t="n"/>
      <ns0:c r="K960" s="5" t="n"/>
      <ns0:c r="L960" s="9" t="str">
        <ns0:f>IF(AND(B960&lt;&gt;"",J960="在庫"),COUNTIFS($J$5:J960,"在庫",$B$5:B960,"&lt;&gt;"),"")</ns0:f>
        <ns0:v/>
      </ns0:c>
    </ns0:row>
    <ns0:row r="961">
      <ns0:c r="A961" s="5" t="n"/>
      <ns0:c r="B961" s="6" t="n"/>
      <ns0:c r="C961" s="6" t="n"/>
      <ns0:c r="D961" s="7" t="n"/>
      <ns0:c r="E961" s="7" t="n"/>
      <ns0:c r="F961" s="8" t="str">
        <ns0:f>IF(OR(B961="",J961&lt;&gt;"販売済み",E961="",C961=""),"",IFERROR(IF(OR(COUNTIF('手数料マスタ'!$A$5:$A$104,C961)&lt;&gt;1,COUNTIFS('手数料マスタ'!$A$5:$A$104,C961,'手数料マスタ'!$B$5:$B$104,"&lt;&gt;")&lt;&gt;1,NOT(ISNUMBER(VLOOKUP(C961,'手数料マスタ'!$A$5:$B$104,2,FALSE))),VLOOKUP(C961,'手数料マスタ'!$A$5:$B$104,2,FALSE)&lt;0,VLOOKUP(C961,'手数料マスタ'!$A$5:$B$104,2,FALSE)&gt;1),"要確認",ROUND(E961*VLOOKUP(C961,'手数料マスタ'!$A$5:$B$104,2,FALSE),0)),"要確認"))</ns0:f>
        <ns0:v/>
      </ns0:c>
      <ns0:c r="G961" s="7" t="n"/>
      <ns0:c r="H961" s="7" t="n"/>
      <ns0:c r="I961" s="8" t="str">
        <ns0:f>IF(OR(B961="",J961&lt;&gt;"販売済み",D961="",E961="",G961="",H961=""),"",IF(ISNUMBER(F961),E961-D961-F961-G961-H961,"要確認"))</ns0:f>
        <ns0:v/>
      </ns0:c>
      <ns0:c r="J961" s="6" t="n"/>
      <ns0:c r="K961" s="5" t="n"/>
      <ns0:c r="L961" s="9" t="str">
        <ns0:f>IF(AND(B961&lt;&gt;"",J961="在庫"),COUNTIFS($J$5:J961,"在庫",$B$5:B961,"&lt;&gt;"),"")</ns0:f>
        <ns0:v/>
      </ns0:c>
    </ns0:row>
    <ns0:row r="962">
      <ns0:c r="A962" s="5" t="n"/>
      <ns0:c r="B962" s="6" t="n"/>
      <ns0:c r="C962" s="6" t="n"/>
      <ns0:c r="D962" s="7" t="n"/>
      <ns0:c r="E962" s="7" t="n"/>
      <ns0:c r="F962" s="8" t="str">
        <ns0:f>IF(OR(B962="",J962&lt;&gt;"販売済み",E962="",C962=""),"",IFERROR(IF(OR(COUNTIF('手数料マスタ'!$A$5:$A$104,C962)&lt;&gt;1,COUNTIFS('手数料マスタ'!$A$5:$A$104,C962,'手数料マスタ'!$B$5:$B$104,"&lt;&gt;")&lt;&gt;1,NOT(ISNUMBER(VLOOKUP(C962,'手数料マスタ'!$A$5:$B$104,2,FALSE))),VLOOKUP(C962,'手数料マスタ'!$A$5:$B$104,2,FALSE)&lt;0,VLOOKUP(C962,'手数料マスタ'!$A$5:$B$104,2,FALSE)&gt;1),"要確認",ROUND(E962*VLOOKUP(C962,'手数料マスタ'!$A$5:$B$104,2,FALSE),0)),"要確認"))</ns0:f>
        <ns0:v/>
      </ns0:c>
      <ns0:c r="G962" s="7" t="n"/>
      <ns0:c r="H962" s="7" t="n"/>
      <ns0:c r="I962" s="8" t="str">
        <ns0:f>IF(OR(B962="",J962&lt;&gt;"販売済み",D962="",E962="",G962="",H962=""),"",IF(ISNUMBER(F962),E962-D962-F962-G962-H962,"要確認"))</ns0:f>
        <ns0:v/>
      </ns0:c>
      <ns0:c r="J962" s="6" t="n"/>
      <ns0:c r="K962" s="5" t="n"/>
      <ns0:c r="L962" s="9" t="str">
        <ns0:f>IF(AND(B962&lt;&gt;"",J962="在庫"),COUNTIFS($J$5:J962,"在庫",$B$5:B962,"&lt;&gt;"),"")</ns0:f>
        <ns0:v/>
      </ns0:c>
    </ns0:row>
    <ns0:row r="963">
      <ns0:c r="A963" s="5" t="n"/>
      <ns0:c r="B963" s="6" t="n"/>
      <ns0:c r="C963" s="6" t="n"/>
      <ns0:c r="D963" s="7" t="n"/>
      <ns0:c r="E963" s="7" t="n"/>
      <ns0:c r="F963" s="8" t="str">
        <ns0:f>IF(OR(B963="",J963&lt;&gt;"販売済み",E963="",C963=""),"",IFERROR(IF(OR(COUNTIF('手数料マスタ'!$A$5:$A$104,C963)&lt;&gt;1,COUNTIFS('手数料マスタ'!$A$5:$A$104,C963,'手数料マスタ'!$B$5:$B$104,"&lt;&gt;")&lt;&gt;1,NOT(ISNUMBER(VLOOKUP(C963,'手数料マスタ'!$A$5:$B$104,2,FALSE))),VLOOKUP(C963,'手数料マスタ'!$A$5:$B$104,2,FALSE)&lt;0,VLOOKUP(C963,'手数料マスタ'!$A$5:$B$104,2,FALSE)&gt;1),"要確認",ROUND(E963*VLOOKUP(C963,'手数料マスタ'!$A$5:$B$104,2,FALSE),0)),"要確認"))</ns0:f>
        <ns0:v/>
      </ns0:c>
      <ns0:c r="G963" s="7" t="n"/>
      <ns0:c r="H963" s="7" t="n"/>
      <ns0:c r="I963" s="8" t="str">
        <ns0:f>IF(OR(B963="",J963&lt;&gt;"販売済み",D963="",E963="",G963="",H963=""),"",IF(ISNUMBER(F963),E963-D963-F963-G963-H963,"要確認"))</ns0:f>
        <ns0:v/>
      </ns0:c>
      <ns0:c r="J963" s="6" t="n"/>
      <ns0:c r="K963" s="5" t="n"/>
      <ns0:c r="L963" s="9" t="str">
        <ns0:f>IF(AND(B963&lt;&gt;"",J963="在庫"),COUNTIFS($J$5:J963,"在庫",$B$5:B963,"&lt;&gt;"),"")</ns0:f>
        <ns0:v/>
      </ns0:c>
    </ns0:row>
    <ns0:row r="964">
      <ns0:c r="A964" s="5" t="n"/>
      <ns0:c r="B964" s="6" t="n"/>
      <ns0:c r="C964" s="6" t="n"/>
      <ns0:c r="D964" s="7" t="n"/>
      <ns0:c r="E964" s="7" t="n"/>
      <ns0:c r="F964" s="8" t="str">
        <ns0:f>IF(OR(B964="",J964&lt;&gt;"販売済み",E964="",C964=""),"",IFERROR(IF(OR(COUNTIF('手数料マスタ'!$A$5:$A$104,C964)&lt;&gt;1,COUNTIFS('手数料マスタ'!$A$5:$A$104,C964,'手数料マスタ'!$B$5:$B$104,"&lt;&gt;")&lt;&gt;1,NOT(ISNUMBER(VLOOKUP(C964,'手数料マスタ'!$A$5:$B$104,2,FALSE))),VLOOKUP(C964,'手数料マスタ'!$A$5:$B$104,2,FALSE)&lt;0,VLOOKUP(C964,'手数料マスタ'!$A$5:$B$104,2,FALSE)&gt;1),"要確認",ROUND(E964*VLOOKUP(C964,'手数料マスタ'!$A$5:$B$104,2,FALSE),0)),"要確認"))</ns0:f>
        <ns0:v/>
      </ns0:c>
      <ns0:c r="G964" s="7" t="n"/>
      <ns0:c r="H964" s="7" t="n"/>
      <ns0:c r="I964" s="8" t="str">
        <ns0:f>IF(OR(B964="",J964&lt;&gt;"販売済み",D964="",E964="",G964="",H964=""),"",IF(ISNUMBER(F964),E964-D964-F964-G964-H964,"要確認"))</ns0:f>
        <ns0:v/>
      </ns0:c>
      <ns0:c r="J964" s="6" t="n"/>
      <ns0:c r="K964" s="5" t="n"/>
      <ns0:c r="L964" s="9" t="str">
        <ns0:f>IF(AND(B964&lt;&gt;"",J964="在庫"),COUNTIFS($J$5:J964,"在庫",$B$5:B964,"&lt;&gt;"),"")</ns0:f>
        <ns0:v/>
      </ns0:c>
    </ns0:row>
    <ns0:row r="965">
      <ns0:c r="A965" s="5" t="n"/>
      <ns0:c r="B965" s="6" t="n"/>
      <ns0:c r="C965" s="6" t="n"/>
      <ns0:c r="D965" s="7" t="n"/>
      <ns0:c r="E965" s="7" t="n"/>
      <ns0:c r="F965" s="8" t="str">
        <ns0:f>IF(OR(B965="",J965&lt;&gt;"販売済み",E965="",C965=""),"",IFERROR(IF(OR(COUNTIF('手数料マスタ'!$A$5:$A$104,C965)&lt;&gt;1,COUNTIFS('手数料マスタ'!$A$5:$A$104,C965,'手数料マスタ'!$B$5:$B$104,"&lt;&gt;")&lt;&gt;1,NOT(ISNUMBER(VLOOKUP(C965,'手数料マスタ'!$A$5:$B$104,2,FALSE))),VLOOKUP(C965,'手数料マスタ'!$A$5:$B$104,2,FALSE)&lt;0,VLOOKUP(C965,'手数料マスタ'!$A$5:$B$104,2,FALSE)&gt;1),"要確認",ROUND(E965*VLOOKUP(C965,'手数料マスタ'!$A$5:$B$104,2,FALSE),0)),"要確認"))</ns0:f>
        <ns0:v/>
      </ns0:c>
      <ns0:c r="G965" s="7" t="n"/>
      <ns0:c r="H965" s="7" t="n"/>
      <ns0:c r="I965" s="8" t="str">
        <ns0:f>IF(OR(B965="",J965&lt;&gt;"販売済み",D965="",E965="",G965="",H965=""),"",IF(ISNUMBER(F965),E965-D965-F965-G965-H965,"要確認"))</ns0:f>
        <ns0:v/>
      </ns0:c>
      <ns0:c r="J965" s="6" t="n"/>
      <ns0:c r="K965" s="5" t="n"/>
      <ns0:c r="L965" s="9" t="str">
        <ns0:f>IF(AND(B965&lt;&gt;"",J965="在庫"),COUNTIFS($J$5:J965,"在庫",$B$5:B965,"&lt;&gt;"),"")</ns0:f>
        <ns0:v/>
      </ns0:c>
    </ns0:row>
    <ns0:row r="966">
      <ns0:c r="A966" s="5" t="n"/>
      <ns0:c r="B966" s="6" t="n"/>
      <ns0:c r="C966" s="6" t="n"/>
      <ns0:c r="D966" s="7" t="n"/>
      <ns0:c r="E966" s="7" t="n"/>
      <ns0:c r="F966" s="8" t="str">
        <ns0:f>IF(OR(B966="",J966&lt;&gt;"販売済み",E966="",C966=""),"",IFERROR(IF(OR(COUNTIF('手数料マスタ'!$A$5:$A$104,C966)&lt;&gt;1,COUNTIFS('手数料マスタ'!$A$5:$A$104,C966,'手数料マスタ'!$B$5:$B$104,"&lt;&gt;")&lt;&gt;1,NOT(ISNUMBER(VLOOKUP(C966,'手数料マスタ'!$A$5:$B$104,2,FALSE))),VLOOKUP(C966,'手数料マスタ'!$A$5:$B$104,2,FALSE)&lt;0,VLOOKUP(C966,'手数料マスタ'!$A$5:$B$104,2,FALSE)&gt;1),"要確認",ROUND(E966*VLOOKUP(C966,'手数料マスタ'!$A$5:$B$104,2,FALSE),0)),"要確認"))</ns0:f>
        <ns0:v/>
      </ns0:c>
      <ns0:c r="G966" s="7" t="n"/>
      <ns0:c r="H966" s="7" t="n"/>
      <ns0:c r="I966" s="8" t="str">
        <ns0:f>IF(OR(B966="",J966&lt;&gt;"販売済み",D966="",E966="",G966="",H966=""),"",IF(ISNUMBER(F966),E966-D966-F966-G966-H966,"要確認"))</ns0:f>
        <ns0:v/>
      </ns0:c>
      <ns0:c r="J966" s="6" t="n"/>
      <ns0:c r="K966" s="5" t="n"/>
      <ns0:c r="L966" s="9" t="str">
        <ns0:f>IF(AND(B966&lt;&gt;"",J966="在庫"),COUNTIFS($J$5:J966,"在庫",$B$5:B966,"&lt;&gt;"),"")</ns0:f>
        <ns0:v/>
      </ns0:c>
    </ns0:row>
    <ns0:row r="967">
      <ns0:c r="A967" s="5" t="n"/>
      <ns0:c r="B967" s="6" t="n"/>
      <ns0:c r="C967" s="6" t="n"/>
      <ns0:c r="D967" s="7" t="n"/>
      <ns0:c r="E967" s="7" t="n"/>
      <ns0:c r="F967" s="8" t="str">
        <ns0:f>IF(OR(B967="",J967&lt;&gt;"販売済み",E967="",C967=""),"",IFERROR(IF(OR(COUNTIF('手数料マスタ'!$A$5:$A$104,C967)&lt;&gt;1,COUNTIFS('手数料マスタ'!$A$5:$A$104,C967,'手数料マスタ'!$B$5:$B$104,"&lt;&gt;")&lt;&gt;1,NOT(ISNUMBER(VLOOKUP(C967,'手数料マスタ'!$A$5:$B$104,2,FALSE))),VLOOKUP(C967,'手数料マスタ'!$A$5:$B$104,2,FALSE)&lt;0,VLOOKUP(C967,'手数料マスタ'!$A$5:$B$104,2,FALSE)&gt;1),"要確認",ROUND(E967*VLOOKUP(C967,'手数料マスタ'!$A$5:$B$104,2,FALSE),0)),"要確認"))</ns0:f>
        <ns0:v/>
      </ns0:c>
      <ns0:c r="G967" s="7" t="n"/>
      <ns0:c r="H967" s="7" t="n"/>
      <ns0:c r="I967" s="8" t="str">
        <ns0:f>IF(OR(B967="",J967&lt;&gt;"販売済み",D967="",E967="",G967="",H967=""),"",IF(ISNUMBER(F967),E967-D967-F967-G967-H967,"要確認"))</ns0:f>
        <ns0:v/>
      </ns0:c>
      <ns0:c r="J967" s="6" t="n"/>
      <ns0:c r="K967" s="5" t="n"/>
      <ns0:c r="L967" s="9" t="str">
        <ns0:f>IF(AND(B967&lt;&gt;"",J967="在庫"),COUNTIFS($J$5:J967,"在庫",$B$5:B967,"&lt;&gt;"),"")</ns0:f>
        <ns0:v/>
      </ns0:c>
    </ns0:row>
    <ns0:row r="968">
      <ns0:c r="A968" s="5" t="n"/>
      <ns0:c r="B968" s="6" t="n"/>
      <ns0:c r="C968" s="6" t="n"/>
      <ns0:c r="D968" s="7" t="n"/>
      <ns0:c r="E968" s="7" t="n"/>
      <ns0:c r="F968" s="8" t="str">
        <ns0:f>IF(OR(B968="",J968&lt;&gt;"販売済み",E968="",C968=""),"",IFERROR(IF(OR(COUNTIF('手数料マスタ'!$A$5:$A$104,C968)&lt;&gt;1,COUNTIFS('手数料マスタ'!$A$5:$A$104,C968,'手数料マスタ'!$B$5:$B$104,"&lt;&gt;")&lt;&gt;1,NOT(ISNUMBER(VLOOKUP(C968,'手数料マスタ'!$A$5:$B$104,2,FALSE))),VLOOKUP(C968,'手数料マスタ'!$A$5:$B$104,2,FALSE)&lt;0,VLOOKUP(C968,'手数料マスタ'!$A$5:$B$104,2,FALSE)&gt;1),"要確認",ROUND(E968*VLOOKUP(C968,'手数料マスタ'!$A$5:$B$104,2,FALSE),0)),"要確認"))</ns0:f>
        <ns0:v/>
      </ns0:c>
      <ns0:c r="G968" s="7" t="n"/>
      <ns0:c r="H968" s="7" t="n"/>
      <ns0:c r="I968" s="8" t="str">
        <ns0:f>IF(OR(B968="",J968&lt;&gt;"販売済み",D968="",E968="",G968="",H968=""),"",IF(ISNUMBER(F968),E968-D968-F968-G968-H968,"要確認"))</ns0:f>
        <ns0:v/>
      </ns0:c>
      <ns0:c r="J968" s="6" t="n"/>
      <ns0:c r="K968" s="5" t="n"/>
      <ns0:c r="L968" s="9" t="str">
        <ns0:f>IF(AND(B968&lt;&gt;"",J968="在庫"),COUNTIFS($J$5:J968,"在庫",$B$5:B968,"&lt;&gt;"),"")</ns0:f>
        <ns0:v/>
      </ns0:c>
    </ns0:row>
    <ns0:row r="969">
      <ns0:c r="A969" s="5" t="n"/>
      <ns0:c r="B969" s="6" t="n"/>
      <ns0:c r="C969" s="6" t="n"/>
      <ns0:c r="D969" s="7" t="n"/>
      <ns0:c r="E969" s="7" t="n"/>
      <ns0:c r="F969" s="8" t="str">
        <ns0:f>IF(OR(B969="",J969&lt;&gt;"販売済み",E969="",C969=""),"",IFERROR(IF(OR(COUNTIF('手数料マスタ'!$A$5:$A$104,C969)&lt;&gt;1,COUNTIFS('手数料マスタ'!$A$5:$A$104,C969,'手数料マスタ'!$B$5:$B$104,"&lt;&gt;")&lt;&gt;1,NOT(ISNUMBER(VLOOKUP(C969,'手数料マスタ'!$A$5:$B$104,2,FALSE))),VLOOKUP(C969,'手数料マスタ'!$A$5:$B$104,2,FALSE)&lt;0,VLOOKUP(C969,'手数料マスタ'!$A$5:$B$104,2,FALSE)&gt;1),"要確認",ROUND(E969*VLOOKUP(C969,'手数料マスタ'!$A$5:$B$104,2,FALSE),0)),"要確認"))</ns0:f>
        <ns0:v/>
      </ns0:c>
      <ns0:c r="G969" s="7" t="n"/>
      <ns0:c r="H969" s="7" t="n"/>
      <ns0:c r="I969" s="8" t="str">
        <ns0:f>IF(OR(B969="",J969&lt;&gt;"販売済み",D969="",E969="",G969="",H969=""),"",IF(ISNUMBER(F969),E969-D969-F969-G969-H969,"要確認"))</ns0:f>
        <ns0:v/>
      </ns0:c>
      <ns0:c r="J969" s="6" t="n"/>
      <ns0:c r="K969" s="5" t="n"/>
      <ns0:c r="L969" s="9" t="str">
        <ns0:f>IF(AND(B969&lt;&gt;"",J969="在庫"),COUNTIFS($J$5:J969,"在庫",$B$5:B969,"&lt;&gt;"),"")</ns0:f>
        <ns0:v/>
      </ns0:c>
    </ns0:row>
    <ns0:row r="970">
      <ns0:c r="A970" s="5" t="n"/>
      <ns0:c r="B970" s="6" t="n"/>
      <ns0:c r="C970" s="6" t="n"/>
      <ns0:c r="D970" s="7" t="n"/>
      <ns0:c r="E970" s="7" t="n"/>
      <ns0:c r="F970" s="8" t="str">
        <ns0:f>IF(OR(B970="",J970&lt;&gt;"販売済み",E970="",C970=""),"",IFERROR(IF(OR(COUNTIF('手数料マスタ'!$A$5:$A$104,C970)&lt;&gt;1,COUNTIFS('手数料マスタ'!$A$5:$A$104,C970,'手数料マスタ'!$B$5:$B$104,"&lt;&gt;")&lt;&gt;1,NOT(ISNUMBER(VLOOKUP(C970,'手数料マスタ'!$A$5:$B$104,2,FALSE))),VLOOKUP(C970,'手数料マスタ'!$A$5:$B$104,2,FALSE)&lt;0,VLOOKUP(C970,'手数料マスタ'!$A$5:$B$104,2,FALSE)&gt;1),"要確認",ROUND(E970*VLOOKUP(C970,'手数料マスタ'!$A$5:$B$104,2,FALSE),0)),"要確認"))</ns0:f>
        <ns0:v/>
      </ns0:c>
      <ns0:c r="G970" s="7" t="n"/>
      <ns0:c r="H970" s="7" t="n"/>
      <ns0:c r="I970" s="8" t="str">
        <ns0:f>IF(OR(B970="",J970&lt;&gt;"販売済み",D970="",E970="",G970="",H970=""),"",IF(ISNUMBER(F970),E970-D970-F970-G970-H970,"要確認"))</ns0:f>
        <ns0:v/>
      </ns0:c>
      <ns0:c r="J970" s="6" t="n"/>
      <ns0:c r="K970" s="5" t="n"/>
      <ns0:c r="L970" s="9" t="str">
        <ns0:f>IF(AND(B970&lt;&gt;"",J970="在庫"),COUNTIFS($J$5:J970,"在庫",$B$5:B970,"&lt;&gt;"),"")</ns0:f>
        <ns0:v/>
      </ns0:c>
    </ns0:row>
    <ns0:row r="971">
      <ns0:c r="A971" s="5" t="n"/>
      <ns0:c r="B971" s="6" t="n"/>
      <ns0:c r="C971" s="6" t="n"/>
      <ns0:c r="D971" s="7" t="n"/>
      <ns0:c r="E971" s="7" t="n"/>
      <ns0:c r="F971" s="8" t="str">
        <ns0:f>IF(OR(B971="",J971&lt;&gt;"販売済み",E971="",C971=""),"",IFERROR(IF(OR(COUNTIF('手数料マスタ'!$A$5:$A$104,C971)&lt;&gt;1,COUNTIFS('手数料マスタ'!$A$5:$A$104,C971,'手数料マスタ'!$B$5:$B$104,"&lt;&gt;")&lt;&gt;1,NOT(ISNUMBER(VLOOKUP(C971,'手数料マスタ'!$A$5:$B$104,2,FALSE))),VLOOKUP(C971,'手数料マスタ'!$A$5:$B$104,2,FALSE)&lt;0,VLOOKUP(C971,'手数料マスタ'!$A$5:$B$104,2,FALSE)&gt;1),"要確認",ROUND(E971*VLOOKUP(C971,'手数料マスタ'!$A$5:$B$104,2,FALSE),0)),"要確認"))</ns0:f>
        <ns0:v/>
      </ns0:c>
      <ns0:c r="G971" s="7" t="n"/>
      <ns0:c r="H971" s="7" t="n"/>
      <ns0:c r="I971" s="8" t="str">
        <ns0:f>IF(OR(B971="",J971&lt;&gt;"販売済み",D971="",E971="",G971="",H971=""),"",IF(ISNUMBER(F971),E971-D971-F971-G971-H971,"要確認"))</ns0:f>
        <ns0:v/>
      </ns0:c>
      <ns0:c r="J971" s="6" t="n"/>
      <ns0:c r="K971" s="5" t="n"/>
      <ns0:c r="L971" s="9" t="str">
        <ns0:f>IF(AND(B971&lt;&gt;"",J971="在庫"),COUNTIFS($J$5:J971,"在庫",$B$5:B971,"&lt;&gt;"),"")</ns0:f>
        <ns0:v/>
      </ns0:c>
    </ns0:row>
    <ns0:row r="972">
      <ns0:c r="A972" s="5" t="n"/>
      <ns0:c r="B972" s="6" t="n"/>
      <ns0:c r="C972" s="6" t="n"/>
      <ns0:c r="D972" s="7" t="n"/>
      <ns0:c r="E972" s="7" t="n"/>
      <ns0:c r="F972" s="8" t="str">
        <ns0:f>IF(OR(B972="",J972&lt;&gt;"販売済み",E972="",C972=""),"",IFERROR(IF(OR(COUNTIF('手数料マスタ'!$A$5:$A$104,C972)&lt;&gt;1,COUNTIFS('手数料マスタ'!$A$5:$A$104,C972,'手数料マスタ'!$B$5:$B$104,"&lt;&gt;")&lt;&gt;1,NOT(ISNUMBER(VLOOKUP(C972,'手数料マスタ'!$A$5:$B$104,2,FALSE))),VLOOKUP(C972,'手数料マスタ'!$A$5:$B$104,2,FALSE)&lt;0,VLOOKUP(C972,'手数料マスタ'!$A$5:$B$104,2,FALSE)&gt;1),"要確認",ROUND(E972*VLOOKUP(C972,'手数料マスタ'!$A$5:$B$104,2,FALSE),0)),"要確認"))</ns0:f>
        <ns0:v/>
      </ns0:c>
      <ns0:c r="G972" s="7" t="n"/>
      <ns0:c r="H972" s="7" t="n"/>
      <ns0:c r="I972" s="8" t="str">
        <ns0:f>IF(OR(B972="",J972&lt;&gt;"販売済み",D972="",E972="",G972="",H972=""),"",IF(ISNUMBER(F972),E972-D972-F972-G972-H972,"要確認"))</ns0:f>
        <ns0:v/>
      </ns0:c>
      <ns0:c r="J972" s="6" t="n"/>
      <ns0:c r="K972" s="5" t="n"/>
      <ns0:c r="L972" s="9" t="str">
        <ns0:f>IF(AND(B972&lt;&gt;"",J972="在庫"),COUNTIFS($J$5:J972,"在庫",$B$5:B972,"&lt;&gt;"),"")</ns0:f>
        <ns0:v/>
      </ns0:c>
    </ns0:row>
    <ns0:row r="973">
      <ns0:c r="A973" s="5" t="n"/>
      <ns0:c r="B973" s="6" t="n"/>
      <ns0:c r="C973" s="6" t="n"/>
      <ns0:c r="D973" s="7" t="n"/>
      <ns0:c r="E973" s="7" t="n"/>
      <ns0:c r="F973" s="8" t="str">
        <ns0:f>IF(OR(B973="",J973&lt;&gt;"販売済み",E973="",C973=""),"",IFERROR(IF(OR(COUNTIF('手数料マスタ'!$A$5:$A$104,C973)&lt;&gt;1,COUNTIFS('手数料マスタ'!$A$5:$A$104,C973,'手数料マスタ'!$B$5:$B$104,"&lt;&gt;")&lt;&gt;1,NOT(ISNUMBER(VLOOKUP(C973,'手数料マスタ'!$A$5:$B$104,2,FALSE))),VLOOKUP(C973,'手数料マスタ'!$A$5:$B$104,2,FALSE)&lt;0,VLOOKUP(C973,'手数料マスタ'!$A$5:$B$104,2,FALSE)&gt;1),"要確認",ROUND(E973*VLOOKUP(C973,'手数料マスタ'!$A$5:$B$104,2,FALSE),0)),"要確認"))</ns0:f>
        <ns0:v/>
      </ns0:c>
      <ns0:c r="G973" s="7" t="n"/>
      <ns0:c r="H973" s="7" t="n"/>
      <ns0:c r="I973" s="8" t="str">
        <ns0:f>IF(OR(B973="",J973&lt;&gt;"販売済み",D973="",E973="",G973="",H973=""),"",IF(ISNUMBER(F973),E973-D973-F973-G973-H973,"要確認"))</ns0:f>
        <ns0:v/>
      </ns0:c>
      <ns0:c r="J973" s="6" t="n"/>
      <ns0:c r="K973" s="5" t="n"/>
      <ns0:c r="L973" s="9" t="str">
        <ns0:f>IF(AND(B973&lt;&gt;"",J973="在庫"),COUNTIFS($J$5:J973,"在庫",$B$5:B973,"&lt;&gt;"),"")</ns0:f>
        <ns0:v/>
      </ns0:c>
    </ns0:row>
    <ns0:row r="974">
      <ns0:c r="A974" s="5" t="n"/>
      <ns0:c r="B974" s="6" t="n"/>
      <ns0:c r="C974" s="6" t="n"/>
      <ns0:c r="D974" s="7" t="n"/>
      <ns0:c r="E974" s="7" t="n"/>
      <ns0:c r="F974" s="8" t="str">
        <ns0:f>IF(OR(B974="",J974&lt;&gt;"販売済み",E974="",C974=""),"",IFERROR(IF(OR(COUNTIF('手数料マスタ'!$A$5:$A$104,C974)&lt;&gt;1,COUNTIFS('手数料マスタ'!$A$5:$A$104,C974,'手数料マスタ'!$B$5:$B$104,"&lt;&gt;")&lt;&gt;1,NOT(ISNUMBER(VLOOKUP(C974,'手数料マスタ'!$A$5:$B$104,2,FALSE))),VLOOKUP(C974,'手数料マスタ'!$A$5:$B$104,2,FALSE)&lt;0,VLOOKUP(C974,'手数料マスタ'!$A$5:$B$104,2,FALSE)&gt;1),"要確認",ROUND(E974*VLOOKUP(C974,'手数料マスタ'!$A$5:$B$104,2,FALSE),0)),"要確認"))</ns0:f>
        <ns0:v/>
      </ns0:c>
      <ns0:c r="G974" s="7" t="n"/>
      <ns0:c r="H974" s="7" t="n"/>
      <ns0:c r="I974" s="8" t="str">
        <ns0:f>IF(OR(B974="",J974&lt;&gt;"販売済み",D974="",E974="",G974="",H974=""),"",IF(ISNUMBER(F974),E974-D974-F974-G974-H974,"要確認"))</ns0:f>
        <ns0:v/>
      </ns0:c>
      <ns0:c r="J974" s="6" t="n"/>
      <ns0:c r="K974" s="5" t="n"/>
      <ns0:c r="L974" s="9" t="str">
        <ns0:f>IF(AND(B974&lt;&gt;"",J974="在庫"),COUNTIFS($J$5:J974,"在庫",$B$5:B974,"&lt;&gt;"),"")</ns0:f>
        <ns0:v/>
      </ns0:c>
    </ns0:row>
    <ns0:row r="975">
      <ns0:c r="A975" s="5" t="n"/>
      <ns0:c r="B975" s="6" t="n"/>
      <ns0:c r="C975" s="6" t="n"/>
      <ns0:c r="D975" s="7" t="n"/>
      <ns0:c r="E975" s="7" t="n"/>
      <ns0:c r="F975" s="8" t="str">
        <ns0:f>IF(OR(B975="",J975&lt;&gt;"販売済み",E975="",C975=""),"",IFERROR(IF(OR(COUNTIF('手数料マスタ'!$A$5:$A$104,C975)&lt;&gt;1,COUNTIFS('手数料マスタ'!$A$5:$A$104,C975,'手数料マスタ'!$B$5:$B$104,"&lt;&gt;")&lt;&gt;1,NOT(ISNUMBER(VLOOKUP(C975,'手数料マスタ'!$A$5:$B$104,2,FALSE))),VLOOKUP(C975,'手数料マスタ'!$A$5:$B$104,2,FALSE)&lt;0,VLOOKUP(C975,'手数料マスタ'!$A$5:$B$104,2,FALSE)&gt;1),"要確認",ROUND(E975*VLOOKUP(C975,'手数料マスタ'!$A$5:$B$104,2,FALSE),0)),"要確認"))</ns0:f>
        <ns0:v/>
      </ns0:c>
      <ns0:c r="G975" s="7" t="n"/>
      <ns0:c r="H975" s="7" t="n"/>
      <ns0:c r="I975" s="8" t="str">
        <ns0:f>IF(OR(B975="",J975&lt;&gt;"販売済み",D975="",E975="",G975="",H975=""),"",IF(ISNUMBER(F975),E975-D975-F975-G975-H975,"要確認"))</ns0:f>
        <ns0:v/>
      </ns0:c>
      <ns0:c r="J975" s="6" t="n"/>
      <ns0:c r="K975" s="5" t="n"/>
      <ns0:c r="L975" s="9" t="str">
        <ns0:f>IF(AND(B975&lt;&gt;"",J975="在庫"),COUNTIFS($J$5:J975,"在庫",$B$5:B975,"&lt;&gt;"),"")</ns0:f>
        <ns0:v/>
      </ns0:c>
    </ns0:row>
    <ns0:row r="976">
      <ns0:c r="A976" s="5" t="n"/>
      <ns0:c r="B976" s="6" t="n"/>
      <ns0:c r="C976" s="6" t="n"/>
      <ns0:c r="D976" s="7" t="n"/>
      <ns0:c r="E976" s="7" t="n"/>
      <ns0:c r="F976" s="8" t="str">
        <ns0:f>IF(OR(B976="",J976&lt;&gt;"販売済み",E976="",C976=""),"",IFERROR(IF(OR(COUNTIF('手数料マスタ'!$A$5:$A$104,C976)&lt;&gt;1,COUNTIFS('手数料マスタ'!$A$5:$A$104,C976,'手数料マスタ'!$B$5:$B$104,"&lt;&gt;")&lt;&gt;1,NOT(ISNUMBER(VLOOKUP(C976,'手数料マスタ'!$A$5:$B$104,2,FALSE))),VLOOKUP(C976,'手数料マスタ'!$A$5:$B$104,2,FALSE)&lt;0,VLOOKUP(C976,'手数料マスタ'!$A$5:$B$104,2,FALSE)&gt;1),"要確認",ROUND(E976*VLOOKUP(C976,'手数料マスタ'!$A$5:$B$104,2,FALSE),0)),"要確認"))</ns0:f>
        <ns0:v/>
      </ns0:c>
      <ns0:c r="G976" s="7" t="n"/>
      <ns0:c r="H976" s="7" t="n"/>
      <ns0:c r="I976" s="8" t="str">
        <ns0:f>IF(OR(B976="",J976&lt;&gt;"販売済み",D976="",E976="",G976="",H976=""),"",IF(ISNUMBER(F976),E976-D976-F976-G976-H976,"要確認"))</ns0:f>
        <ns0:v/>
      </ns0:c>
      <ns0:c r="J976" s="6" t="n"/>
      <ns0:c r="K976" s="5" t="n"/>
      <ns0:c r="L976" s="9" t="str">
        <ns0:f>IF(AND(B976&lt;&gt;"",J976="在庫"),COUNTIFS($J$5:J976,"在庫",$B$5:B976,"&lt;&gt;"),"")</ns0:f>
        <ns0:v/>
      </ns0:c>
    </ns0:row>
    <ns0:row r="977">
      <ns0:c r="A977" s="5" t="n"/>
      <ns0:c r="B977" s="6" t="n"/>
      <ns0:c r="C977" s="6" t="n"/>
      <ns0:c r="D977" s="7" t="n"/>
      <ns0:c r="E977" s="7" t="n"/>
      <ns0:c r="F977" s="8" t="str">
        <ns0:f>IF(OR(B977="",J977&lt;&gt;"販売済み",E977="",C977=""),"",IFERROR(IF(OR(COUNTIF('手数料マスタ'!$A$5:$A$104,C977)&lt;&gt;1,COUNTIFS('手数料マスタ'!$A$5:$A$104,C977,'手数料マスタ'!$B$5:$B$104,"&lt;&gt;")&lt;&gt;1,NOT(ISNUMBER(VLOOKUP(C977,'手数料マスタ'!$A$5:$B$104,2,FALSE))),VLOOKUP(C977,'手数料マスタ'!$A$5:$B$104,2,FALSE)&lt;0,VLOOKUP(C977,'手数料マスタ'!$A$5:$B$104,2,FALSE)&gt;1),"要確認",ROUND(E977*VLOOKUP(C977,'手数料マスタ'!$A$5:$B$104,2,FALSE),0)),"要確認"))</ns0:f>
        <ns0:v/>
      </ns0:c>
      <ns0:c r="G977" s="7" t="n"/>
      <ns0:c r="H977" s="7" t="n"/>
      <ns0:c r="I977" s="8" t="str">
        <ns0:f>IF(OR(B977="",J977&lt;&gt;"販売済み",D977="",E977="",G977="",H977=""),"",IF(ISNUMBER(F977),E977-D977-F977-G977-H977,"要確認"))</ns0:f>
        <ns0:v/>
      </ns0:c>
      <ns0:c r="J977" s="6" t="n"/>
      <ns0:c r="K977" s="5" t="n"/>
      <ns0:c r="L977" s="9" t="str">
        <ns0:f>IF(AND(B977&lt;&gt;"",J977="在庫"),COUNTIFS($J$5:J977,"在庫",$B$5:B977,"&lt;&gt;"),"")</ns0:f>
        <ns0:v/>
      </ns0:c>
    </ns0:row>
    <ns0:row r="978">
      <ns0:c r="A978" s="5" t="n"/>
      <ns0:c r="B978" s="6" t="n"/>
      <ns0:c r="C978" s="6" t="n"/>
      <ns0:c r="D978" s="7" t="n"/>
      <ns0:c r="E978" s="7" t="n"/>
      <ns0:c r="F978" s="8" t="str">
        <ns0:f>IF(OR(B978="",J978&lt;&gt;"販売済み",E978="",C978=""),"",IFERROR(IF(OR(COUNTIF('手数料マスタ'!$A$5:$A$104,C978)&lt;&gt;1,COUNTIFS('手数料マスタ'!$A$5:$A$104,C978,'手数料マスタ'!$B$5:$B$104,"&lt;&gt;")&lt;&gt;1,NOT(ISNUMBER(VLOOKUP(C978,'手数料マスタ'!$A$5:$B$104,2,FALSE))),VLOOKUP(C978,'手数料マスタ'!$A$5:$B$104,2,FALSE)&lt;0,VLOOKUP(C978,'手数料マスタ'!$A$5:$B$104,2,FALSE)&gt;1),"要確認",ROUND(E978*VLOOKUP(C978,'手数料マスタ'!$A$5:$B$104,2,FALSE),0)),"要確認"))</ns0:f>
        <ns0:v/>
      </ns0:c>
      <ns0:c r="G978" s="7" t="n"/>
      <ns0:c r="H978" s="7" t="n"/>
      <ns0:c r="I978" s="8" t="str">
        <ns0:f>IF(OR(B978="",J978&lt;&gt;"販売済み",D978="",E978="",G978="",H978=""),"",IF(ISNUMBER(F978),E978-D978-F978-G978-H978,"要確認"))</ns0:f>
        <ns0:v/>
      </ns0:c>
      <ns0:c r="J978" s="6" t="n"/>
      <ns0:c r="K978" s="5" t="n"/>
      <ns0:c r="L978" s="9" t="str">
        <ns0:f>IF(AND(B978&lt;&gt;"",J978="在庫"),COUNTIFS($J$5:J978,"在庫",$B$5:B978,"&lt;&gt;"),"")</ns0:f>
        <ns0:v/>
      </ns0:c>
    </ns0:row>
    <ns0:row r="979">
      <ns0:c r="A979" s="5" t="n"/>
      <ns0:c r="B979" s="6" t="n"/>
      <ns0:c r="C979" s="6" t="n"/>
      <ns0:c r="D979" s="7" t="n"/>
      <ns0:c r="E979" s="7" t="n"/>
      <ns0:c r="F979" s="8" t="str">
        <ns0:f>IF(OR(B979="",J979&lt;&gt;"販売済み",E979="",C979=""),"",IFERROR(IF(OR(COUNTIF('手数料マスタ'!$A$5:$A$104,C979)&lt;&gt;1,COUNTIFS('手数料マスタ'!$A$5:$A$104,C979,'手数料マスタ'!$B$5:$B$104,"&lt;&gt;")&lt;&gt;1,NOT(ISNUMBER(VLOOKUP(C979,'手数料マスタ'!$A$5:$B$104,2,FALSE))),VLOOKUP(C979,'手数料マスタ'!$A$5:$B$104,2,FALSE)&lt;0,VLOOKUP(C979,'手数料マスタ'!$A$5:$B$104,2,FALSE)&gt;1),"要確認",ROUND(E979*VLOOKUP(C979,'手数料マスタ'!$A$5:$B$104,2,FALSE),0)),"要確認"))</ns0:f>
        <ns0:v/>
      </ns0:c>
      <ns0:c r="G979" s="7" t="n"/>
      <ns0:c r="H979" s="7" t="n"/>
      <ns0:c r="I979" s="8" t="str">
        <ns0:f>IF(OR(B979="",J979&lt;&gt;"販売済み",D979="",E979="",G979="",H979=""),"",IF(ISNUMBER(F979),E979-D979-F979-G979-H979,"要確認"))</ns0:f>
        <ns0:v/>
      </ns0:c>
      <ns0:c r="J979" s="6" t="n"/>
      <ns0:c r="K979" s="5" t="n"/>
      <ns0:c r="L979" s="9" t="str">
        <ns0:f>IF(AND(B979&lt;&gt;"",J979="在庫"),COUNTIFS($J$5:J979,"在庫",$B$5:B979,"&lt;&gt;"),"")</ns0:f>
        <ns0:v/>
      </ns0:c>
    </ns0:row>
    <ns0:row r="980">
      <ns0:c r="A980" s="5" t="n"/>
      <ns0:c r="B980" s="6" t="n"/>
      <ns0:c r="C980" s="6" t="n"/>
      <ns0:c r="D980" s="7" t="n"/>
      <ns0:c r="E980" s="7" t="n"/>
      <ns0:c r="F980" s="8" t="str">
        <ns0:f>IF(OR(B980="",J980&lt;&gt;"販売済み",E980="",C980=""),"",IFERROR(IF(OR(COUNTIF('手数料マスタ'!$A$5:$A$104,C980)&lt;&gt;1,COUNTIFS('手数料マスタ'!$A$5:$A$104,C980,'手数料マスタ'!$B$5:$B$104,"&lt;&gt;")&lt;&gt;1,NOT(ISNUMBER(VLOOKUP(C980,'手数料マスタ'!$A$5:$B$104,2,FALSE))),VLOOKUP(C980,'手数料マスタ'!$A$5:$B$104,2,FALSE)&lt;0,VLOOKUP(C980,'手数料マスタ'!$A$5:$B$104,2,FALSE)&gt;1),"要確認",ROUND(E980*VLOOKUP(C980,'手数料マスタ'!$A$5:$B$104,2,FALSE),0)),"要確認"))</ns0:f>
        <ns0:v/>
      </ns0:c>
      <ns0:c r="G980" s="7" t="n"/>
      <ns0:c r="H980" s="7" t="n"/>
      <ns0:c r="I980" s="8" t="str">
        <ns0:f>IF(OR(B980="",J980&lt;&gt;"販売済み",D980="",E980="",G980="",H980=""),"",IF(ISNUMBER(F980),E980-D980-F980-G980-H980,"要確認"))</ns0:f>
        <ns0:v/>
      </ns0:c>
      <ns0:c r="J980" s="6" t="n"/>
      <ns0:c r="K980" s="5" t="n"/>
      <ns0:c r="L980" s="9" t="str">
        <ns0:f>IF(AND(B980&lt;&gt;"",J980="在庫"),COUNTIFS($J$5:J980,"在庫",$B$5:B980,"&lt;&gt;"),"")</ns0:f>
        <ns0:v/>
      </ns0:c>
    </ns0:row>
    <ns0:row r="981">
      <ns0:c r="A981" s="5" t="n"/>
      <ns0:c r="B981" s="6" t="n"/>
      <ns0:c r="C981" s="6" t="n"/>
      <ns0:c r="D981" s="7" t="n"/>
      <ns0:c r="E981" s="7" t="n"/>
      <ns0:c r="F981" s="8" t="str">
        <ns0:f>IF(OR(B981="",J981&lt;&gt;"販売済み",E981="",C981=""),"",IFERROR(IF(OR(COUNTIF('手数料マスタ'!$A$5:$A$104,C981)&lt;&gt;1,COUNTIFS('手数料マスタ'!$A$5:$A$104,C981,'手数料マスタ'!$B$5:$B$104,"&lt;&gt;")&lt;&gt;1,NOT(ISNUMBER(VLOOKUP(C981,'手数料マスタ'!$A$5:$B$104,2,FALSE))),VLOOKUP(C981,'手数料マスタ'!$A$5:$B$104,2,FALSE)&lt;0,VLOOKUP(C981,'手数料マスタ'!$A$5:$B$104,2,FALSE)&gt;1),"要確認",ROUND(E981*VLOOKUP(C981,'手数料マスタ'!$A$5:$B$104,2,FALSE),0)),"要確認"))</ns0:f>
        <ns0:v/>
      </ns0:c>
      <ns0:c r="G981" s="7" t="n"/>
      <ns0:c r="H981" s="7" t="n"/>
      <ns0:c r="I981" s="8" t="str">
        <ns0:f>IF(OR(B981="",J981&lt;&gt;"販売済み",D981="",E981="",G981="",H981=""),"",IF(ISNUMBER(F981),E981-D981-F981-G981-H981,"要確認"))</ns0:f>
        <ns0:v/>
      </ns0:c>
      <ns0:c r="J981" s="6" t="n"/>
      <ns0:c r="K981" s="5" t="n"/>
      <ns0:c r="L981" s="9" t="str">
        <ns0:f>IF(AND(B981&lt;&gt;"",J981="在庫"),COUNTIFS($J$5:J981,"在庫",$B$5:B981,"&lt;&gt;"),"")</ns0:f>
        <ns0:v/>
      </ns0:c>
    </ns0:row>
    <ns0:row r="982">
      <ns0:c r="A982" s="5" t="n"/>
      <ns0:c r="B982" s="6" t="n"/>
      <ns0:c r="C982" s="6" t="n"/>
      <ns0:c r="D982" s="7" t="n"/>
      <ns0:c r="E982" s="7" t="n"/>
      <ns0:c r="F982" s="8" t="str">
        <ns0:f>IF(OR(B982="",J982&lt;&gt;"販売済み",E982="",C982=""),"",IFERROR(IF(OR(COUNTIF('手数料マスタ'!$A$5:$A$104,C982)&lt;&gt;1,COUNTIFS('手数料マスタ'!$A$5:$A$104,C982,'手数料マスタ'!$B$5:$B$104,"&lt;&gt;")&lt;&gt;1,NOT(ISNUMBER(VLOOKUP(C982,'手数料マスタ'!$A$5:$B$104,2,FALSE))),VLOOKUP(C982,'手数料マスタ'!$A$5:$B$104,2,FALSE)&lt;0,VLOOKUP(C982,'手数料マスタ'!$A$5:$B$104,2,FALSE)&gt;1),"要確認",ROUND(E982*VLOOKUP(C982,'手数料マスタ'!$A$5:$B$104,2,FALSE),0)),"要確認"))</ns0:f>
        <ns0:v/>
      </ns0:c>
      <ns0:c r="G982" s="7" t="n"/>
      <ns0:c r="H982" s="7" t="n"/>
      <ns0:c r="I982" s="8" t="str">
        <ns0:f>IF(OR(B982="",J982&lt;&gt;"販売済み",D982="",E982="",G982="",H982=""),"",IF(ISNUMBER(F982),E982-D982-F982-G982-H982,"要確認"))</ns0:f>
        <ns0:v/>
      </ns0:c>
      <ns0:c r="J982" s="6" t="n"/>
      <ns0:c r="K982" s="5" t="n"/>
      <ns0:c r="L982" s="9" t="str">
        <ns0:f>IF(AND(B982&lt;&gt;"",J982="在庫"),COUNTIFS($J$5:J982,"在庫",$B$5:B982,"&lt;&gt;"),"")</ns0:f>
        <ns0:v/>
      </ns0:c>
    </ns0:row>
    <ns0:row r="983">
      <ns0:c r="A983" s="5" t="n"/>
      <ns0:c r="B983" s="6" t="n"/>
      <ns0:c r="C983" s="6" t="n"/>
      <ns0:c r="D983" s="7" t="n"/>
      <ns0:c r="E983" s="7" t="n"/>
      <ns0:c r="F983" s="8" t="str">
        <ns0:f>IF(OR(B983="",J983&lt;&gt;"販売済み",E983="",C983=""),"",IFERROR(IF(OR(COUNTIF('手数料マスタ'!$A$5:$A$104,C983)&lt;&gt;1,COUNTIFS('手数料マスタ'!$A$5:$A$104,C983,'手数料マスタ'!$B$5:$B$104,"&lt;&gt;")&lt;&gt;1,NOT(ISNUMBER(VLOOKUP(C983,'手数料マスタ'!$A$5:$B$104,2,FALSE))),VLOOKUP(C983,'手数料マスタ'!$A$5:$B$104,2,FALSE)&lt;0,VLOOKUP(C983,'手数料マスタ'!$A$5:$B$104,2,FALSE)&gt;1),"要確認",ROUND(E983*VLOOKUP(C983,'手数料マスタ'!$A$5:$B$104,2,FALSE),0)),"要確認"))</ns0:f>
        <ns0:v/>
      </ns0:c>
      <ns0:c r="G983" s="7" t="n"/>
      <ns0:c r="H983" s="7" t="n"/>
      <ns0:c r="I983" s="8" t="str">
        <ns0:f>IF(OR(B983="",J983&lt;&gt;"販売済み",D983="",E983="",G983="",H983=""),"",IF(ISNUMBER(F983),E983-D983-F983-G983-H983,"要確認"))</ns0:f>
        <ns0:v/>
      </ns0:c>
      <ns0:c r="J983" s="6" t="n"/>
      <ns0:c r="K983" s="5" t="n"/>
      <ns0:c r="L983" s="9" t="str">
        <ns0:f>IF(AND(B983&lt;&gt;"",J983="在庫"),COUNTIFS($J$5:J983,"在庫",$B$5:B983,"&lt;&gt;"),"")</ns0:f>
        <ns0:v/>
      </ns0:c>
    </ns0:row>
    <ns0:row r="984">
      <ns0:c r="A984" s="5" t="n"/>
      <ns0:c r="B984" s="6" t="n"/>
      <ns0:c r="C984" s="6" t="n"/>
      <ns0:c r="D984" s="7" t="n"/>
      <ns0:c r="E984" s="7" t="n"/>
      <ns0:c r="F984" s="8" t="str">
        <ns0:f>IF(OR(B984="",J984&lt;&gt;"販売済み",E984="",C984=""),"",IFERROR(IF(OR(COUNTIF('手数料マスタ'!$A$5:$A$104,C984)&lt;&gt;1,COUNTIFS('手数料マスタ'!$A$5:$A$104,C984,'手数料マスタ'!$B$5:$B$104,"&lt;&gt;")&lt;&gt;1,NOT(ISNUMBER(VLOOKUP(C984,'手数料マスタ'!$A$5:$B$104,2,FALSE))),VLOOKUP(C984,'手数料マスタ'!$A$5:$B$104,2,FALSE)&lt;0,VLOOKUP(C984,'手数料マスタ'!$A$5:$B$104,2,FALSE)&gt;1),"要確認",ROUND(E984*VLOOKUP(C984,'手数料マスタ'!$A$5:$B$104,2,FALSE),0)),"要確認"))</ns0:f>
        <ns0:v/>
      </ns0:c>
      <ns0:c r="G984" s="7" t="n"/>
      <ns0:c r="H984" s="7" t="n"/>
      <ns0:c r="I984" s="8" t="str">
        <ns0:f>IF(OR(B984="",J984&lt;&gt;"販売済み",D984="",E984="",G984="",H984=""),"",IF(ISNUMBER(F984),E984-D984-F984-G984-H984,"要確認"))</ns0:f>
        <ns0:v/>
      </ns0:c>
      <ns0:c r="J984" s="6" t="n"/>
      <ns0:c r="K984" s="5" t="n"/>
      <ns0:c r="L984" s="9" t="str">
        <ns0:f>IF(AND(B984&lt;&gt;"",J984="在庫"),COUNTIFS($J$5:J984,"在庫",$B$5:B984,"&lt;&gt;"),"")</ns0:f>
        <ns0:v/>
      </ns0:c>
    </ns0:row>
    <ns0:row r="985">
      <ns0:c r="A985" s="5" t="n"/>
      <ns0:c r="B985" s="6" t="n"/>
      <ns0:c r="C985" s="6" t="n"/>
      <ns0:c r="D985" s="7" t="n"/>
      <ns0:c r="E985" s="7" t="n"/>
      <ns0:c r="F985" s="8" t="str">
        <ns0:f>IF(OR(B985="",J985&lt;&gt;"販売済み",E985="",C985=""),"",IFERROR(IF(OR(COUNTIF('手数料マスタ'!$A$5:$A$104,C985)&lt;&gt;1,COUNTIFS('手数料マスタ'!$A$5:$A$104,C985,'手数料マスタ'!$B$5:$B$104,"&lt;&gt;")&lt;&gt;1,NOT(ISNUMBER(VLOOKUP(C985,'手数料マスタ'!$A$5:$B$104,2,FALSE))),VLOOKUP(C985,'手数料マスタ'!$A$5:$B$104,2,FALSE)&lt;0,VLOOKUP(C985,'手数料マスタ'!$A$5:$B$104,2,FALSE)&gt;1),"要確認",ROUND(E985*VLOOKUP(C985,'手数料マスタ'!$A$5:$B$104,2,FALSE),0)),"要確認"))</ns0:f>
        <ns0:v/>
      </ns0:c>
      <ns0:c r="G985" s="7" t="n"/>
      <ns0:c r="H985" s="7" t="n"/>
      <ns0:c r="I985" s="8" t="str">
        <ns0:f>IF(OR(B985="",J985&lt;&gt;"販売済み",D985="",E985="",G985="",H985=""),"",IF(ISNUMBER(F985),E985-D985-F985-G985-H985,"要確認"))</ns0:f>
        <ns0:v/>
      </ns0:c>
      <ns0:c r="J985" s="6" t="n"/>
      <ns0:c r="K985" s="5" t="n"/>
      <ns0:c r="L985" s="9" t="str">
        <ns0:f>IF(AND(B985&lt;&gt;"",J985="在庫"),COUNTIFS($J$5:J985,"在庫",$B$5:B985,"&lt;&gt;"),"")</ns0:f>
        <ns0:v/>
      </ns0:c>
    </ns0:row>
    <ns0:row r="986">
      <ns0:c r="A986" s="5" t="n"/>
      <ns0:c r="B986" s="6" t="n"/>
      <ns0:c r="C986" s="6" t="n"/>
      <ns0:c r="D986" s="7" t="n"/>
      <ns0:c r="E986" s="7" t="n"/>
      <ns0:c r="F986" s="8" t="str">
        <ns0:f>IF(OR(B986="",J986&lt;&gt;"販売済み",E986="",C986=""),"",IFERROR(IF(OR(COUNTIF('手数料マスタ'!$A$5:$A$104,C986)&lt;&gt;1,COUNTIFS('手数料マスタ'!$A$5:$A$104,C986,'手数料マスタ'!$B$5:$B$104,"&lt;&gt;")&lt;&gt;1,NOT(ISNUMBER(VLOOKUP(C986,'手数料マスタ'!$A$5:$B$104,2,FALSE))),VLOOKUP(C986,'手数料マスタ'!$A$5:$B$104,2,FALSE)&lt;0,VLOOKUP(C986,'手数料マスタ'!$A$5:$B$104,2,FALSE)&gt;1),"要確認",ROUND(E986*VLOOKUP(C986,'手数料マスタ'!$A$5:$B$104,2,FALSE),0)),"要確認"))</ns0:f>
        <ns0:v/>
      </ns0:c>
      <ns0:c r="G986" s="7" t="n"/>
      <ns0:c r="H986" s="7" t="n"/>
      <ns0:c r="I986" s="8" t="str">
        <ns0:f>IF(OR(B986="",J986&lt;&gt;"販売済み",D986="",E986="",G986="",H986=""),"",IF(ISNUMBER(F986),E986-D986-F986-G986-H986,"要確認"))</ns0:f>
        <ns0:v/>
      </ns0:c>
      <ns0:c r="J986" s="6" t="n"/>
      <ns0:c r="K986" s="5" t="n"/>
      <ns0:c r="L986" s="9" t="str">
        <ns0:f>IF(AND(B986&lt;&gt;"",J986="在庫"),COUNTIFS($J$5:J986,"在庫",$B$5:B986,"&lt;&gt;"),"")</ns0:f>
        <ns0:v/>
      </ns0:c>
    </ns0:row>
    <ns0:row r="987">
      <ns0:c r="A987" s="5" t="n"/>
      <ns0:c r="B987" s="6" t="n"/>
      <ns0:c r="C987" s="6" t="n"/>
      <ns0:c r="D987" s="7" t="n"/>
      <ns0:c r="E987" s="7" t="n"/>
      <ns0:c r="F987" s="8" t="str">
        <ns0:f>IF(OR(B987="",J987&lt;&gt;"販売済み",E987="",C987=""),"",IFERROR(IF(OR(COUNTIF('手数料マスタ'!$A$5:$A$104,C987)&lt;&gt;1,COUNTIFS('手数料マスタ'!$A$5:$A$104,C987,'手数料マスタ'!$B$5:$B$104,"&lt;&gt;")&lt;&gt;1,NOT(ISNUMBER(VLOOKUP(C987,'手数料マスタ'!$A$5:$B$104,2,FALSE))),VLOOKUP(C987,'手数料マスタ'!$A$5:$B$104,2,FALSE)&lt;0,VLOOKUP(C987,'手数料マスタ'!$A$5:$B$104,2,FALSE)&gt;1),"要確認",ROUND(E987*VLOOKUP(C987,'手数料マスタ'!$A$5:$B$104,2,FALSE),0)),"要確認"))</ns0:f>
        <ns0:v/>
      </ns0:c>
      <ns0:c r="G987" s="7" t="n"/>
      <ns0:c r="H987" s="7" t="n"/>
      <ns0:c r="I987" s="8" t="str">
        <ns0:f>IF(OR(B987="",J987&lt;&gt;"販売済み",D987="",E987="",G987="",H987=""),"",IF(ISNUMBER(F987),E987-D987-F987-G987-H987,"要確認"))</ns0:f>
        <ns0:v/>
      </ns0:c>
      <ns0:c r="J987" s="6" t="n"/>
      <ns0:c r="K987" s="5" t="n"/>
      <ns0:c r="L987" s="9" t="str">
        <ns0:f>IF(AND(B987&lt;&gt;"",J987="在庫"),COUNTIFS($J$5:J987,"在庫",$B$5:B987,"&lt;&gt;"),"")</ns0:f>
        <ns0:v/>
      </ns0:c>
    </ns0:row>
    <ns0:row r="988">
      <ns0:c r="A988" s="5" t="n"/>
      <ns0:c r="B988" s="6" t="n"/>
      <ns0:c r="C988" s="6" t="n"/>
      <ns0:c r="D988" s="7" t="n"/>
      <ns0:c r="E988" s="7" t="n"/>
      <ns0:c r="F988" s="8" t="str">
        <ns0:f>IF(OR(B988="",J988&lt;&gt;"販売済み",E988="",C988=""),"",IFERROR(IF(OR(COUNTIF('手数料マスタ'!$A$5:$A$104,C988)&lt;&gt;1,COUNTIFS('手数料マスタ'!$A$5:$A$104,C988,'手数料マスタ'!$B$5:$B$104,"&lt;&gt;")&lt;&gt;1,NOT(ISNUMBER(VLOOKUP(C988,'手数料マスタ'!$A$5:$B$104,2,FALSE))),VLOOKUP(C988,'手数料マスタ'!$A$5:$B$104,2,FALSE)&lt;0,VLOOKUP(C988,'手数料マスタ'!$A$5:$B$104,2,FALSE)&gt;1),"要確認",ROUND(E988*VLOOKUP(C988,'手数料マスタ'!$A$5:$B$104,2,FALSE),0)),"要確認"))</ns0:f>
        <ns0:v/>
      </ns0:c>
      <ns0:c r="G988" s="7" t="n"/>
      <ns0:c r="H988" s="7" t="n"/>
      <ns0:c r="I988" s="8" t="str">
        <ns0:f>IF(OR(B988="",J988&lt;&gt;"販売済み",D988="",E988="",G988="",H988=""),"",IF(ISNUMBER(F988),E988-D988-F988-G988-H988,"要確認"))</ns0:f>
        <ns0:v/>
      </ns0:c>
      <ns0:c r="J988" s="6" t="n"/>
      <ns0:c r="K988" s="5" t="n"/>
      <ns0:c r="L988" s="9" t="str">
        <ns0:f>IF(AND(B988&lt;&gt;"",J988="在庫"),COUNTIFS($J$5:J988,"在庫",$B$5:B988,"&lt;&gt;"),"")</ns0:f>
        <ns0:v/>
      </ns0:c>
    </ns0:row>
    <ns0:row r="989">
      <ns0:c r="A989" s="5" t="n"/>
      <ns0:c r="B989" s="6" t="n"/>
      <ns0:c r="C989" s="6" t="n"/>
      <ns0:c r="D989" s="7" t="n"/>
      <ns0:c r="E989" s="7" t="n"/>
      <ns0:c r="F989" s="8" t="str">
        <ns0:f>IF(OR(B989="",J989&lt;&gt;"販売済み",E989="",C989=""),"",IFERROR(IF(OR(COUNTIF('手数料マスタ'!$A$5:$A$104,C989)&lt;&gt;1,COUNTIFS('手数料マスタ'!$A$5:$A$104,C989,'手数料マスタ'!$B$5:$B$104,"&lt;&gt;")&lt;&gt;1,NOT(ISNUMBER(VLOOKUP(C989,'手数料マスタ'!$A$5:$B$104,2,FALSE))),VLOOKUP(C989,'手数料マスタ'!$A$5:$B$104,2,FALSE)&lt;0,VLOOKUP(C989,'手数料マスタ'!$A$5:$B$104,2,FALSE)&gt;1),"要確認",ROUND(E989*VLOOKUP(C989,'手数料マスタ'!$A$5:$B$104,2,FALSE),0)),"要確認"))</ns0:f>
        <ns0:v/>
      </ns0:c>
      <ns0:c r="G989" s="7" t="n"/>
      <ns0:c r="H989" s="7" t="n"/>
      <ns0:c r="I989" s="8" t="str">
        <ns0:f>IF(OR(B989="",J989&lt;&gt;"販売済み",D989="",E989="",G989="",H989=""),"",IF(ISNUMBER(F989),E989-D989-F989-G989-H989,"要確認"))</ns0:f>
        <ns0:v/>
      </ns0:c>
      <ns0:c r="J989" s="6" t="n"/>
      <ns0:c r="K989" s="5" t="n"/>
      <ns0:c r="L989" s="9" t="str">
        <ns0:f>IF(AND(B989&lt;&gt;"",J989="在庫"),COUNTIFS($J$5:J989,"在庫",$B$5:B989,"&lt;&gt;"),"")</ns0:f>
        <ns0:v/>
      </ns0:c>
    </ns0:row>
    <ns0:row r="990">
      <ns0:c r="A990" s="5" t="n"/>
      <ns0:c r="B990" s="6" t="n"/>
      <ns0:c r="C990" s="6" t="n"/>
      <ns0:c r="D990" s="7" t="n"/>
      <ns0:c r="E990" s="7" t="n"/>
      <ns0:c r="F990" s="8" t="str">
        <ns0:f>IF(OR(B990="",J990&lt;&gt;"販売済み",E990="",C990=""),"",IFERROR(IF(OR(COUNTIF('手数料マスタ'!$A$5:$A$104,C990)&lt;&gt;1,COUNTIFS('手数料マスタ'!$A$5:$A$104,C990,'手数料マスタ'!$B$5:$B$104,"&lt;&gt;")&lt;&gt;1,NOT(ISNUMBER(VLOOKUP(C990,'手数料マスタ'!$A$5:$B$104,2,FALSE))),VLOOKUP(C990,'手数料マスタ'!$A$5:$B$104,2,FALSE)&lt;0,VLOOKUP(C990,'手数料マスタ'!$A$5:$B$104,2,FALSE)&gt;1),"要確認",ROUND(E990*VLOOKUP(C990,'手数料マスタ'!$A$5:$B$104,2,FALSE),0)),"要確認"))</ns0:f>
        <ns0:v/>
      </ns0:c>
      <ns0:c r="G990" s="7" t="n"/>
      <ns0:c r="H990" s="7" t="n"/>
      <ns0:c r="I990" s="8" t="str">
        <ns0:f>IF(OR(B990="",J990&lt;&gt;"販売済み",D990="",E990="",G990="",H990=""),"",IF(ISNUMBER(F990),E990-D990-F990-G990-H990,"要確認"))</ns0:f>
        <ns0:v/>
      </ns0:c>
      <ns0:c r="J990" s="6" t="n"/>
      <ns0:c r="K990" s="5" t="n"/>
      <ns0:c r="L990" s="9" t="str">
        <ns0:f>IF(AND(B990&lt;&gt;"",J990="在庫"),COUNTIFS($J$5:J990,"在庫",$B$5:B990,"&lt;&gt;"),"")</ns0:f>
        <ns0:v/>
      </ns0:c>
    </ns0:row>
    <ns0:row r="991">
      <ns0:c r="A991" s="5" t="n"/>
      <ns0:c r="B991" s="6" t="n"/>
      <ns0:c r="C991" s="6" t="n"/>
      <ns0:c r="D991" s="7" t="n"/>
      <ns0:c r="E991" s="7" t="n"/>
      <ns0:c r="F991" s="8" t="str">
        <ns0:f>IF(OR(B991="",J991&lt;&gt;"販売済み",E991="",C991=""),"",IFERROR(IF(OR(COUNTIF('手数料マスタ'!$A$5:$A$104,C991)&lt;&gt;1,COUNTIFS('手数料マスタ'!$A$5:$A$104,C991,'手数料マスタ'!$B$5:$B$104,"&lt;&gt;")&lt;&gt;1,NOT(ISNUMBER(VLOOKUP(C991,'手数料マスタ'!$A$5:$B$104,2,FALSE))),VLOOKUP(C991,'手数料マスタ'!$A$5:$B$104,2,FALSE)&lt;0,VLOOKUP(C991,'手数料マスタ'!$A$5:$B$104,2,FALSE)&gt;1),"要確認",ROUND(E991*VLOOKUP(C991,'手数料マスタ'!$A$5:$B$104,2,FALSE),0)),"要確認"))</ns0:f>
        <ns0:v/>
      </ns0:c>
      <ns0:c r="G991" s="7" t="n"/>
      <ns0:c r="H991" s="7" t="n"/>
      <ns0:c r="I991" s="8" t="str">
        <ns0:f>IF(OR(B991="",J991&lt;&gt;"販売済み",D991="",E991="",G991="",H991=""),"",IF(ISNUMBER(F991),E991-D991-F991-G991-H991,"要確認"))</ns0:f>
        <ns0:v/>
      </ns0:c>
      <ns0:c r="J991" s="6" t="n"/>
      <ns0:c r="K991" s="5" t="n"/>
      <ns0:c r="L991" s="9" t="str">
        <ns0:f>IF(AND(B991&lt;&gt;"",J991="在庫"),COUNTIFS($J$5:J991,"在庫",$B$5:B991,"&lt;&gt;"),"")</ns0:f>
        <ns0:v/>
      </ns0:c>
    </ns0:row>
    <ns0:row r="992">
      <ns0:c r="A992" s="5" t="n"/>
      <ns0:c r="B992" s="6" t="n"/>
      <ns0:c r="C992" s="6" t="n"/>
      <ns0:c r="D992" s="7" t="n"/>
      <ns0:c r="E992" s="7" t="n"/>
      <ns0:c r="F992" s="8" t="str">
        <ns0:f>IF(OR(B992="",J992&lt;&gt;"販売済み",E992="",C992=""),"",IFERROR(IF(OR(COUNTIF('手数料マスタ'!$A$5:$A$104,C992)&lt;&gt;1,COUNTIFS('手数料マスタ'!$A$5:$A$104,C992,'手数料マスタ'!$B$5:$B$104,"&lt;&gt;")&lt;&gt;1,NOT(ISNUMBER(VLOOKUP(C992,'手数料マスタ'!$A$5:$B$104,2,FALSE))),VLOOKUP(C992,'手数料マスタ'!$A$5:$B$104,2,FALSE)&lt;0,VLOOKUP(C992,'手数料マスタ'!$A$5:$B$104,2,FALSE)&gt;1),"要確認",ROUND(E992*VLOOKUP(C992,'手数料マスタ'!$A$5:$B$104,2,FALSE),0)),"要確認"))</ns0:f>
        <ns0:v/>
      </ns0:c>
      <ns0:c r="G992" s="7" t="n"/>
      <ns0:c r="H992" s="7" t="n"/>
      <ns0:c r="I992" s="8" t="str">
        <ns0:f>IF(OR(B992="",J992&lt;&gt;"販売済み",D992="",E992="",G992="",H992=""),"",IF(ISNUMBER(F992),E992-D992-F992-G992-H992,"要確認"))</ns0:f>
        <ns0:v/>
      </ns0:c>
      <ns0:c r="J992" s="6" t="n"/>
      <ns0:c r="K992" s="5" t="n"/>
      <ns0:c r="L992" s="9" t="str">
        <ns0:f>IF(AND(B992&lt;&gt;"",J992="在庫"),COUNTIFS($J$5:J992,"在庫",$B$5:B992,"&lt;&gt;"),"")</ns0:f>
        <ns0:v/>
      </ns0:c>
    </ns0:row>
    <ns0:row r="993">
      <ns0:c r="A993" s="5" t="n"/>
      <ns0:c r="B993" s="6" t="n"/>
      <ns0:c r="C993" s="6" t="n"/>
      <ns0:c r="D993" s="7" t="n"/>
      <ns0:c r="E993" s="7" t="n"/>
      <ns0:c r="F993" s="8" t="str">
        <ns0:f>IF(OR(B993="",J993&lt;&gt;"販売済み",E993="",C993=""),"",IFERROR(IF(OR(COUNTIF('手数料マスタ'!$A$5:$A$104,C993)&lt;&gt;1,COUNTIFS('手数料マスタ'!$A$5:$A$104,C993,'手数料マスタ'!$B$5:$B$104,"&lt;&gt;")&lt;&gt;1,NOT(ISNUMBER(VLOOKUP(C993,'手数料マスタ'!$A$5:$B$104,2,FALSE))),VLOOKUP(C993,'手数料マスタ'!$A$5:$B$104,2,FALSE)&lt;0,VLOOKUP(C993,'手数料マスタ'!$A$5:$B$104,2,FALSE)&gt;1),"要確認",ROUND(E993*VLOOKUP(C993,'手数料マスタ'!$A$5:$B$104,2,FALSE),0)),"要確認"))</ns0:f>
        <ns0:v/>
      </ns0:c>
      <ns0:c r="G993" s="7" t="n"/>
      <ns0:c r="H993" s="7" t="n"/>
      <ns0:c r="I993" s="8" t="str">
        <ns0:f>IF(OR(B993="",J993&lt;&gt;"販売済み",D993="",E993="",G993="",H993=""),"",IF(ISNUMBER(F993),E993-D993-F993-G993-H993,"要確認"))</ns0:f>
        <ns0:v/>
      </ns0:c>
      <ns0:c r="J993" s="6" t="n"/>
      <ns0:c r="K993" s="5" t="n"/>
      <ns0:c r="L993" s="9" t="str">
        <ns0:f>IF(AND(B993&lt;&gt;"",J993="在庫"),COUNTIFS($J$5:J993,"在庫",$B$5:B993,"&lt;&gt;"),"")</ns0:f>
        <ns0:v/>
      </ns0:c>
    </ns0:row>
    <ns0:row r="994">
      <ns0:c r="A994" s="5" t="n"/>
      <ns0:c r="B994" s="6" t="n"/>
      <ns0:c r="C994" s="6" t="n"/>
      <ns0:c r="D994" s="7" t="n"/>
      <ns0:c r="E994" s="7" t="n"/>
      <ns0:c r="F994" s="8" t="str">
        <ns0:f>IF(OR(B994="",J994&lt;&gt;"販売済み",E994="",C994=""),"",IFERROR(IF(OR(COUNTIF('手数料マスタ'!$A$5:$A$104,C994)&lt;&gt;1,COUNTIFS('手数料マスタ'!$A$5:$A$104,C994,'手数料マスタ'!$B$5:$B$104,"&lt;&gt;")&lt;&gt;1,NOT(ISNUMBER(VLOOKUP(C994,'手数料マスタ'!$A$5:$B$104,2,FALSE))),VLOOKUP(C994,'手数料マスタ'!$A$5:$B$104,2,FALSE)&lt;0,VLOOKUP(C994,'手数料マスタ'!$A$5:$B$104,2,FALSE)&gt;1),"要確認",ROUND(E994*VLOOKUP(C994,'手数料マスタ'!$A$5:$B$104,2,FALSE),0)),"要確認"))</ns0:f>
        <ns0:v/>
      </ns0:c>
      <ns0:c r="G994" s="7" t="n"/>
      <ns0:c r="H994" s="7" t="n"/>
      <ns0:c r="I994" s="8" t="str">
        <ns0:f>IF(OR(B994="",J994&lt;&gt;"販売済み",D994="",E994="",G994="",H994=""),"",IF(ISNUMBER(F994),E994-D994-F994-G994-H994,"要確認"))</ns0:f>
        <ns0:v/>
      </ns0:c>
      <ns0:c r="J994" s="6" t="n"/>
      <ns0:c r="K994" s="5" t="n"/>
      <ns0:c r="L994" s="9" t="str">
        <ns0:f>IF(AND(B994&lt;&gt;"",J994="在庫"),COUNTIFS($J$5:J994,"在庫",$B$5:B994,"&lt;&gt;"),"")</ns0:f>
        <ns0:v/>
      </ns0:c>
    </ns0:row>
    <ns0:row r="995">
      <ns0:c r="A995" s="5" t="n"/>
      <ns0:c r="B995" s="6" t="n"/>
      <ns0:c r="C995" s="6" t="n"/>
      <ns0:c r="D995" s="7" t="n"/>
      <ns0:c r="E995" s="7" t="n"/>
      <ns0:c r="F995" s="8" t="str">
        <ns0:f>IF(OR(B995="",J995&lt;&gt;"販売済み",E995="",C995=""),"",IFERROR(IF(OR(COUNTIF('手数料マスタ'!$A$5:$A$104,C995)&lt;&gt;1,COUNTIFS('手数料マスタ'!$A$5:$A$104,C995,'手数料マスタ'!$B$5:$B$104,"&lt;&gt;")&lt;&gt;1,NOT(ISNUMBER(VLOOKUP(C995,'手数料マスタ'!$A$5:$B$104,2,FALSE))),VLOOKUP(C995,'手数料マスタ'!$A$5:$B$104,2,FALSE)&lt;0,VLOOKUP(C995,'手数料マスタ'!$A$5:$B$104,2,FALSE)&gt;1),"要確認",ROUND(E995*VLOOKUP(C995,'手数料マスタ'!$A$5:$B$104,2,FALSE),0)),"要確認"))</ns0:f>
        <ns0:v/>
      </ns0:c>
      <ns0:c r="G995" s="7" t="n"/>
      <ns0:c r="H995" s="7" t="n"/>
      <ns0:c r="I995" s="8" t="str">
        <ns0:f>IF(OR(B995="",J995&lt;&gt;"販売済み",D995="",E995="",G995="",H995=""),"",IF(ISNUMBER(F995),E995-D995-F995-G995-H995,"要確認"))</ns0:f>
        <ns0:v/>
      </ns0:c>
      <ns0:c r="J995" s="6" t="n"/>
      <ns0:c r="K995" s="5" t="n"/>
      <ns0:c r="L995" s="9" t="str">
        <ns0:f>IF(AND(B995&lt;&gt;"",J995="在庫"),COUNTIFS($J$5:J995,"在庫",$B$5:B995,"&lt;&gt;"),"")</ns0:f>
        <ns0:v/>
      </ns0:c>
    </ns0:row>
    <ns0:row r="996">
      <ns0:c r="A996" s="5" t="n"/>
      <ns0:c r="B996" s="6" t="n"/>
      <ns0:c r="C996" s="6" t="n"/>
      <ns0:c r="D996" s="7" t="n"/>
      <ns0:c r="E996" s="7" t="n"/>
      <ns0:c r="F996" s="8" t="str">
        <ns0:f>IF(OR(B996="",J996&lt;&gt;"販売済み",E996="",C996=""),"",IFERROR(IF(OR(COUNTIF('手数料マスタ'!$A$5:$A$104,C996)&lt;&gt;1,COUNTIFS('手数料マスタ'!$A$5:$A$104,C996,'手数料マスタ'!$B$5:$B$104,"&lt;&gt;")&lt;&gt;1,NOT(ISNUMBER(VLOOKUP(C996,'手数料マスタ'!$A$5:$B$104,2,FALSE))),VLOOKUP(C996,'手数料マスタ'!$A$5:$B$104,2,FALSE)&lt;0,VLOOKUP(C996,'手数料マスタ'!$A$5:$B$104,2,FALSE)&gt;1),"要確認",ROUND(E996*VLOOKUP(C996,'手数料マスタ'!$A$5:$B$104,2,FALSE),0)),"要確認"))</ns0:f>
        <ns0:v/>
      </ns0:c>
      <ns0:c r="G996" s="7" t="n"/>
      <ns0:c r="H996" s="7" t="n"/>
      <ns0:c r="I996" s="8" t="str">
        <ns0:f>IF(OR(B996="",J996&lt;&gt;"販売済み",D996="",E996="",G996="",H996=""),"",IF(ISNUMBER(F996),E996-D996-F996-G996-H996,"要確認"))</ns0:f>
        <ns0:v/>
      </ns0:c>
      <ns0:c r="J996" s="6" t="n"/>
      <ns0:c r="K996" s="5" t="n"/>
      <ns0:c r="L996" s="9" t="str">
        <ns0:f>IF(AND(B996&lt;&gt;"",J996="在庫"),COUNTIFS($J$5:J996,"在庫",$B$5:B996,"&lt;&gt;"),"")</ns0:f>
        <ns0:v/>
      </ns0:c>
    </ns0:row>
    <ns0:row r="997">
      <ns0:c r="A997" s="5" t="n"/>
      <ns0:c r="B997" s="6" t="n"/>
      <ns0:c r="C997" s="6" t="n"/>
      <ns0:c r="D997" s="7" t="n"/>
      <ns0:c r="E997" s="7" t="n"/>
      <ns0:c r="F997" s="8" t="str">
        <ns0:f>IF(OR(B997="",J997&lt;&gt;"販売済み",E997="",C997=""),"",IFERROR(IF(OR(COUNTIF('手数料マスタ'!$A$5:$A$104,C997)&lt;&gt;1,COUNTIFS('手数料マスタ'!$A$5:$A$104,C997,'手数料マスタ'!$B$5:$B$104,"&lt;&gt;")&lt;&gt;1,NOT(ISNUMBER(VLOOKUP(C997,'手数料マスタ'!$A$5:$B$104,2,FALSE))),VLOOKUP(C997,'手数料マスタ'!$A$5:$B$104,2,FALSE)&lt;0,VLOOKUP(C997,'手数料マスタ'!$A$5:$B$104,2,FALSE)&gt;1),"要確認",ROUND(E997*VLOOKUP(C997,'手数料マスタ'!$A$5:$B$104,2,FALSE),0)),"要確認"))</ns0:f>
        <ns0:v/>
      </ns0:c>
      <ns0:c r="G997" s="7" t="n"/>
      <ns0:c r="H997" s="7" t="n"/>
      <ns0:c r="I997" s="8" t="str">
        <ns0:f>IF(OR(B997="",J997&lt;&gt;"販売済み",D997="",E997="",G997="",H997=""),"",IF(ISNUMBER(F997),E997-D997-F997-G997-H997,"要確認"))</ns0:f>
        <ns0:v/>
      </ns0:c>
      <ns0:c r="J997" s="6" t="n"/>
      <ns0:c r="K997" s="5" t="n"/>
      <ns0:c r="L997" s="9" t="str">
        <ns0:f>IF(AND(B997&lt;&gt;"",J997="在庫"),COUNTIFS($J$5:J997,"在庫",$B$5:B997,"&lt;&gt;"),"")</ns0:f>
        <ns0:v/>
      </ns0:c>
    </ns0:row>
    <ns0:row r="998">
      <ns0:c r="A998" s="5" t="n"/>
      <ns0:c r="B998" s="6" t="n"/>
      <ns0:c r="C998" s="6" t="n"/>
      <ns0:c r="D998" s="7" t="n"/>
      <ns0:c r="E998" s="7" t="n"/>
      <ns0:c r="F998" s="8" t="str">
        <ns0:f>IF(OR(B998="",J998&lt;&gt;"販売済み",E998="",C998=""),"",IFERROR(IF(OR(COUNTIF('手数料マスタ'!$A$5:$A$104,C998)&lt;&gt;1,COUNTIFS('手数料マスタ'!$A$5:$A$104,C998,'手数料マスタ'!$B$5:$B$104,"&lt;&gt;")&lt;&gt;1,NOT(ISNUMBER(VLOOKUP(C998,'手数料マスタ'!$A$5:$B$104,2,FALSE))),VLOOKUP(C998,'手数料マスタ'!$A$5:$B$104,2,FALSE)&lt;0,VLOOKUP(C998,'手数料マスタ'!$A$5:$B$104,2,FALSE)&gt;1),"要確認",ROUND(E998*VLOOKUP(C998,'手数料マスタ'!$A$5:$B$104,2,FALSE),0)),"要確認"))</ns0:f>
        <ns0:v/>
      </ns0:c>
      <ns0:c r="G998" s="7" t="n"/>
      <ns0:c r="H998" s="7" t="n"/>
      <ns0:c r="I998" s="8" t="str">
        <ns0:f>IF(OR(B998="",J998&lt;&gt;"販売済み",D998="",E998="",G998="",H998=""),"",IF(ISNUMBER(F998),E998-D998-F998-G998-H998,"要確認"))</ns0:f>
        <ns0:v/>
      </ns0:c>
      <ns0:c r="J998" s="6" t="n"/>
      <ns0:c r="K998" s="5" t="n"/>
      <ns0:c r="L998" s="9" t="str">
        <ns0:f>IF(AND(B998&lt;&gt;"",J998="在庫"),COUNTIFS($J$5:J998,"在庫",$B$5:B998,"&lt;&gt;"),"")</ns0:f>
        <ns0:v/>
      </ns0:c>
    </ns0:row>
    <ns0:row r="999">
      <ns0:c r="A999" s="5" t="n"/>
      <ns0:c r="B999" s="6" t="n"/>
      <ns0:c r="C999" s="6" t="n"/>
      <ns0:c r="D999" s="7" t="n"/>
      <ns0:c r="E999" s="7" t="n"/>
      <ns0:c r="F999" s="8" t="str">
        <ns0:f>IF(OR(B999="",J999&lt;&gt;"販売済み",E999="",C999=""),"",IFERROR(IF(OR(COUNTIF('手数料マスタ'!$A$5:$A$104,C999)&lt;&gt;1,COUNTIFS('手数料マスタ'!$A$5:$A$104,C999,'手数料マスタ'!$B$5:$B$104,"&lt;&gt;")&lt;&gt;1,NOT(ISNUMBER(VLOOKUP(C999,'手数料マスタ'!$A$5:$B$104,2,FALSE))),VLOOKUP(C999,'手数料マスタ'!$A$5:$B$104,2,FALSE)&lt;0,VLOOKUP(C999,'手数料マスタ'!$A$5:$B$104,2,FALSE)&gt;1),"要確認",ROUND(E999*VLOOKUP(C999,'手数料マスタ'!$A$5:$B$104,2,FALSE),0)),"要確認"))</ns0:f>
        <ns0:v/>
      </ns0:c>
      <ns0:c r="G999" s="7" t="n"/>
      <ns0:c r="H999" s="7" t="n"/>
      <ns0:c r="I999" s="8" t="str">
        <ns0:f>IF(OR(B999="",J999&lt;&gt;"販売済み",D999="",E999="",G999="",H999=""),"",IF(ISNUMBER(F999),E999-D999-F999-G999-H999,"要確認"))</ns0:f>
        <ns0:v/>
      </ns0:c>
      <ns0:c r="J999" s="6" t="n"/>
      <ns0:c r="K999" s="5" t="n"/>
      <ns0:c r="L999" s="9" t="str">
        <ns0:f>IF(AND(B999&lt;&gt;"",J999="在庫"),COUNTIFS($J$5:J999,"在庫",$B$5:B999,"&lt;&gt;"),"")</ns0:f>
        <ns0:v/>
      </ns0:c>
    </ns0:row>
    <ns0:row r="1000">
      <ns0:c r="A1000" s="5" t="n"/>
      <ns0:c r="B1000" s="6" t="n"/>
      <ns0:c r="C1000" s="6" t="n"/>
      <ns0:c r="D1000" s="7" t="n"/>
      <ns0:c r="E1000" s="7" t="n"/>
      <ns0:c r="F1000" s="8" t="str">
        <ns0:f>IF(OR(B1000="",J1000&lt;&gt;"販売済み",E1000="",C1000=""),"",IFERROR(IF(OR(COUNTIF('手数料マスタ'!$A$5:$A$104,C1000)&lt;&gt;1,COUNTIFS('手数料マスタ'!$A$5:$A$104,C1000,'手数料マスタ'!$B$5:$B$104,"&lt;&gt;")&lt;&gt;1,NOT(ISNUMBER(VLOOKUP(C1000,'手数料マスタ'!$A$5:$B$104,2,FALSE))),VLOOKUP(C1000,'手数料マスタ'!$A$5:$B$104,2,FALSE)&lt;0,VLOOKUP(C1000,'手数料マスタ'!$A$5:$B$104,2,FALSE)&gt;1),"要確認",ROUND(E1000*VLOOKUP(C1000,'手数料マスタ'!$A$5:$B$104,2,FALSE),0)),"要確認"))</ns0:f>
        <ns0:v/>
      </ns0:c>
      <ns0:c r="G1000" s="7" t="n"/>
      <ns0:c r="H1000" s="7" t="n"/>
      <ns0:c r="I1000" s="8" t="str">
        <ns0:f>IF(OR(B1000="",J1000&lt;&gt;"販売済み",D1000="",E1000="",G1000="",H1000=""),"",IF(ISNUMBER(F1000),E1000-D1000-F1000-G1000-H1000,"要確認"))</ns0:f>
        <ns0:v/>
      </ns0:c>
      <ns0:c r="J1000" s="6" t="n"/>
      <ns0:c r="K1000" s="5" t="n"/>
      <ns0:c r="L1000" s="9" t="str">
        <ns0:f>IF(AND(B1000&lt;&gt;"",J1000="在庫"),COUNTIFS($J$5:J1000,"在庫",$B$5:B1000,"&lt;&gt;"),"")</ns0:f>
        <ns0:v/>
      </ns0:c>
    </ns0:row>
    <ns0:row r="1001">
      <ns0:c r="A1001" s="5" t="n"/>
      <ns0:c r="B1001" s="6" t="n"/>
      <ns0:c r="C1001" s="6" t="n"/>
      <ns0:c r="D1001" s="7" t="n"/>
      <ns0:c r="E1001" s="7" t="n"/>
      <ns0:c r="F1001" s="8" t="str">
        <ns0:f>IF(OR(B1001="",J1001&lt;&gt;"販売済み",E1001="",C1001=""),"",IFERROR(IF(OR(COUNTIF('手数料マスタ'!$A$5:$A$104,C1001)&lt;&gt;1,COUNTIFS('手数料マスタ'!$A$5:$A$104,C1001,'手数料マスタ'!$B$5:$B$104,"&lt;&gt;")&lt;&gt;1,NOT(ISNUMBER(VLOOKUP(C1001,'手数料マスタ'!$A$5:$B$104,2,FALSE))),VLOOKUP(C1001,'手数料マスタ'!$A$5:$B$104,2,FALSE)&lt;0,VLOOKUP(C1001,'手数料マスタ'!$A$5:$B$104,2,FALSE)&gt;1),"要確認",ROUND(E1001*VLOOKUP(C1001,'手数料マスタ'!$A$5:$B$104,2,FALSE),0)),"要確認"))</ns0:f>
        <ns0:v/>
      </ns0:c>
      <ns0:c r="G1001" s="7" t="n"/>
      <ns0:c r="H1001" s="7" t="n"/>
      <ns0:c r="I1001" s="8" t="str">
        <ns0:f>IF(OR(B1001="",J1001&lt;&gt;"販売済み",D1001="",E1001="",G1001="",H1001=""),"",IF(ISNUMBER(F1001),E1001-D1001-F1001-G1001-H1001,"要確認"))</ns0:f>
        <ns0:v/>
      </ns0:c>
      <ns0:c r="J1001" s="6" t="n"/>
      <ns0:c r="K1001" s="5" t="n"/>
      <ns0:c r="L1001" s="9" t="str">
        <ns0:f>IF(AND(B1001&lt;&gt;"",J1001="在庫"),COUNTIFS($J$5:J1001,"在庫",$B$5:B1001,"&lt;&gt;"),"")</ns0:f>
        <ns0:v/>
      </ns0:c>
    </ns0:row>
    <ns0:row r="1002">
      <ns0:c r="A1002" s="5" t="n"/>
      <ns0:c r="B1002" s="6" t="n"/>
      <ns0:c r="C1002" s="6" t="n"/>
      <ns0:c r="D1002" s="7" t="n"/>
      <ns0:c r="E1002" s="7" t="n"/>
      <ns0:c r="F1002" s="8" t="str">
        <ns0:f>IF(OR(B1002="",J1002&lt;&gt;"販売済み",E1002="",C1002=""),"",IFERROR(IF(OR(COUNTIF('手数料マスタ'!$A$5:$A$104,C1002)&lt;&gt;1,COUNTIFS('手数料マスタ'!$A$5:$A$104,C1002,'手数料マスタ'!$B$5:$B$104,"&lt;&gt;")&lt;&gt;1,NOT(ISNUMBER(VLOOKUP(C1002,'手数料マスタ'!$A$5:$B$104,2,FALSE))),VLOOKUP(C1002,'手数料マスタ'!$A$5:$B$104,2,FALSE)&lt;0,VLOOKUP(C1002,'手数料マスタ'!$A$5:$B$104,2,FALSE)&gt;1),"要確認",ROUND(E1002*VLOOKUP(C1002,'手数料マスタ'!$A$5:$B$104,2,FALSE),0)),"要確認"))</ns0:f>
        <ns0:v/>
      </ns0:c>
      <ns0:c r="G1002" s="7" t="n"/>
      <ns0:c r="H1002" s="7" t="n"/>
      <ns0:c r="I1002" s="8" t="str">
        <ns0:f>IF(OR(B1002="",J1002&lt;&gt;"販売済み",D1002="",E1002="",G1002="",H1002=""),"",IF(ISNUMBER(F1002),E1002-D1002-F1002-G1002-H1002,"要確認"))</ns0:f>
        <ns0:v/>
      </ns0:c>
      <ns0:c r="J1002" s="6" t="n"/>
      <ns0:c r="K1002" s="5" t="n"/>
      <ns0:c r="L1002" s="9" t="str">
        <ns0:f>IF(AND(B1002&lt;&gt;"",J1002="在庫"),COUNTIFS($J$5:J1002,"在庫",$B$5:B1002,"&lt;&gt;"),"")</ns0:f>
        <ns0:v/>
      </ns0:c>
    </ns0:row>
    <ns0:row r="1003">
      <ns0:c r="A1003" s="5" t="n"/>
      <ns0:c r="B1003" s="6" t="n"/>
      <ns0:c r="C1003" s="6" t="n"/>
      <ns0:c r="D1003" s="7" t="n"/>
      <ns0:c r="E1003" s="7" t="n"/>
      <ns0:c r="F1003" s="8" t="str">
        <ns0:f>IF(OR(B1003="",J1003&lt;&gt;"販売済み",E1003="",C1003=""),"",IFERROR(IF(OR(COUNTIF('手数料マスタ'!$A$5:$A$104,C1003)&lt;&gt;1,COUNTIFS('手数料マスタ'!$A$5:$A$104,C1003,'手数料マスタ'!$B$5:$B$104,"&lt;&gt;")&lt;&gt;1,NOT(ISNUMBER(VLOOKUP(C1003,'手数料マスタ'!$A$5:$B$104,2,FALSE))),VLOOKUP(C1003,'手数料マスタ'!$A$5:$B$104,2,FALSE)&lt;0,VLOOKUP(C1003,'手数料マスタ'!$A$5:$B$104,2,FALSE)&gt;1),"要確認",ROUND(E1003*VLOOKUP(C1003,'手数料マスタ'!$A$5:$B$104,2,FALSE),0)),"要確認"))</ns0:f>
        <ns0:v/>
      </ns0:c>
      <ns0:c r="G1003" s="7" t="n"/>
      <ns0:c r="H1003" s="7" t="n"/>
      <ns0:c r="I1003" s="8" t="str">
        <ns0:f>IF(OR(B1003="",J1003&lt;&gt;"販売済み",D1003="",E1003="",G1003="",H1003=""),"",IF(ISNUMBER(F1003),E1003-D1003-F1003-G1003-H1003,"要確認"))</ns0:f>
        <ns0:v/>
      </ns0:c>
      <ns0:c r="J1003" s="6" t="n"/>
      <ns0:c r="K1003" s="5" t="n"/>
      <ns0:c r="L1003" s="9" t="str">
        <ns0:f>IF(AND(B1003&lt;&gt;"",J1003="在庫"),COUNTIFS($J$5:J1003,"在庫",$B$5:B1003,"&lt;&gt;"),"")</ns0:f>
        <ns0:v/>
      </ns0:c>
    </ns0:row>
    <ns0:row r="1004">
      <ns0:c r="A1004" s="5" t="n"/>
      <ns0:c r="B1004" s="6" t="n"/>
      <ns0:c r="C1004" s="6" t="n"/>
      <ns0:c r="D1004" s="7" t="n"/>
      <ns0:c r="E1004" s="7" t="n"/>
      <ns0:c r="F1004" s="8" t="str">
        <ns0:f>IF(OR(B1004="",J1004&lt;&gt;"販売済み",E1004="",C1004=""),"",IFERROR(IF(OR(COUNTIF('手数料マスタ'!$A$5:$A$104,C1004)&lt;&gt;1,COUNTIFS('手数料マスタ'!$A$5:$A$104,C1004,'手数料マスタ'!$B$5:$B$104,"&lt;&gt;")&lt;&gt;1,NOT(ISNUMBER(VLOOKUP(C1004,'手数料マスタ'!$A$5:$B$104,2,FALSE))),VLOOKUP(C1004,'手数料マスタ'!$A$5:$B$104,2,FALSE)&lt;0,VLOOKUP(C1004,'手数料マスタ'!$A$5:$B$104,2,FALSE)&gt;1),"要確認",ROUND(E1004*VLOOKUP(C1004,'手数料マスタ'!$A$5:$B$104,2,FALSE),0)),"要確認"))</ns0:f>
        <ns0:v/>
      </ns0:c>
      <ns0:c r="G1004" s="7" t="n"/>
      <ns0:c r="H1004" s="7" t="n"/>
      <ns0:c r="I1004" s="8" t="str">
        <ns0:f>IF(OR(B1004="",J1004&lt;&gt;"販売済み",D1004="",E1004="",G1004="",H1004=""),"",IF(ISNUMBER(F1004),E1004-D1004-F1004-G1004-H1004,"要確認"))</ns0:f>
        <ns0:v/>
      </ns0:c>
      <ns0:c r="J1004" s="6" t="n"/>
      <ns0:c r="K1004" s="5" t="n"/>
      <ns0:c r="L1004" s="9" t="str">
        <ns0:f>IF(AND(B1004&lt;&gt;"",J1004="在庫"),COUNTIFS($J$5:J1004,"在庫",$B$5:B1004,"&lt;&gt;"),"")</ns0:f>
        <ns0:v/>
      </ns0:c>
    </ns0:row>
  </ns0:sheetData>
  <ns0:autoFilter ref="A4:K1004"/>
  <ns0:conditionalFormatting sqref="I5:I1004">
    <ns0:cfRule type="cellIs" priority="1" operator="lessThan" dxfId="0">
      <ns0:formula>0</ns0:formula>
    </ns0:cfRule>
  </ns0:conditionalFormatting>
  <ns0:dataValidations count="3">
    <ns0:dataValidation sqref="C5:C1004" showDropDown="0" showInputMessage="0" showErrorMessage="1" allowBlank="1" errorTitle="入力値をご確認ください" error="候補または指定範囲の値を入力してください。" type="list" errorStyle="stop">
      <ns0:formula1>PlatformList</ns0:formula1>
    </ns0:dataValidation>
    <ns0:dataValidation sqref="J5:J1004" showDropDown="0" showInputMessage="0" showErrorMessage="1" allowBlank="1" errorTitle="入力値をご確認ください" error="候補または指定範囲の値を入力してください。" type="list" errorStyle="stop">
      <ns0:formula1>"販売済み,在庫"</ns0:formula1>
    </ns0:dataValidation>
    <ns0:dataValidation sqref="D5:D1004 E5:E1004 G5:G1004 H5:H1004" showDropDown="0" showInputMessage="0" showErrorMessage="1" allowBlank="1" errorTitle="入力値をご確認ください" error="候補または指定範囲の値を入力してください。" type="decimal" errorStyle="stop">
      <ns0:formula1>0</ns0:formula1>
      <ns0:formula2>1000000000</ns0:formula2>
    </ns0:dataValidation>
  </ns0:dataValidations>
  <ns0:pageMargins left="0.75" right="0.75" top="1" bottom="1" header="0.5" footer="0.5"/>
  <ns0:pageSetup orientation="landscape" paperSize="9" fitToHeight="0" fitToWidth="1"/>
</ns0:worksheet>
</file>

<file path=xl/worksheets/sheet3.xml><?xml version="1.0" encoding="utf-8"?>
<ns0:worksheet xmlns:ns0="http://schemas.openxmlformats.org/spreadsheetml/2006/main">
  <ns0:sheetPr>
    <ns0:tabColor rgb="00087F8C"/>
    <ns0:outlinePr summaryBelow="1" summaryRight="0"/>
    <ns0:pageSetUpPr fitToPage="1"/>
  </ns0:sheetPr>
  <ns0:dimension ref="A1:C104"/>
  <ns0:sheetViews>
    <ns0:sheetView showGridLines="0" workbookViewId="0">
      <ns0:pane ySplit="4" topLeftCell="A5" activePane="bottomLeft" state="frozen"/>
      <ns0:selection pane="bottomLeft" activeCell="A1" sqref="A1"/>
    </ns0:sheetView>
  </ns0:sheetViews>
  <ns0:sheetFormatPr baseColWidth="8" defaultRowHeight="15"/>
  <ns0:cols>
    <ns0:col width="30" customWidth="1" min="1" max="1"/>
    <ns0:col width="18" customWidth="1" min="2" max="2"/>
    <ns0:col width="72" customWidth="1" min="3" max="3"/>
  </ns0:cols>
  <ns0:sheetData>
    <ns0:row r="1" ht="32" customHeight="1">
      <ns0:c r="A1" s="1" t="inlineStr">
        <ns0:is>
          <ns0:t>手数料マスタ</ns0:t>
        </ns0:is>
      </ns0:c>
    </ns0:row>
    <ns0:row r="2" ht="26" customHeight="1">
      <ns0:c r="A2" s="2" t="inlineStr">
        <ns0:is>
          <ns0:t>編集可能な参考値です。実際の契約・最新の料率を確認してください。変更は過去分にも反映されます。</ns0:t>
        </ns0:is>
      </ns0:c>
    </ns0:row>
    <ns0:row r="4" ht="30" customHeight="1">
      <ns0:c r="A4" s="3" t="inlineStr">
        <ns0:is>
          <ns0:t>プラットフォーム</ns0:t>
        </ns0:is>
      </ns0:c>
      <ns0:c r="B4" s="3" t="inlineStr">
        <ns0:is>
          <ns0:t>手数料率</ns0:t>
        </ns0:is>
      </ns0:c>
      <ns0:c r="C4" s="3" t="inlineStr">
        <ns0:is>
          <ns0:t>備考</ns0:t>
        </ns0:is>
      </ns0:c>
    </ns0:row>
    <ns0:row r="5">
      <ns0:c r="A5" s="6" t="inlineStr">
        <ns0:is>
          <ns0:t>メルカリ</ns0:t>
        </ns0:is>
      </ns0:c>
      <ns0:c r="B5" s="10" t="n">
        <ns0:v>0.1</ns0:v>
      </ns0:c>
      <ns0:c r="C5" s="6" t="inlineStr">
        <ns0:is>
          <ns0:t>参考初期値。販売価格に対する割合。</ns0:t>
        </ns0:is>
      </ns0:c>
    </ns0:row>
    <ns0:row r="6">
      <ns0:c r="A6" s="6" t="inlineStr">
        <ns0:is>
          <ns0:t>Yahoo!フリマ</ns0:t>
        </ns0:is>
      </ns0:c>
      <ns0:c r="B6" s="10" t="n">
        <ns0:v>0.05</ns0:v>
      </ns0:c>
      <ns0:c r="C6" s="6" t="inlineStr">
        <ns0:is>
          <ns0:t>参考例。キャンペーン等による変更を確認。</ns0:t>
        </ns0:is>
      </ns0:c>
    </ns0:row>
    <ns0:row r="7">
      <ns0:c r="A7" s="6" t="inlineStr">
        <ns0:is>
          <ns0:t>その他</ns0:t>
        </ns0:is>
      </ns0:c>
      <ns0:c r="B7" s="10" t="n">
        <ns0:v>0.1</ns0:v>
      </ns0:c>
      <ns0:c r="C7" s="6" t="inlineStr">
        <ns0:is>
          <ns0:t>仮の料率。利用サービスに合わせて編集。</ns0:t>
        </ns0:is>
      </ns0:c>
    </ns0:row>
    <ns0:row r="8">
      <ns0:c r="A8" s="6" t="n"/>
      <ns0:c r="B8" s="10" t="n"/>
      <ns0:c r="C8" s="6" t="n"/>
    </ns0:row>
    <ns0:row r="9">
      <ns0:c r="A9" s="6" t="n"/>
      <ns0:c r="B9" s="10" t="n"/>
      <ns0:c r="C9" s="6" t="n"/>
    </ns0:row>
    <ns0:row r="10">
      <ns0:c r="A10" s="6" t="n"/>
      <ns0:c r="B10" s="10" t="n"/>
      <ns0:c r="C10" s="6" t="n"/>
    </ns0:row>
    <ns0:row r="11">
      <ns0:c r="A11" s="6" t="n"/>
      <ns0:c r="B11" s="10" t="n"/>
      <ns0:c r="C11" s="6" t="n"/>
    </ns0:row>
    <ns0:row r="12">
      <ns0:c r="A12" s="6" t="n"/>
      <ns0:c r="B12" s="10" t="n"/>
      <ns0:c r="C12" s="6" t="n"/>
    </ns0:row>
    <ns0:row r="13">
      <ns0:c r="A13" s="6" t="n"/>
      <ns0:c r="B13" s="10" t="n"/>
      <ns0:c r="C13" s="6" t="n"/>
    </ns0:row>
    <ns0:row r="14">
      <ns0:c r="A14" s="6" t="n"/>
      <ns0:c r="B14" s="10" t="n"/>
      <ns0:c r="C14" s="6" t="n"/>
    </ns0:row>
    <ns0:row r="15">
      <ns0:c r="A15" s="6" t="n"/>
      <ns0:c r="B15" s="10" t="n"/>
      <ns0:c r="C15" s="6" t="n"/>
    </ns0:row>
    <ns0:row r="16">
      <ns0:c r="A16" s="6" t="n"/>
      <ns0:c r="B16" s="10" t="n"/>
      <ns0:c r="C16" s="6" t="n"/>
    </ns0:row>
    <ns0:row r="17">
      <ns0:c r="A17" s="6" t="n"/>
      <ns0:c r="B17" s="10" t="n"/>
      <ns0:c r="C17" s="6" t="n"/>
    </ns0:row>
    <ns0:row r="18">
      <ns0:c r="A18" s="6" t="n"/>
      <ns0:c r="B18" s="10" t="n"/>
      <ns0:c r="C18" s="6" t="n"/>
    </ns0:row>
    <ns0:row r="19">
      <ns0:c r="A19" s="6" t="n"/>
      <ns0:c r="B19" s="10" t="n"/>
      <ns0:c r="C19" s="6" t="n"/>
    </ns0:row>
    <ns0:row r="20">
      <ns0:c r="A20" s="6" t="n"/>
      <ns0:c r="B20" s="10" t="n"/>
      <ns0:c r="C20" s="6" t="n"/>
    </ns0:row>
    <ns0:row r="21">
      <ns0:c r="A21" s="6" t="n"/>
      <ns0:c r="B21" s="10" t="n"/>
      <ns0:c r="C21" s="6" t="n"/>
    </ns0:row>
    <ns0:row r="22">
      <ns0:c r="A22" s="6" t="n"/>
      <ns0:c r="B22" s="10" t="n"/>
      <ns0:c r="C22" s="6" t="n"/>
    </ns0:row>
    <ns0:row r="23">
      <ns0:c r="A23" s="6" t="n"/>
      <ns0:c r="B23" s="10" t="n"/>
      <ns0:c r="C23" s="6" t="n"/>
    </ns0:row>
    <ns0:row r="24">
      <ns0:c r="A24" s="6" t="n"/>
      <ns0:c r="B24" s="10" t="n"/>
      <ns0:c r="C24" s="6" t="n"/>
    </ns0:row>
    <ns0:row r="25">
      <ns0:c r="A25" s="6" t="n"/>
      <ns0:c r="B25" s="10" t="n"/>
      <ns0:c r="C25" s="6" t="n"/>
    </ns0:row>
    <ns0:row r="26">
      <ns0:c r="A26" s="6" t="n"/>
      <ns0:c r="B26" s="10" t="n"/>
      <ns0:c r="C26" s="6" t="n"/>
    </ns0:row>
    <ns0:row r="27">
      <ns0:c r="A27" s="6" t="n"/>
      <ns0:c r="B27" s="10" t="n"/>
      <ns0:c r="C27" s="6" t="n"/>
    </ns0:row>
    <ns0:row r="28">
      <ns0:c r="A28" s="6" t="n"/>
      <ns0:c r="B28" s="10" t="n"/>
      <ns0:c r="C28" s="6" t="n"/>
    </ns0:row>
    <ns0:row r="29">
      <ns0:c r="A29" s="6" t="n"/>
      <ns0:c r="B29" s="10" t="n"/>
      <ns0:c r="C29" s="6" t="n"/>
    </ns0:row>
    <ns0:row r="30">
      <ns0:c r="A30" s="6" t="n"/>
      <ns0:c r="B30" s="10" t="n"/>
      <ns0:c r="C30" s="6" t="n"/>
    </ns0:row>
    <ns0:row r="31">
      <ns0:c r="A31" s="6" t="n"/>
      <ns0:c r="B31" s="10" t="n"/>
      <ns0:c r="C31" s="6" t="n"/>
    </ns0:row>
    <ns0:row r="32">
      <ns0:c r="A32" s="6" t="n"/>
      <ns0:c r="B32" s="10" t="n"/>
      <ns0:c r="C32" s="6" t="n"/>
    </ns0:row>
    <ns0:row r="33">
      <ns0:c r="A33" s="6" t="n"/>
      <ns0:c r="B33" s="10" t="n"/>
      <ns0:c r="C33" s="6" t="n"/>
    </ns0:row>
    <ns0:row r="34">
      <ns0:c r="A34" s="6" t="n"/>
      <ns0:c r="B34" s="10" t="n"/>
      <ns0:c r="C34" s="6" t="n"/>
    </ns0:row>
    <ns0:row r="35">
      <ns0:c r="A35" s="6" t="n"/>
      <ns0:c r="B35" s="10" t="n"/>
      <ns0:c r="C35" s="6" t="n"/>
    </ns0:row>
    <ns0:row r="36">
      <ns0:c r="A36" s="6" t="n"/>
      <ns0:c r="B36" s="10" t="n"/>
      <ns0:c r="C36" s="6" t="n"/>
    </ns0:row>
    <ns0:row r="37">
      <ns0:c r="A37" s="6" t="n"/>
      <ns0:c r="B37" s="10" t="n"/>
      <ns0:c r="C37" s="6" t="n"/>
    </ns0:row>
    <ns0:row r="38">
      <ns0:c r="A38" s="6" t="n"/>
      <ns0:c r="B38" s="10" t="n"/>
      <ns0:c r="C38" s="6" t="n"/>
    </ns0:row>
    <ns0:row r="39">
      <ns0:c r="A39" s="6" t="n"/>
      <ns0:c r="B39" s="10" t="n"/>
      <ns0:c r="C39" s="6" t="n"/>
    </ns0:row>
    <ns0:row r="40">
      <ns0:c r="A40" s="6" t="n"/>
      <ns0:c r="B40" s="10" t="n"/>
      <ns0:c r="C40" s="6" t="n"/>
    </ns0:row>
    <ns0:row r="41">
      <ns0:c r="A41" s="6" t="n"/>
      <ns0:c r="B41" s="10" t="n"/>
      <ns0:c r="C41" s="6" t="n"/>
    </ns0:row>
    <ns0:row r="42">
      <ns0:c r="A42" s="6" t="n"/>
      <ns0:c r="B42" s="10" t="n"/>
      <ns0:c r="C42" s="6" t="n"/>
    </ns0:row>
    <ns0:row r="43">
      <ns0:c r="A43" s="6" t="n"/>
      <ns0:c r="B43" s="10" t="n"/>
      <ns0:c r="C43" s="6" t="n"/>
    </ns0:row>
    <ns0:row r="44">
      <ns0:c r="A44" s="6" t="n"/>
      <ns0:c r="B44" s="10" t="n"/>
      <ns0:c r="C44" s="6" t="n"/>
    </ns0:row>
    <ns0:row r="45">
      <ns0:c r="A45" s="6" t="n"/>
      <ns0:c r="B45" s="10" t="n"/>
      <ns0:c r="C45" s="6" t="n"/>
    </ns0:row>
    <ns0:row r="46">
      <ns0:c r="A46" s="6" t="n"/>
      <ns0:c r="B46" s="10" t="n"/>
      <ns0:c r="C46" s="6" t="n"/>
    </ns0:row>
    <ns0:row r="47">
      <ns0:c r="A47" s="6" t="n"/>
      <ns0:c r="B47" s="10" t="n"/>
      <ns0:c r="C47" s="6" t="n"/>
    </ns0:row>
    <ns0:row r="48">
      <ns0:c r="A48" s="6" t="n"/>
      <ns0:c r="B48" s="10" t="n"/>
      <ns0:c r="C48" s="6" t="n"/>
    </ns0:row>
    <ns0:row r="49">
      <ns0:c r="A49" s="6" t="n"/>
      <ns0:c r="B49" s="10" t="n"/>
      <ns0:c r="C49" s="6" t="n"/>
    </ns0:row>
    <ns0:row r="50">
      <ns0:c r="A50" s="6" t="n"/>
      <ns0:c r="B50" s="10" t="n"/>
      <ns0:c r="C50" s="6" t="n"/>
    </ns0:row>
    <ns0:row r="51">
      <ns0:c r="A51" s="6" t="n"/>
      <ns0:c r="B51" s="10" t="n"/>
      <ns0:c r="C51" s="6" t="n"/>
    </ns0:row>
    <ns0:row r="52">
      <ns0:c r="A52" s="6" t="n"/>
      <ns0:c r="B52" s="10" t="n"/>
      <ns0:c r="C52" s="6" t="n"/>
    </ns0:row>
    <ns0:row r="53">
      <ns0:c r="A53" s="6" t="n"/>
      <ns0:c r="B53" s="10" t="n"/>
      <ns0:c r="C53" s="6" t="n"/>
    </ns0:row>
    <ns0:row r="54">
      <ns0:c r="A54" s="6" t="n"/>
      <ns0:c r="B54" s="10" t="n"/>
      <ns0:c r="C54" s="6" t="n"/>
    </ns0:row>
    <ns0:row r="55">
      <ns0:c r="A55" s="6" t="n"/>
      <ns0:c r="B55" s="10" t="n"/>
      <ns0:c r="C55" s="6" t="n"/>
    </ns0:row>
    <ns0:row r="56">
      <ns0:c r="A56" s="6" t="n"/>
      <ns0:c r="B56" s="10" t="n"/>
      <ns0:c r="C56" s="6" t="n"/>
    </ns0:row>
    <ns0:row r="57">
      <ns0:c r="A57" s="6" t="n"/>
      <ns0:c r="B57" s="10" t="n"/>
      <ns0:c r="C57" s="6" t="n"/>
    </ns0:row>
    <ns0:row r="58">
      <ns0:c r="A58" s="6" t="n"/>
      <ns0:c r="B58" s="10" t="n"/>
      <ns0:c r="C58" s="6" t="n"/>
    </ns0:row>
    <ns0:row r="59">
      <ns0:c r="A59" s="6" t="n"/>
      <ns0:c r="B59" s="10" t="n"/>
      <ns0:c r="C59" s="6" t="n"/>
    </ns0:row>
    <ns0:row r="60">
      <ns0:c r="A60" s="6" t="n"/>
      <ns0:c r="B60" s="10" t="n"/>
      <ns0:c r="C60" s="6" t="n"/>
    </ns0:row>
    <ns0:row r="61">
      <ns0:c r="A61" s="6" t="n"/>
      <ns0:c r="B61" s="10" t="n"/>
      <ns0:c r="C61" s="6" t="n"/>
    </ns0:row>
    <ns0:row r="62">
      <ns0:c r="A62" s="6" t="n"/>
      <ns0:c r="B62" s="10" t="n"/>
      <ns0:c r="C62" s="6" t="n"/>
    </ns0:row>
    <ns0:row r="63">
      <ns0:c r="A63" s="6" t="n"/>
      <ns0:c r="B63" s="10" t="n"/>
      <ns0:c r="C63" s="6" t="n"/>
    </ns0:row>
    <ns0:row r="64">
      <ns0:c r="A64" s="6" t="n"/>
      <ns0:c r="B64" s="10" t="n"/>
      <ns0:c r="C64" s="6" t="n"/>
    </ns0:row>
    <ns0:row r="65">
      <ns0:c r="A65" s="6" t="n"/>
      <ns0:c r="B65" s="10" t="n"/>
      <ns0:c r="C65" s="6" t="n"/>
    </ns0:row>
    <ns0:row r="66">
      <ns0:c r="A66" s="6" t="n"/>
      <ns0:c r="B66" s="10" t="n"/>
      <ns0:c r="C66" s="6" t="n"/>
    </ns0:row>
    <ns0:row r="67">
      <ns0:c r="A67" s="6" t="n"/>
      <ns0:c r="B67" s="10" t="n"/>
      <ns0:c r="C67" s="6" t="n"/>
    </ns0:row>
    <ns0:row r="68">
      <ns0:c r="A68" s="6" t="n"/>
      <ns0:c r="B68" s="10" t="n"/>
      <ns0:c r="C68" s="6" t="n"/>
    </ns0:row>
    <ns0:row r="69">
      <ns0:c r="A69" s="6" t="n"/>
      <ns0:c r="B69" s="10" t="n"/>
      <ns0:c r="C69" s="6" t="n"/>
    </ns0:row>
    <ns0:row r="70">
      <ns0:c r="A70" s="6" t="n"/>
      <ns0:c r="B70" s="10" t="n"/>
      <ns0:c r="C70" s="6" t="n"/>
    </ns0:row>
    <ns0:row r="71">
      <ns0:c r="A71" s="6" t="n"/>
      <ns0:c r="B71" s="10" t="n"/>
      <ns0:c r="C71" s="6" t="n"/>
    </ns0:row>
    <ns0:row r="72">
      <ns0:c r="A72" s="6" t="n"/>
      <ns0:c r="B72" s="10" t="n"/>
      <ns0:c r="C72" s="6" t="n"/>
    </ns0:row>
    <ns0:row r="73">
      <ns0:c r="A73" s="6" t="n"/>
      <ns0:c r="B73" s="10" t="n"/>
      <ns0:c r="C73" s="6" t="n"/>
    </ns0:row>
    <ns0:row r="74">
      <ns0:c r="A74" s="6" t="n"/>
      <ns0:c r="B74" s="10" t="n"/>
      <ns0:c r="C74" s="6" t="n"/>
    </ns0:row>
    <ns0:row r="75">
      <ns0:c r="A75" s="6" t="n"/>
      <ns0:c r="B75" s="10" t="n"/>
      <ns0:c r="C75" s="6" t="n"/>
    </ns0:row>
    <ns0:row r="76">
      <ns0:c r="A76" s="6" t="n"/>
      <ns0:c r="B76" s="10" t="n"/>
      <ns0:c r="C76" s="6" t="n"/>
    </ns0:row>
    <ns0:row r="77">
      <ns0:c r="A77" s="6" t="n"/>
      <ns0:c r="B77" s="10" t="n"/>
      <ns0:c r="C77" s="6" t="n"/>
    </ns0:row>
    <ns0:row r="78">
      <ns0:c r="A78" s="6" t="n"/>
      <ns0:c r="B78" s="10" t="n"/>
      <ns0:c r="C78" s="6" t="n"/>
    </ns0:row>
    <ns0:row r="79">
      <ns0:c r="A79" s="6" t="n"/>
      <ns0:c r="B79" s="10" t="n"/>
      <ns0:c r="C79" s="6" t="n"/>
    </ns0:row>
    <ns0:row r="80">
      <ns0:c r="A80" s="6" t="n"/>
      <ns0:c r="B80" s="10" t="n"/>
      <ns0:c r="C80" s="6" t="n"/>
    </ns0:row>
    <ns0:row r="81">
      <ns0:c r="A81" s="6" t="n"/>
      <ns0:c r="B81" s="10" t="n"/>
      <ns0:c r="C81" s="6" t="n"/>
    </ns0:row>
    <ns0:row r="82">
      <ns0:c r="A82" s="6" t="n"/>
      <ns0:c r="B82" s="10" t="n"/>
      <ns0:c r="C82" s="6" t="n"/>
    </ns0:row>
    <ns0:row r="83">
      <ns0:c r="A83" s="6" t="n"/>
      <ns0:c r="B83" s="10" t="n"/>
      <ns0:c r="C83" s="6" t="n"/>
    </ns0:row>
    <ns0:row r="84">
      <ns0:c r="A84" s="6" t="n"/>
      <ns0:c r="B84" s="10" t="n"/>
      <ns0:c r="C84" s="6" t="n"/>
    </ns0:row>
    <ns0:row r="85">
      <ns0:c r="A85" s="6" t="n"/>
      <ns0:c r="B85" s="10" t="n"/>
      <ns0:c r="C85" s="6" t="n"/>
    </ns0:row>
    <ns0:row r="86">
      <ns0:c r="A86" s="6" t="n"/>
      <ns0:c r="B86" s="10" t="n"/>
      <ns0:c r="C86" s="6" t="n"/>
    </ns0:row>
    <ns0:row r="87">
      <ns0:c r="A87" s="6" t="n"/>
      <ns0:c r="B87" s="10" t="n"/>
      <ns0:c r="C87" s="6" t="n"/>
    </ns0:row>
    <ns0:row r="88">
      <ns0:c r="A88" s="6" t="n"/>
      <ns0:c r="B88" s="10" t="n"/>
      <ns0:c r="C88" s="6" t="n"/>
    </ns0:row>
    <ns0:row r="89">
      <ns0:c r="A89" s="6" t="n"/>
      <ns0:c r="B89" s="10" t="n"/>
      <ns0:c r="C89" s="6" t="n"/>
    </ns0:row>
    <ns0:row r="90">
      <ns0:c r="A90" s="6" t="n"/>
      <ns0:c r="B90" s="10" t="n"/>
      <ns0:c r="C90" s="6" t="n"/>
    </ns0:row>
    <ns0:row r="91">
      <ns0:c r="A91" s="6" t="n"/>
      <ns0:c r="B91" s="10" t="n"/>
      <ns0:c r="C91" s="6" t="n"/>
    </ns0:row>
    <ns0:row r="92">
      <ns0:c r="A92" s="6" t="n"/>
      <ns0:c r="B92" s="10" t="n"/>
      <ns0:c r="C92" s="6" t="n"/>
    </ns0:row>
    <ns0:row r="93">
      <ns0:c r="A93" s="6" t="n"/>
      <ns0:c r="B93" s="10" t="n"/>
      <ns0:c r="C93" s="6" t="n"/>
    </ns0:row>
    <ns0:row r="94">
      <ns0:c r="A94" s="6" t="n"/>
      <ns0:c r="B94" s="10" t="n"/>
      <ns0:c r="C94" s="6" t="n"/>
    </ns0:row>
    <ns0:row r="95">
      <ns0:c r="A95" s="6" t="n"/>
      <ns0:c r="B95" s="10" t="n"/>
      <ns0:c r="C95" s="6" t="n"/>
    </ns0:row>
    <ns0:row r="96">
      <ns0:c r="A96" s="6" t="n"/>
      <ns0:c r="B96" s="10" t="n"/>
      <ns0:c r="C96" s="6" t="n"/>
    </ns0:row>
    <ns0:row r="97">
      <ns0:c r="A97" s="6" t="n"/>
      <ns0:c r="B97" s="10" t="n"/>
      <ns0:c r="C97" s="6" t="n"/>
    </ns0:row>
    <ns0:row r="98">
      <ns0:c r="A98" s="6" t="n"/>
      <ns0:c r="B98" s="10" t="n"/>
      <ns0:c r="C98" s="6" t="n"/>
    </ns0:row>
    <ns0:row r="99">
      <ns0:c r="A99" s="6" t="n"/>
      <ns0:c r="B99" s="10" t="n"/>
      <ns0:c r="C99" s="6" t="n"/>
    </ns0:row>
    <ns0:row r="100">
      <ns0:c r="A100" s="6" t="n"/>
      <ns0:c r="B100" s="10" t="n"/>
      <ns0:c r="C100" s="6" t="n"/>
    </ns0:row>
    <ns0:row r="101">
      <ns0:c r="A101" s="6" t="n"/>
      <ns0:c r="B101" s="10" t="n"/>
      <ns0:c r="C101" s="6" t="n"/>
    </ns0:row>
    <ns0:row r="102">
      <ns0:c r="A102" s="6" t="n"/>
      <ns0:c r="B102" s="10" t="n"/>
      <ns0:c r="C102" s="6" t="n"/>
    </ns0:row>
    <ns0:row r="103">
      <ns0:c r="A103" s="6" t="n"/>
      <ns0:c r="B103" s="10" t="n"/>
      <ns0:c r="C103" s="6" t="n"/>
    </ns0:row>
    <ns0:row r="104">
      <ns0:c r="A104" s="6" t="n"/>
      <ns0:c r="B104" s="10" t="n"/>
      <ns0:c r="C104" s="6" t="n"/>
    </ns0:row>
  </ns0:sheetData>
  <ns0:autoFilter ref="A4:C104"/>
  <ns0:dataValidations count="1">
    <ns0:dataValidation sqref="B5:B104" showDropDown="0" showInputMessage="0" showErrorMessage="1" allowBlank="1" errorTitle="入力値をご確認ください" error="候補または指定範囲の値を入力してください。" type="decimal" errorStyle="stop">
      <ns0:formula1>0</ns0:formula1>
      <ns0:formula2>1</ns0:formula2>
    </ns0:dataValidation>
  </ns0:dataValidations>
  <ns0:pageMargins left="0.75" right="0.75" top="1" bottom="1" header="0.5" footer="0.5"/>
  <ns0:pageSetup orientation="landscape" paperSize="9" fitToHeight="0" fitToWidth="1"/>
</ns0:worksheet>
</file>

<file path=xl/worksheets/sheet4.xml><?xml version="1.0" encoding="utf-8"?>
<ns0:worksheet xmlns:ns0="http://schemas.openxmlformats.org/spreadsheetml/2006/main">
  <ns0:sheetPr>
    <ns0:tabColor rgb="00087F8C"/>
    <ns0:outlinePr summaryBelow="1" summaryRight="0"/>
    <ns0:pageSetUpPr fitToPage="1"/>
  </ns0:sheetPr>
  <ns0:dimension ref="A1:F1004"/>
  <ns0:sheetViews>
    <ns0:sheetView showGridLines="0" workbookViewId="0">
      <ns0:pane ySplit="4" topLeftCell="A5" activePane="bottomLeft" state="frozen"/>
      <ns0:selection pane="bottomLeft" activeCell="A1" sqref="A1"/>
    </ns0:sheetView>
  </ns0:sheetViews>
  <ns0:sheetFormatPr baseColWidth="8" defaultRowHeight="15"/>
  <ns0:cols>
    <ns0:col width="17" customWidth="1" min="1" max="1"/>
    <ns0:col width="30" customWidth="1" min="2" max="2"/>
    <ns0:col width="26" customWidth="1" min="3" max="3"/>
    <ns0:col width="19" customWidth="1" min="4" max="4"/>
    <ns0:col width="18" customWidth="1" min="5" max="5"/>
    <ns0:col hidden="1" width="12" customWidth="1" min="6" max="6"/>
  </ns0:cols>
  <ns0:sheetData>
    <ns0:row r="1" ht="32" customHeight="1">
      <ns0:c r="A1" s="1" t="inlineStr">
        <ns0:is>
          <ns0:t>在庫一覧</ns0:t>
        </ns0:is>
      </ns0:c>
    </ns0:row>
    <ns0:row r="2" ht="26" customHeight="1">
      <ns0:c r="A2" s="2" t="inlineStr">
        <ns0:is>
          <ns0:t>販売記録の「在庫」を自動表示 ｜ 経過30日以上は要チェック ｜ 販売記録の入力欄で更新します</ns0:t>
        </ns0:is>
      </ns0:c>
    </ns0:row>
    <ns0:row r="4" ht="30" customHeight="1">
      <ns0:c r="A4" s="3" t="inlineStr">
        <ns0:is>
          <ns0:t>仕入日</ns0:t>
        </ns0:is>
      </ns0:c>
      <ns0:c r="B4" s="3" t="inlineStr">
        <ns0:is>
          <ns0:t>商品名</ns0:t>
        </ns0:is>
      </ns0:c>
      <ns0:c r="C4" s="3" t="inlineStr">
        <ns0:is>
          <ns0:t>プラットフォーム</ns0:t>
        </ns0:is>
      </ns0:c>
      <ns0:c r="D4" s="3" t="inlineStr">
        <ns0:is>
          <ns0:t>仕入価格</ns0:t>
        </ns0:is>
      </ns0:c>
      <ns0:c r="E4" s="3" t="inlineStr">
        <ns0:is>
          <ns0:t>経過日数</ns0:t>
        </ns0:is>
      </ns0:c>
      <ns0:c r="F4" s="3" t="inlineStr">
        <ns0:is>
          <ns0:t>参照行</ns0:t>
        </ns0:is>
      </ns0:c>
    </ns0:row>
    <ns0:row r="5">
      <ns0:c r="A5" s="11" t="n">
        <ns0:f>IF($F5="","",IF(INDEX('販売記録'!$K$5:$K$1004,$F5)="","",INDEX('販売記録'!$K$5:$K$1004,$F5)))</ns0:f>
        <ns0:v>46266</ns0:v>
      </ns0:c>
      <ns0:c r="B5" s="9" t="str">
        <ns0:f>IF($F5="","",IF(INDEX('販売記録'!$B$5:$B$1004,$F5)="","",INDEX('販売記録'!$B$5:$B$1004,$F5)))</ns0:f>
        <ns0:v>商品C</ns0:v>
      </ns0:c>
      <ns0:c r="C5" s="9" t="str">
        <ns0:f>IF($F5="","",IF(INDEX('販売記録'!$C$5:$C$1004,$F5)="","",INDEX('販売記録'!$C$5:$C$1004,$F5)))</ns0:f>
        <ns0:v>メルカリ</ns0:v>
      </ns0:c>
      <ns0:c r="D5" s="8" t="n">
        <ns0:f>IF($F5="","",IF(INDEX('販売記録'!$D$5:$D$1004,$F5)="","",INDEX('販売記録'!$D$5:$D$1004,$F5)))</ns0:f>
        <ns0:v>1000</ns0:v>
      </ns0:c>
      <ns0:c r="E5" s="12" t="n">
        <ns0:f>IF(OR(A5="",B5=""),"",MAX(0,TODAY()-A5))</ns0:f>
        <ns0:v>56</ns0:v>
      </ns0:c>
      <ns0:c r="F5" s="9" t="n">
        <ns0:f>IFERROR(MATCH(ROW()-4,'販売記録'!$L$5:$L$1004,0),"")</ns0:f>
        <ns0:v>3</ns0:v>
      </ns0:c>
    </ns0:row>
    <ns0:row r="6">
      <ns0:c r="A6" s="11" t="str">
        <ns0:f>IF($F6="","",IF(INDEX('販売記録'!$K$5:$K$1004,$F6)="","",INDEX('販売記録'!$K$5:$K$1004,$F6)))</ns0:f>
        <ns0:v/>
      </ns0:c>
      <ns0:c r="B6" s="9" t="str">
        <ns0:f>IF($F6="","",IF(INDEX('販売記録'!$B$5:$B$1004,$F6)="","",INDEX('販売記録'!$B$5:$B$1004,$F6)))</ns0:f>
        <ns0:v/>
      </ns0:c>
      <ns0:c r="C6" s="9" t="str">
        <ns0:f>IF($F6="","",IF(INDEX('販売記録'!$C$5:$C$1004,$F6)="","",INDEX('販売記録'!$C$5:$C$1004,$F6)))</ns0:f>
        <ns0:v/>
      </ns0:c>
      <ns0:c r="D6" s="8" t="str">
        <ns0:f>IF($F6="","",IF(INDEX('販売記録'!$D$5:$D$1004,$F6)="","",INDEX('販売記録'!$D$5:$D$1004,$F6)))</ns0:f>
        <ns0:v/>
      </ns0:c>
      <ns0:c r="E6" s="12" t="str">
        <ns0:f>IF(OR(A6="",B6=""),"",MAX(0,TODAY()-A6))</ns0:f>
        <ns0:v/>
      </ns0:c>
      <ns0:c r="F6" s="9" t="str">
        <ns0:f>IFERROR(MATCH(ROW()-4,'販売記録'!$L$5:$L$1004,0),"")</ns0:f>
        <ns0:v/>
      </ns0:c>
    </ns0:row>
    <ns0:row r="7">
      <ns0:c r="A7" s="11" t="str">
        <ns0:f>IF($F7="","",IF(INDEX('販売記録'!$K$5:$K$1004,$F7)="","",INDEX('販売記録'!$K$5:$K$1004,$F7)))</ns0:f>
        <ns0:v/>
      </ns0:c>
      <ns0:c r="B7" s="9" t="str">
        <ns0:f>IF($F7="","",IF(INDEX('販売記録'!$B$5:$B$1004,$F7)="","",INDEX('販売記録'!$B$5:$B$1004,$F7)))</ns0:f>
        <ns0:v/>
      </ns0:c>
      <ns0:c r="C7" s="9" t="str">
        <ns0:f>IF($F7="","",IF(INDEX('販売記録'!$C$5:$C$1004,$F7)="","",INDEX('販売記録'!$C$5:$C$1004,$F7)))</ns0:f>
        <ns0:v/>
      </ns0:c>
      <ns0:c r="D7" s="8" t="str">
        <ns0:f>IF($F7="","",IF(INDEX('販売記録'!$D$5:$D$1004,$F7)="","",INDEX('販売記録'!$D$5:$D$1004,$F7)))</ns0:f>
        <ns0:v/>
      </ns0:c>
      <ns0:c r="E7" s="12" t="str">
        <ns0:f>IF(OR(A7="",B7=""),"",MAX(0,TODAY()-A7))</ns0:f>
        <ns0:v/>
      </ns0:c>
      <ns0:c r="F7" s="9" t="str">
        <ns0:f>IFERROR(MATCH(ROW()-4,'販売記録'!$L$5:$L$1004,0),"")</ns0:f>
        <ns0:v/>
      </ns0:c>
    </ns0:row>
    <ns0:row r="8">
      <ns0:c r="A8" s="11" t="str">
        <ns0:f>IF($F8="","",IF(INDEX('販売記録'!$K$5:$K$1004,$F8)="","",INDEX('販売記録'!$K$5:$K$1004,$F8)))</ns0:f>
        <ns0:v/>
      </ns0:c>
      <ns0:c r="B8" s="9" t="str">
        <ns0:f>IF($F8="","",IF(INDEX('販売記録'!$B$5:$B$1004,$F8)="","",INDEX('販売記録'!$B$5:$B$1004,$F8)))</ns0:f>
        <ns0:v/>
      </ns0:c>
      <ns0:c r="C8" s="9" t="str">
        <ns0:f>IF($F8="","",IF(INDEX('販売記録'!$C$5:$C$1004,$F8)="","",INDEX('販売記録'!$C$5:$C$1004,$F8)))</ns0:f>
        <ns0:v/>
      </ns0:c>
      <ns0:c r="D8" s="8" t="str">
        <ns0:f>IF($F8="","",IF(INDEX('販売記録'!$D$5:$D$1004,$F8)="","",INDEX('販売記録'!$D$5:$D$1004,$F8)))</ns0:f>
        <ns0:v/>
      </ns0:c>
      <ns0:c r="E8" s="12" t="str">
        <ns0:f>IF(OR(A8="",B8=""),"",MAX(0,TODAY()-A8))</ns0:f>
        <ns0:v/>
      </ns0:c>
      <ns0:c r="F8" s="9" t="str">
        <ns0:f>IFERROR(MATCH(ROW()-4,'販売記録'!$L$5:$L$1004,0),"")</ns0:f>
        <ns0:v/>
      </ns0:c>
    </ns0:row>
    <ns0:row r="9">
      <ns0:c r="A9" s="11" t="str">
        <ns0:f>IF($F9="","",IF(INDEX('販売記録'!$K$5:$K$1004,$F9)="","",INDEX('販売記録'!$K$5:$K$1004,$F9)))</ns0:f>
        <ns0:v/>
      </ns0:c>
      <ns0:c r="B9" s="9" t="str">
        <ns0:f>IF($F9="","",IF(INDEX('販売記録'!$B$5:$B$1004,$F9)="","",INDEX('販売記録'!$B$5:$B$1004,$F9)))</ns0:f>
        <ns0:v/>
      </ns0:c>
      <ns0:c r="C9" s="9" t="str">
        <ns0:f>IF($F9="","",IF(INDEX('販売記録'!$C$5:$C$1004,$F9)="","",INDEX('販売記録'!$C$5:$C$1004,$F9)))</ns0:f>
        <ns0:v/>
      </ns0:c>
      <ns0:c r="D9" s="8" t="str">
        <ns0:f>IF($F9="","",IF(INDEX('販売記録'!$D$5:$D$1004,$F9)="","",INDEX('販売記録'!$D$5:$D$1004,$F9)))</ns0:f>
        <ns0:v/>
      </ns0:c>
      <ns0:c r="E9" s="12" t="str">
        <ns0:f>IF(OR(A9="",B9=""),"",MAX(0,TODAY()-A9))</ns0:f>
        <ns0:v/>
      </ns0:c>
      <ns0:c r="F9" s="9" t="str">
        <ns0:f>IFERROR(MATCH(ROW()-4,'販売記録'!$L$5:$L$1004,0),"")</ns0:f>
        <ns0:v/>
      </ns0:c>
    </ns0:row>
    <ns0:row r="10">
      <ns0:c r="A10" s="11" t="str">
        <ns0:f>IF($F10="","",IF(INDEX('販売記録'!$K$5:$K$1004,$F10)="","",INDEX('販売記録'!$K$5:$K$1004,$F10)))</ns0:f>
        <ns0:v/>
      </ns0:c>
      <ns0:c r="B10" s="9" t="str">
        <ns0:f>IF($F10="","",IF(INDEX('販売記録'!$B$5:$B$1004,$F10)="","",INDEX('販売記録'!$B$5:$B$1004,$F10)))</ns0:f>
        <ns0:v/>
      </ns0:c>
      <ns0:c r="C10" s="9" t="str">
        <ns0:f>IF($F10="","",IF(INDEX('販売記録'!$C$5:$C$1004,$F10)="","",INDEX('販売記録'!$C$5:$C$1004,$F10)))</ns0:f>
        <ns0:v/>
      </ns0:c>
      <ns0:c r="D10" s="8" t="str">
        <ns0:f>IF($F10="","",IF(INDEX('販売記録'!$D$5:$D$1004,$F10)="","",INDEX('販売記録'!$D$5:$D$1004,$F10)))</ns0:f>
        <ns0:v/>
      </ns0:c>
      <ns0:c r="E10" s="12" t="str">
        <ns0:f>IF(OR(A10="",B10=""),"",MAX(0,TODAY()-A10))</ns0:f>
        <ns0:v/>
      </ns0:c>
      <ns0:c r="F10" s="9" t="str">
        <ns0:f>IFERROR(MATCH(ROW()-4,'販売記録'!$L$5:$L$1004,0),"")</ns0:f>
        <ns0:v/>
      </ns0:c>
    </ns0:row>
    <ns0:row r="11">
      <ns0:c r="A11" s="11" t="str">
        <ns0:f>IF($F11="","",IF(INDEX('販売記録'!$K$5:$K$1004,$F11)="","",INDEX('販売記録'!$K$5:$K$1004,$F11)))</ns0:f>
        <ns0:v/>
      </ns0:c>
      <ns0:c r="B11" s="9" t="str">
        <ns0:f>IF($F11="","",IF(INDEX('販売記録'!$B$5:$B$1004,$F11)="","",INDEX('販売記録'!$B$5:$B$1004,$F11)))</ns0:f>
        <ns0:v/>
      </ns0:c>
      <ns0:c r="C11" s="9" t="str">
        <ns0:f>IF($F11="","",IF(INDEX('販売記録'!$C$5:$C$1004,$F11)="","",INDEX('販売記録'!$C$5:$C$1004,$F11)))</ns0:f>
        <ns0:v/>
      </ns0:c>
      <ns0:c r="D11" s="8" t="str">
        <ns0:f>IF($F11="","",IF(INDEX('販売記録'!$D$5:$D$1004,$F11)="","",INDEX('販売記録'!$D$5:$D$1004,$F11)))</ns0:f>
        <ns0:v/>
      </ns0:c>
      <ns0:c r="E11" s="12" t="str">
        <ns0:f>IF(OR(A11="",B11=""),"",MAX(0,TODAY()-A11))</ns0:f>
        <ns0:v/>
      </ns0:c>
      <ns0:c r="F11" s="9" t="str">
        <ns0:f>IFERROR(MATCH(ROW()-4,'販売記録'!$L$5:$L$1004,0),"")</ns0:f>
        <ns0:v/>
      </ns0:c>
    </ns0:row>
    <ns0:row r="12">
      <ns0:c r="A12" s="11" t="str">
        <ns0:f>IF($F12="","",IF(INDEX('販売記録'!$K$5:$K$1004,$F12)="","",INDEX('販売記録'!$K$5:$K$1004,$F12)))</ns0:f>
        <ns0:v/>
      </ns0:c>
      <ns0:c r="B12" s="9" t="str">
        <ns0:f>IF($F12="","",IF(INDEX('販売記録'!$B$5:$B$1004,$F12)="","",INDEX('販売記録'!$B$5:$B$1004,$F12)))</ns0:f>
        <ns0:v/>
      </ns0:c>
      <ns0:c r="C12" s="9" t="str">
        <ns0:f>IF($F12="","",IF(INDEX('販売記録'!$C$5:$C$1004,$F12)="","",INDEX('販売記録'!$C$5:$C$1004,$F12)))</ns0:f>
        <ns0:v/>
      </ns0:c>
      <ns0:c r="D12" s="8" t="str">
        <ns0:f>IF($F12="","",IF(INDEX('販売記録'!$D$5:$D$1004,$F12)="","",INDEX('販売記録'!$D$5:$D$1004,$F12)))</ns0:f>
        <ns0:v/>
      </ns0:c>
      <ns0:c r="E12" s="12" t="str">
        <ns0:f>IF(OR(A12="",B12=""),"",MAX(0,TODAY()-A12))</ns0:f>
        <ns0:v/>
      </ns0:c>
      <ns0:c r="F12" s="9" t="str">
        <ns0:f>IFERROR(MATCH(ROW()-4,'販売記録'!$L$5:$L$1004,0),"")</ns0:f>
        <ns0:v/>
      </ns0:c>
    </ns0:row>
    <ns0:row r="13">
      <ns0:c r="A13" s="11" t="str">
        <ns0:f>IF($F13="","",IF(INDEX('販売記録'!$K$5:$K$1004,$F13)="","",INDEX('販売記録'!$K$5:$K$1004,$F13)))</ns0:f>
        <ns0:v/>
      </ns0:c>
      <ns0:c r="B13" s="9" t="str">
        <ns0:f>IF($F13="","",IF(INDEX('販売記録'!$B$5:$B$1004,$F13)="","",INDEX('販売記録'!$B$5:$B$1004,$F13)))</ns0:f>
        <ns0:v/>
      </ns0:c>
      <ns0:c r="C13" s="9" t="str">
        <ns0:f>IF($F13="","",IF(INDEX('販売記録'!$C$5:$C$1004,$F13)="","",INDEX('販売記録'!$C$5:$C$1004,$F13)))</ns0:f>
        <ns0:v/>
      </ns0:c>
      <ns0:c r="D13" s="8" t="str">
        <ns0:f>IF($F13="","",IF(INDEX('販売記録'!$D$5:$D$1004,$F13)="","",INDEX('販売記録'!$D$5:$D$1004,$F13)))</ns0:f>
        <ns0:v/>
      </ns0:c>
      <ns0:c r="E13" s="12" t="str">
        <ns0:f>IF(OR(A13="",B13=""),"",MAX(0,TODAY()-A13))</ns0:f>
        <ns0:v/>
      </ns0:c>
      <ns0:c r="F13" s="9" t="str">
        <ns0:f>IFERROR(MATCH(ROW()-4,'販売記録'!$L$5:$L$1004,0),"")</ns0:f>
        <ns0:v/>
      </ns0:c>
    </ns0:row>
    <ns0:row r="14">
      <ns0:c r="A14" s="11" t="str">
        <ns0:f>IF($F14="","",IF(INDEX('販売記録'!$K$5:$K$1004,$F14)="","",INDEX('販売記録'!$K$5:$K$1004,$F14)))</ns0:f>
        <ns0:v/>
      </ns0:c>
      <ns0:c r="B14" s="9" t="str">
        <ns0:f>IF($F14="","",IF(INDEX('販売記録'!$B$5:$B$1004,$F14)="","",INDEX('販売記録'!$B$5:$B$1004,$F14)))</ns0:f>
        <ns0:v/>
      </ns0:c>
      <ns0:c r="C14" s="9" t="str">
        <ns0:f>IF($F14="","",IF(INDEX('販売記録'!$C$5:$C$1004,$F14)="","",INDEX('販売記録'!$C$5:$C$1004,$F14)))</ns0:f>
        <ns0:v/>
      </ns0:c>
      <ns0:c r="D14" s="8" t="str">
        <ns0:f>IF($F14="","",IF(INDEX('販売記録'!$D$5:$D$1004,$F14)="","",INDEX('販売記録'!$D$5:$D$1004,$F14)))</ns0:f>
        <ns0:v/>
      </ns0:c>
      <ns0:c r="E14" s="12" t="str">
        <ns0:f>IF(OR(A14="",B14=""),"",MAX(0,TODAY()-A14))</ns0:f>
        <ns0:v/>
      </ns0:c>
      <ns0:c r="F14" s="9" t="str">
        <ns0:f>IFERROR(MATCH(ROW()-4,'販売記録'!$L$5:$L$1004,0),"")</ns0:f>
        <ns0:v/>
      </ns0:c>
    </ns0:row>
    <ns0:row r="15">
      <ns0:c r="A15" s="11" t="str">
        <ns0:f>IF($F15="","",IF(INDEX('販売記録'!$K$5:$K$1004,$F15)="","",INDEX('販売記録'!$K$5:$K$1004,$F15)))</ns0:f>
        <ns0:v/>
      </ns0:c>
      <ns0:c r="B15" s="9" t="str">
        <ns0:f>IF($F15="","",IF(INDEX('販売記録'!$B$5:$B$1004,$F15)="","",INDEX('販売記録'!$B$5:$B$1004,$F15)))</ns0:f>
        <ns0:v/>
      </ns0:c>
      <ns0:c r="C15" s="9" t="str">
        <ns0:f>IF($F15="","",IF(INDEX('販売記録'!$C$5:$C$1004,$F15)="","",INDEX('販売記録'!$C$5:$C$1004,$F15)))</ns0:f>
        <ns0:v/>
      </ns0:c>
      <ns0:c r="D15" s="8" t="str">
        <ns0:f>IF($F15="","",IF(INDEX('販売記録'!$D$5:$D$1004,$F15)="","",INDEX('販売記録'!$D$5:$D$1004,$F15)))</ns0:f>
        <ns0:v/>
      </ns0:c>
      <ns0:c r="E15" s="12" t="str">
        <ns0:f>IF(OR(A15="",B15=""),"",MAX(0,TODAY()-A15))</ns0:f>
        <ns0:v/>
      </ns0:c>
      <ns0:c r="F15" s="9" t="str">
        <ns0:f>IFERROR(MATCH(ROW()-4,'販売記録'!$L$5:$L$1004,0),"")</ns0:f>
        <ns0:v/>
      </ns0:c>
    </ns0:row>
    <ns0:row r="16">
      <ns0:c r="A16" s="11" t="str">
        <ns0:f>IF($F16="","",IF(INDEX('販売記録'!$K$5:$K$1004,$F16)="","",INDEX('販売記録'!$K$5:$K$1004,$F16)))</ns0:f>
        <ns0:v/>
      </ns0:c>
      <ns0:c r="B16" s="9" t="str">
        <ns0:f>IF($F16="","",IF(INDEX('販売記録'!$B$5:$B$1004,$F16)="","",INDEX('販売記録'!$B$5:$B$1004,$F16)))</ns0:f>
        <ns0:v/>
      </ns0:c>
      <ns0:c r="C16" s="9" t="str">
        <ns0:f>IF($F16="","",IF(INDEX('販売記録'!$C$5:$C$1004,$F16)="","",INDEX('販売記録'!$C$5:$C$1004,$F16)))</ns0:f>
        <ns0:v/>
      </ns0:c>
      <ns0:c r="D16" s="8" t="str">
        <ns0:f>IF($F16="","",IF(INDEX('販売記録'!$D$5:$D$1004,$F16)="","",INDEX('販売記録'!$D$5:$D$1004,$F16)))</ns0:f>
        <ns0:v/>
      </ns0:c>
      <ns0:c r="E16" s="12" t="str">
        <ns0:f>IF(OR(A16="",B16=""),"",MAX(0,TODAY()-A16))</ns0:f>
        <ns0:v/>
      </ns0:c>
      <ns0:c r="F16" s="9" t="str">
        <ns0:f>IFERROR(MATCH(ROW()-4,'販売記録'!$L$5:$L$1004,0),"")</ns0:f>
        <ns0:v/>
      </ns0:c>
    </ns0:row>
    <ns0:row r="17">
      <ns0:c r="A17" s="11" t="str">
        <ns0:f>IF($F17="","",IF(INDEX('販売記録'!$K$5:$K$1004,$F17)="","",INDEX('販売記録'!$K$5:$K$1004,$F17)))</ns0:f>
        <ns0:v/>
      </ns0:c>
      <ns0:c r="B17" s="9" t="str">
        <ns0:f>IF($F17="","",IF(INDEX('販売記録'!$B$5:$B$1004,$F17)="","",INDEX('販売記録'!$B$5:$B$1004,$F17)))</ns0:f>
        <ns0:v/>
      </ns0:c>
      <ns0:c r="C17" s="9" t="str">
        <ns0:f>IF($F17="","",IF(INDEX('販売記録'!$C$5:$C$1004,$F17)="","",INDEX('販売記録'!$C$5:$C$1004,$F17)))</ns0:f>
        <ns0:v/>
      </ns0:c>
      <ns0:c r="D17" s="8" t="str">
        <ns0:f>IF($F17="","",IF(INDEX('販売記録'!$D$5:$D$1004,$F17)="","",INDEX('販売記録'!$D$5:$D$1004,$F17)))</ns0:f>
        <ns0:v/>
      </ns0:c>
      <ns0:c r="E17" s="12" t="str">
        <ns0:f>IF(OR(A17="",B17=""),"",MAX(0,TODAY()-A17))</ns0:f>
        <ns0:v/>
      </ns0:c>
      <ns0:c r="F17" s="9" t="str">
        <ns0:f>IFERROR(MATCH(ROW()-4,'販売記録'!$L$5:$L$1004,0),"")</ns0:f>
        <ns0:v/>
      </ns0:c>
    </ns0:row>
    <ns0:row r="18">
      <ns0:c r="A18" s="11" t="str">
        <ns0:f>IF($F18="","",IF(INDEX('販売記録'!$K$5:$K$1004,$F18)="","",INDEX('販売記録'!$K$5:$K$1004,$F18)))</ns0:f>
        <ns0:v/>
      </ns0:c>
      <ns0:c r="B18" s="9" t="str">
        <ns0:f>IF($F18="","",IF(INDEX('販売記録'!$B$5:$B$1004,$F18)="","",INDEX('販売記録'!$B$5:$B$1004,$F18)))</ns0:f>
        <ns0:v/>
      </ns0:c>
      <ns0:c r="C18" s="9" t="str">
        <ns0:f>IF($F18="","",IF(INDEX('販売記録'!$C$5:$C$1004,$F18)="","",INDEX('販売記録'!$C$5:$C$1004,$F18)))</ns0:f>
        <ns0:v/>
      </ns0:c>
      <ns0:c r="D18" s="8" t="str">
        <ns0:f>IF($F18="","",IF(INDEX('販売記録'!$D$5:$D$1004,$F18)="","",INDEX('販売記録'!$D$5:$D$1004,$F18)))</ns0:f>
        <ns0:v/>
      </ns0:c>
      <ns0:c r="E18" s="12" t="str">
        <ns0:f>IF(OR(A18="",B18=""),"",MAX(0,TODAY()-A18))</ns0:f>
        <ns0:v/>
      </ns0:c>
      <ns0:c r="F18" s="9" t="str">
        <ns0:f>IFERROR(MATCH(ROW()-4,'販売記録'!$L$5:$L$1004,0),"")</ns0:f>
        <ns0:v/>
      </ns0:c>
    </ns0:row>
    <ns0:row r="19">
      <ns0:c r="A19" s="11" t="str">
        <ns0:f>IF($F19="","",IF(INDEX('販売記録'!$K$5:$K$1004,$F19)="","",INDEX('販売記録'!$K$5:$K$1004,$F19)))</ns0:f>
        <ns0:v/>
      </ns0:c>
      <ns0:c r="B19" s="9" t="str">
        <ns0:f>IF($F19="","",IF(INDEX('販売記録'!$B$5:$B$1004,$F19)="","",INDEX('販売記録'!$B$5:$B$1004,$F19)))</ns0:f>
        <ns0:v/>
      </ns0:c>
      <ns0:c r="C19" s="9" t="str">
        <ns0:f>IF($F19="","",IF(INDEX('販売記録'!$C$5:$C$1004,$F19)="","",INDEX('販売記録'!$C$5:$C$1004,$F19)))</ns0:f>
        <ns0:v/>
      </ns0:c>
      <ns0:c r="D19" s="8" t="str">
        <ns0:f>IF($F19="","",IF(INDEX('販売記録'!$D$5:$D$1004,$F19)="","",INDEX('販売記録'!$D$5:$D$1004,$F19)))</ns0:f>
        <ns0:v/>
      </ns0:c>
      <ns0:c r="E19" s="12" t="str">
        <ns0:f>IF(OR(A19="",B19=""),"",MAX(0,TODAY()-A19))</ns0:f>
        <ns0:v/>
      </ns0:c>
      <ns0:c r="F19" s="9" t="str">
        <ns0:f>IFERROR(MATCH(ROW()-4,'販売記録'!$L$5:$L$1004,0),"")</ns0:f>
        <ns0:v/>
      </ns0:c>
    </ns0:row>
    <ns0:row r="20">
      <ns0:c r="A20" s="11" t="str">
        <ns0:f>IF($F20="","",IF(INDEX('販売記録'!$K$5:$K$1004,$F20)="","",INDEX('販売記録'!$K$5:$K$1004,$F20)))</ns0:f>
        <ns0:v/>
      </ns0:c>
      <ns0:c r="B20" s="9" t="str">
        <ns0:f>IF($F20="","",IF(INDEX('販売記録'!$B$5:$B$1004,$F20)="","",INDEX('販売記録'!$B$5:$B$1004,$F20)))</ns0:f>
        <ns0:v/>
      </ns0:c>
      <ns0:c r="C20" s="9" t="str">
        <ns0:f>IF($F20="","",IF(INDEX('販売記録'!$C$5:$C$1004,$F20)="","",INDEX('販売記録'!$C$5:$C$1004,$F20)))</ns0:f>
        <ns0:v/>
      </ns0:c>
      <ns0:c r="D20" s="8" t="str">
        <ns0:f>IF($F20="","",IF(INDEX('販売記録'!$D$5:$D$1004,$F20)="","",INDEX('販売記録'!$D$5:$D$1004,$F20)))</ns0:f>
        <ns0:v/>
      </ns0:c>
      <ns0:c r="E20" s="12" t="str">
        <ns0:f>IF(OR(A20="",B20=""),"",MAX(0,TODAY()-A20))</ns0:f>
        <ns0:v/>
      </ns0:c>
      <ns0:c r="F20" s="9" t="str">
        <ns0:f>IFERROR(MATCH(ROW()-4,'販売記録'!$L$5:$L$1004,0),"")</ns0:f>
        <ns0:v/>
      </ns0:c>
    </ns0:row>
    <ns0:row r="21">
      <ns0:c r="A21" s="11" t="str">
        <ns0:f>IF($F21="","",IF(INDEX('販売記録'!$K$5:$K$1004,$F21)="","",INDEX('販売記録'!$K$5:$K$1004,$F21)))</ns0:f>
        <ns0:v/>
      </ns0:c>
      <ns0:c r="B21" s="9" t="str">
        <ns0:f>IF($F21="","",IF(INDEX('販売記録'!$B$5:$B$1004,$F21)="","",INDEX('販売記録'!$B$5:$B$1004,$F21)))</ns0:f>
        <ns0:v/>
      </ns0:c>
      <ns0:c r="C21" s="9" t="str">
        <ns0:f>IF($F21="","",IF(INDEX('販売記録'!$C$5:$C$1004,$F21)="","",INDEX('販売記録'!$C$5:$C$1004,$F21)))</ns0:f>
        <ns0:v/>
      </ns0:c>
      <ns0:c r="D21" s="8" t="str">
        <ns0:f>IF($F21="","",IF(INDEX('販売記録'!$D$5:$D$1004,$F21)="","",INDEX('販売記録'!$D$5:$D$1004,$F21)))</ns0:f>
        <ns0:v/>
      </ns0:c>
      <ns0:c r="E21" s="12" t="str">
        <ns0:f>IF(OR(A21="",B21=""),"",MAX(0,TODAY()-A21))</ns0:f>
        <ns0:v/>
      </ns0:c>
      <ns0:c r="F21" s="9" t="str">
        <ns0:f>IFERROR(MATCH(ROW()-4,'販売記録'!$L$5:$L$1004,0),"")</ns0:f>
        <ns0:v/>
      </ns0:c>
    </ns0:row>
    <ns0:row r="22">
      <ns0:c r="A22" s="11" t="str">
        <ns0:f>IF($F22="","",IF(INDEX('販売記録'!$K$5:$K$1004,$F22)="","",INDEX('販売記録'!$K$5:$K$1004,$F22)))</ns0:f>
        <ns0:v/>
      </ns0:c>
      <ns0:c r="B22" s="9" t="str">
        <ns0:f>IF($F22="","",IF(INDEX('販売記録'!$B$5:$B$1004,$F22)="","",INDEX('販売記録'!$B$5:$B$1004,$F22)))</ns0:f>
        <ns0:v/>
      </ns0:c>
      <ns0:c r="C22" s="9" t="str">
        <ns0:f>IF($F22="","",IF(INDEX('販売記録'!$C$5:$C$1004,$F22)="","",INDEX('販売記録'!$C$5:$C$1004,$F22)))</ns0:f>
        <ns0:v/>
      </ns0:c>
      <ns0:c r="D22" s="8" t="str">
        <ns0:f>IF($F22="","",IF(INDEX('販売記録'!$D$5:$D$1004,$F22)="","",INDEX('販売記録'!$D$5:$D$1004,$F22)))</ns0:f>
        <ns0:v/>
      </ns0:c>
      <ns0:c r="E22" s="12" t="str">
        <ns0:f>IF(OR(A22="",B22=""),"",MAX(0,TODAY()-A22))</ns0:f>
        <ns0:v/>
      </ns0:c>
      <ns0:c r="F22" s="9" t="str">
        <ns0:f>IFERROR(MATCH(ROW()-4,'販売記録'!$L$5:$L$1004,0),"")</ns0:f>
        <ns0:v/>
      </ns0:c>
    </ns0:row>
    <ns0:row r="23">
      <ns0:c r="A23" s="11" t="str">
        <ns0:f>IF($F23="","",IF(INDEX('販売記録'!$K$5:$K$1004,$F23)="","",INDEX('販売記録'!$K$5:$K$1004,$F23)))</ns0:f>
        <ns0:v/>
      </ns0:c>
      <ns0:c r="B23" s="9" t="str">
        <ns0:f>IF($F23="","",IF(INDEX('販売記録'!$B$5:$B$1004,$F23)="","",INDEX('販売記録'!$B$5:$B$1004,$F23)))</ns0:f>
        <ns0:v/>
      </ns0:c>
      <ns0:c r="C23" s="9" t="str">
        <ns0:f>IF($F23="","",IF(INDEX('販売記録'!$C$5:$C$1004,$F23)="","",INDEX('販売記録'!$C$5:$C$1004,$F23)))</ns0:f>
        <ns0:v/>
      </ns0:c>
      <ns0:c r="D23" s="8" t="str">
        <ns0:f>IF($F23="","",IF(INDEX('販売記録'!$D$5:$D$1004,$F23)="","",INDEX('販売記録'!$D$5:$D$1004,$F23)))</ns0:f>
        <ns0:v/>
      </ns0:c>
      <ns0:c r="E23" s="12" t="str">
        <ns0:f>IF(OR(A23="",B23=""),"",MAX(0,TODAY()-A23))</ns0:f>
        <ns0:v/>
      </ns0:c>
      <ns0:c r="F23" s="9" t="str">
        <ns0:f>IFERROR(MATCH(ROW()-4,'販売記録'!$L$5:$L$1004,0),"")</ns0:f>
        <ns0:v/>
      </ns0:c>
    </ns0:row>
    <ns0:row r="24">
      <ns0:c r="A24" s="11" t="str">
        <ns0:f>IF($F24="","",IF(INDEX('販売記録'!$K$5:$K$1004,$F24)="","",INDEX('販売記録'!$K$5:$K$1004,$F24)))</ns0:f>
        <ns0:v/>
      </ns0:c>
      <ns0:c r="B24" s="9" t="str">
        <ns0:f>IF($F24="","",IF(INDEX('販売記録'!$B$5:$B$1004,$F24)="","",INDEX('販売記録'!$B$5:$B$1004,$F24)))</ns0:f>
        <ns0:v/>
      </ns0:c>
      <ns0:c r="C24" s="9" t="str">
        <ns0:f>IF($F24="","",IF(INDEX('販売記録'!$C$5:$C$1004,$F24)="","",INDEX('販売記録'!$C$5:$C$1004,$F24)))</ns0:f>
        <ns0:v/>
      </ns0:c>
      <ns0:c r="D24" s="8" t="str">
        <ns0:f>IF($F24="","",IF(INDEX('販売記録'!$D$5:$D$1004,$F24)="","",INDEX('販売記録'!$D$5:$D$1004,$F24)))</ns0:f>
        <ns0:v/>
      </ns0:c>
      <ns0:c r="E24" s="12" t="str">
        <ns0:f>IF(OR(A24="",B24=""),"",MAX(0,TODAY()-A24))</ns0:f>
        <ns0:v/>
      </ns0:c>
      <ns0:c r="F24" s="9" t="str">
        <ns0:f>IFERROR(MATCH(ROW()-4,'販売記録'!$L$5:$L$1004,0),"")</ns0:f>
        <ns0:v/>
      </ns0:c>
    </ns0:row>
    <ns0:row r="25">
      <ns0:c r="A25" s="11" t="str">
        <ns0:f>IF($F25="","",IF(INDEX('販売記録'!$K$5:$K$1004,$F25)="","",INDEX('販売記録'!$K$5:$K$1004,$F25)))</ns0:f>
        <ns0:v/>
      </ns0:c>
      <ns0:c r="B25" s="9" t="str">
        <ns0:f>IF($F25="","",IF(INDEX('販売記録'!$B$5:$B$1004,$F25)="","",INDEX('販売記録'!$B$5:$B$1004,$F25)))</ns0:f>
        <ns0:v/>
      </ns0:c>
      <ns0:c r="C25" s="9" t="str">
        <ns0:f>IF($F25="","",IF(INDEX('販売記録'!$C$5:$C$1004,$F25)="","",INDEX('販売記録'!$C$5:$C$1004,$F25)))</ns0:f>
        <ns0:v/>
      </ns0:c>
      <ns0:c r="D25" s="8" t="str">
        <ns0:f>IF($F25="","",IF(INDEX('販売記録'!$D$5:$D$1004,$F25)="","",INDEX('販売記録'!$D$5:$D$1004,$F25)))</ns0:f>
        <ns0:v/>
      </ns0:c>
      <ns0:c r="E25" s="12" t="str">
        <ns0:f>IF(OR(A25="",B25=""),"",MAX(0,TODAY()-A25))</ns0:f>
        <ns0:v/>
      </ns0:c>
      <ns0:c r="F25" s="9" t="str">
        <ns0:f>IFERROR(MATCH(ROW()-4,'販売記録'!$L$5:$L$1004,0),"")</ns0:f>
        <ns0:v/>
      </ns0:c>
    </ns0:row>
    <ns0:row r="26">
      <ns0:c r="A26" s="11" t="str">
        <ns0:f>IF($F26="","",IF(INDEX('販売記録'!$K$5:$K$1004,$F26)="","",INDEX('販売記録'!$K$5:$K$1004,$F26)))</ns0:f>
        <ns0:v/>
      </ns0:c>
      <ns0:c r="B26" s="9" t="str">
        <ns0:f>IF($F26="","",IF(INDEX('販売記録'!$B$5:$B$1004,$F26)="","",INDEX('販売記録'!$B$5:$B$1004,$F26)))</ns0:f>
        <ns0:v/>
      </ns0:c>
      <ns0:c r="C26" s="9" t="str">
        <ns0:f>IF($F26="","",IF(INDEX('販売記録'!$C$5:$C$1004,$F26)="","",INDEX('販売記録'!$C$5:$C$1004,$F26)))</ns0:f>
        <ns0:v/>
      </ns0:c>
      <ns0:c r="D26" s="8" t="str">
        <ns0:f>IF($F26="","",IF(INDEX('販売記録'!$D$5:$D$1004,$F26)="","",INDEX('販売記録'!$D$5:$D$1004,$F26)))</ns0:f>
        <ns0:v/>
      </ns0:c>
      <ns0:c r="E26" s="12" t="str">
        <ns0:f>IF(OR(A26="",B26=""),"",MAX(0,TODAY()-A26))</ns0:f>
        <ns0:v/>
      </ns0:c>
      <ns0:c r="F26" s="9" t="str">
        <ns0:f>IFERROR(MATCH(ROW()-4,'販売記録'!$L$5:$L$1004,0),"")</ns0:f>
        <ns0:v/>
      </ns0:c>
    </ns0:row>
    <ns0:row r="27">
      <ns0:c r="A27" s="11" t="str">
        <ns0:f>IF($F27="","",IF(INDEX('販売記録'!$K$5:$K$1004,$F27)="","",INDEX('販売記録'!$K$5:$K$1004,$F27)))</ns0:f>
        <ns0:v/>
      </ns0:c>
      <ns0:c r="B27" s="9" t="str">
        <ns0:f>IF($F27="","",IF(INDEX('販売記録'!$B$5:$B$1004,$F27)="","",INDEX('販売記録'!$B$5:$B$1004,$F27)))</ns0:f>
        <ns0:v/>
      </ns0:c>
      <ns0:c r="C27" s="9" t="str">
        <ns0:f>IF($F27="","",IF(INDEX('販売記録'!$C$5:$C$1004,$F27)="","",INDEX('販売記録'!$C$5:$C$1004,$F27)))</ns0:f>
        <ns0:v/>
      </ns0:c>
      <ns0:c r="D27" s="8" t="str">
        <ns0:f>IF($F27="","",IF(INDEX('販売記録'!$D$5:$D$1004,$F27)="","",INDEX('販売記録'!$D$5:$D$1004,$F27)))</ns0:f>
        <ns0:v/>
      </ns0:c>
      <ns0:c r="E27" s="12" t="str">
        <ns0:f>IF(OR(A27="",B27=""),"",MAX(0,TODAY()-A27))</ns0:f>
        <ns0:v/>
      </ns0:c>
      <ns0:c r="F27" s="9" t="str">
        <ns0:f>IFERROR(MATCH(ROW()-4,'販売記録'!$L$5:$L$1004,0),"")</ns0:f>
        <ns0:v/>
      </ns0:c>
    </ns0:row>
    <ns0:row r="28">
      <ns0:c r="A28" s="11" t="str">
        <ns0:f>IF($F28="","",IF(INDEX('販売記録'!$K$5:$K$1004,$F28)="","",INDEX('販売記録'!$K$5:$K$1004,$F28)))</ns0:f>
        <ns0:v/>
      </ns0:c>
      <ns0:c r="B28" s="9" t="str">
        <ns0:f>IF($F28="","",IF(INDEX('販売記録'!$B$5:$B$1004,$F28)="","",INDEX('販売記録'!$B$5:$B$1004,$F28)))</ns0:f>
        <ns0:v/>
      </ns0:c>
      <ns0:c r="C28" s="9" t="str">
        <ns0:f>IF($F28="","",IF(INDEX('販売記録'!$C$5:$C$1004,$F28)="","",INDEX('販売記録'!$C$5:$C$1004,$F28)))</ns0:f>
        <ns0:v/>
      </ns0:c>
      <ns0:c r="D28" s="8" t="str">
        <ns0:f>IF($F28="","",IF(INDEX('販売記録'!$D$5:$D$1004,$F28)="","",INDEX('販売記録'!$D$5:$D$1004,$F28)))</ns0:f>
        <ns0:v/>
      </ns0:c>
      <ns0:c r="E28" s="12" t="str">
        <ns0:f>IF(OR(A28="",B28=""),"",MAX(0,TODAY()-A28))</ns0:f>
        <ns0:v/>
      </ns0:c>
      <ns0:c r="F28" s="9" t="str">
        <ns0:f>IFERROR(MATCH(ROW()-4,'販売記録'!$L$5:$L$1004,0),"")</ns0:f>
        <ns0:v/>
      </ns0:c>
    </ns0:row>
    <ns0:row r="29">
      <ns0:c r="A29" s="11" t="str">
        <ns0:f>IF($F29="","",IF(INDEX('販売記録'!$K$5:$K$1004,$F29)="","",INDEX('販売記録'!$K$5:$K$1004,$F29)))</ns0:f>
        <ns0:v/>
      </ns0:c>
      <ns0:c r="B29" s="9" t="str">
        <ns0:f>IF($F29="","",IF(INDEX('販売記録'!$B$5:$B$1004,$F29)="","",INDEX('販売記録'!$B$5:$B$1004,$F29)))</ns0:f>
        <ns0:v/>
      </ns0:c>
      <ns0:c r="C29" s="9" t="str">
        <ns0:f>IF($F29="","",IF(INDEX('販売記録'!$C$5:$C$1004,$F29)="","",INDEX('販売記録'!$C$5:$C$1004,$F29)))</ns0:f>
        <ns0:v/>
      </ns0:c>
      <ns0:c r="D29" s="8" t="str">
        <ns0:f>IF($F29="","",IF(INDEX('販売記録'!$D$5:$D$1004,$F29)="","",INDEX('販売記録'!$D$5:$D$1004,$F29)))</ns0:f>
        <ns0:v/>
      </ns0:c>
      <ns0:c r="E29" s="12" t="str">
        <ns0:f>IF(OR(A29="",B29=""),"",MAX(0,TODAY()-A29))</ns0:f>
        <ns0:v/>
      </ns0:c>
      <ns0:c r="F29" s="9" t="str">
        <ns0:f>IFERROR(MATCH(ROW()-4,'販売記録'!$L$5:$L$1004,0),"")</ns0:f>
        <ns0:v/>
      </ns0:c>
    </ns0:row>
    <ns0:row r="30">
      <ns0:c r="A30" s="11" t="str">
        <ns0:f>IF($F30="","",IF(INDEX('販売記録'!$K$5:$K$1004,$F30)="","",INDEX('販売記録'!$K$5:$K$1004,$F30)))</ns0:f>
        <ns0:v/>
      </ns0:c>
      <ns0:c r="B30" s="9" t="str">
        <ns0:f>IF($F30="","",IF(INDEX('販売記録'!$B$5:$B$1004,$F30)="","",INDEX('販売記録'!$B$5:$B$1004,$F30)))</ns0:f>
        <ns0:v/>
      </ns0:c>
      <ns0:c r="C30" s="9" t="str">
        <ns0:f>IF($F30="","",IF(INDEX('販売記録'!$C$5:$C$1004,$F30)="","",INDEX('販売記録'!$C$5:$C$1004,$F30)))</ns0:f>
        <ns0:v/>
      </ns0:c>
      <ns0:c r="D30" s="8" t="str">
        <ns0:f>IF($F30="","",IF(INDEX('販売記録'!$D$5:$D$1004,$F30)="","",INDEX('販売記録'!$D$5:$D$1004,$F30)))</ns0:f>
        <ns0:v/>
      </ns0:c>
      <ns0:c r="E30" s="12" t="str">
        <ns0:f>IF(OR(A30="",B30=""),"",MAX(0,TODAY()-A30))</ns0:f>
        <ns0:v/>
      </ns0:c>
      <ns0:c r="F30" s="9" t="str">
        <ns0:f>IFERROR(MATCH(ROW()-4,'販売記録'!$L$5:$L$1004,0),"")</ns0:f>
        <ns0:v/>
      </ns0:c>
    </ns0:row>
    <ns0:row r="31">
      <ns0:c r="A31" s="11" t="str">
        <ns0:f>IF($F31="","",IF(INDEX('販売記録'!$K$5:$K$1004,$F31)="","",INDEX('販売記録'!$K$5:$K$1004,$F31)))</ns0:f>
        <ns0:v/>
      </ns0:c>
      <ns0:c r="B31" s="9" t="str">
        <ns0:f>IF($F31="","",IF(INDEX('販売記録'!$B$5:$B$1004,$F31)="","",INDEX('販売記録'!$B$5:$B$1004,$F31)))</ns0:f>
        <ns0:v/>
      </ns0:c>
      <ns0:c r="C31" s="9" t="str">
        <ns0:f>IF($F31="","",IF(INDEX('販売記録'!$C$5:$C$1004,$F31)="","",INDEX('販売記録'!$C$5:$C$1004,$F31)))</ns0:f>
        <ns0:v/>
      </ns0:c>
      <ns0:c r="D31" s="8" t="str">
        <ns0:f>IF($F31="","",IF(INDEX('販売記録'!$D$5:$D$1004,$F31)="","",INDEX('販売記録'!$D$5:$D$1004,$F31)))</ns0:f>
        <ns0:v/>
      </ns0:c>
      <ns0:c r="E31" s="12" t="str">
        <ns0:f>IF(OR(A31="",B31=""),"",MAX(0,TODAY()-A31))</ns0:f>
        <ns0:v/>
      </ns0:c>
      <ns0:c r="F31" s="9" t="str">
        <ns0:f>IFERROR(MATCH(ROW()-4,'販売記録'!$L$5:$L$1004,0),"")</ns0:f>
        <ns0:v/>
      </ns0:c>
    </ns0:row>
    <ns0:row r="32">
      <ns0:c r="A32" s="11" t="str">
        <ns0:f>IF($F32="","",IF(INDEX('販売記録'!$K$5:$K$1004,$F32)="","",INDEX('販売記録'!$K$5:$K$1004,$F32)))</ns0:f>
        <ns0:v/>
      </ns0:c>
      <ns0:c r="B32" s="9" t="str">
        <ns0:f>IF($F32="","",IF(INDEX('販売記録'!$B$5:$B$1004,$F32)="","",INDEX('販売記録'!$B$5:$B$1004,$F32)))</ns0:f>
        <ns0:v/>
      </ns0:c>
      <ns0:c r="C32" s="9" t="str">
        <ns0:f>IF($F32="","",IF(INDEX('販売記録'!$C$5:$C$1004,$F32)="","",INDEX('販売記録'!$C$5:$C$1004,$F32)))</ns0:f>
        <ns0:v/>
      </ns0:c>
      <ns0:c r="D32" s="8" t="str">
        <ns0:f>IF($F32="","",IF(INDEX('販売記録'!$D$5:$D$1004,$F32)="","",INDEX('販売記録'!$D$5:$D$1004,$F32)))</ns0:f>
        <ns0:v/>
      </ns0:c>
      <ns0:c r="E32" s="12" t="str">
        <ns0:f>IF(OR(A32="",B32=""),"",MAX(0,TODAY()-A32))</ns0:f>
        <ns0:v/>
      </ns0:c>
      <ns0:c r="F32" s="9" t="str">
        <ns0:f>IFERROR(MATCH(ROW()-4,'販売記録'!$L$5:$L$1004,0),"")</ns0:f>
        <ns0:v/>
      </ns0:c>
    </ns0:row>
    <ns0:row r="33">
      <ns0:c r="A33" s="11" t="str">
        <ns0:f>IF($F33="","",IF(INDEX('販売記録'!$K$5:$K$1004,$F33)="","",INDEX('販売記録'!$K$5:$K$1004,$F33)))</ns0:f>
        <ns0:v/>
      </ns0:c>
      <ns0:c r="B33" s="9" t="str">
        <ns0:f>IF($F33="","",IF(INDEX('販売記録'!$B$5:$B$1004,$F33)="","",INDEX('販売記録'!$B$5:$B$1004,$F33)))</ns0:f>
        <ns0:v/>
      </ns0:c>
      <ns0:c r="C33" s="9" t="str">
        <ns0:f>IF($F33="","",IF(INDEX('販売記録'!$C$5:$C$1004,$F33)="","",INDEX('販売記録'!$C$5:$C$1004,$F33)))</ns0:f>
        <ns0:v/>
      </ns0:c>
      <ns0:c r="D33" s="8" t="str">
        <ns0:f>IF($F33="","",IF(INDEX('販売記録'!$D$5:$D$1004,$F33)="","",INDEX('販売記録'!$D$5:$D$1004,$F33)))</ns0:f>
        <ns0:v/>
      </ns0:c>
      <ns0:c r="E33" s="12" t="str">
        <ns0:f>IF(OR(A33="",B33=""),"",MAX(0,TODAY()-A33))</ns0:f>
        <ns0:v/>
      </ns0:c>
      <ns0:c r="F33" s="9" t="str">
        <ns0:f>IFERROR(MATCH(ROW()-4,'販売記録'!$L$5:$L$1004,0),"")</ns0:f>
        <ns0:v/>
      </ns0:c>
    </ns0:row>
    <ns0:row r="34">
      <ns0:c r="A34" s="11" t="str">
        <ns0:f>IF($F34="","",IF(INDEX('販売記録'!$K$5:$K$1004,$F34)="","",INDEX('販売記録'!$K$5:$K$1004,$F34)))</ns0:f>
        <ns0:v/>
      </ns0:c>
      <ns0:c r="B34" s="9" t="str">
        <ns0:f>IF($F34="","",IF(INDEX('販売記録'!$B$5:$B$1004,$F34)="","",INDEX('販売記録'!$B$5:$B$1004,$F34)))</ns0:f>
        <ns0:v/>
      </ns0:c>
      <ns0:c r="C34" s="9" t="str">
        <ns0:f>IF($F34="","",IF(INDEX('販売記録'!$C$5:$C$1004,$F34)="","",INDEX('販売記録'!$C$5:$C$1004,$F34)))</ns0:f>
        <ns0:v/>
      </ns0:c>
      <ns0:c r="D34" s="8" t="str">
        <ns0:f>IF($F34="","",IF(INDEX('販売記録'!$D$5:$D$1004,$F34)="","",INDEX('販売記録'!$D$5:$D$1004,$F34)))</ns0:f>
        <ns0:v/>
      </ns0:c>
      <ns0:c r="E34" s="12" t="str">
        <ns0:f>IF(OR(A34="",B34=""),"",MAX(0,TODAY()-A34))</ns0:f>
        <ns0:v/>
      </ns0:c>
      <ns0:c r="F34" s="9" t="str">
        <ns0:f>IFERROR(MATCH(ROW()-4,'販売記録'!$L$5:$L$1004,0),"")</ns0:f>
        <ns0:v/>
      </ns0:c>
    </ns0:row>
    <ns0:row r="35">
      <ns0:c r="A35" s="11" t="str">
        <ns0:f>IF($F35="","",IF(INDEX('販売記録'!$K$5:$K$1004,$F35)="","",INDEX('販売記録'!$K$5:$K$1004,$F35)))</ns0:f>
        <ns0:v/>
      </ns0:c>
      <ns0:c r="B35" s="9" t="str">
        <ns0:f>IF($F35="","",IF(INDEX('販売記録'!$B$5:$B$1004,$F35)="","",INDEX('販売記録'!$B$5:$B$1004,$F35)))</ns0:f>
        <ns0:v/>
      </ns0:c>
      <ns0:c r="C35" s="9" t="str">
        <ns0:f>IF($F35="","",IF(INDEX('販売記録'!$C$5:$C$1004,$F35)="","",INDEX('販売記録'!$C$5:$C$1004,$F35)))</ns0:f>
        <ns0:v/>
      </ns0:c>
      <ns0:c r="D35" s="8" t="str">
        <ns0:f>IF($F35="","",IF(INDEX('販売記録'!$D$5:$D$1004,$F35)="","",INDEX('販売記録'!$D$5:$D$1004,$F35)))</ns0:f>
        <ns0:v/>
      </ns0:c>
      <ns0:c r="E35" s="12" t="str">
        <ns0:f>IF(OR(A35="",B35=""),"",MAX(0,TODAY()-A35))</ns0:f>
        <ns0:v/>
      </ns0:c>
      <ns0:c r="F35" s="9" t="str">
        <ns0:f>IFERROR(MATCH(ROW()-4,'販売記録'!$L$5:$L$1004,0),"")</ns0:f>
        <ns0:v/>
      </ns0:c>
    </ns0:row>
    <ns0:row r="36">
      <ns0:c r="A36" s="11" t="str">
        <ns0:f>IF($F36="","",IF(INDEX('販売記録'!$K$5:$K$1004,$F36)="","",INDEX('販売記録'!$K$5:$K$1004,$F36)))</ns0:f>
        <ns0:v/>
      </ns0:c>
      <ns0:c r="B36" s="9" t="str">
        <ns0:f>IF($F36="","",IF(INDEX('販売記録'!$B$5:$B$1004,$F36)="","",INDEX('販売記録'!$B$5:$B$1004,$F36)))</ns0:f>
        <ns0:v/>
      </ns0:c>
      <ns0:c r="C36" s="9" t="str">
        <ns0:f>IF($F36="","",IF(INDEX('販売記録'!$C$5:$C$1004,$F36)="","",INDEX('販売記録'!$C$5:$C$1004,$F36)))</ns0:f>
        <ns0:v/>
      </ns0:c>
      <ns0:c r="D36" s="8" t="str">
        <ns0:f>IF($F36="","",IF(INDEX('販売記録'!$D$5:$D$1004,$F36)="","",INDEX('販売記録'!$D$5:$D$1004,$F36)))</ns0:f>
        <ns0:v/>
      </ns0:c>
      <ns0:c r="E36" s="12" t="str">
        <ns0:f>IF(OR(A36="",B36=""),"",MAX(0,TODAY()-A36))</ns0:f>
        <ns0:v/>
      </ns0:c>
      <ns0:c r="F36" s="9" t="str">
        <ns0:f>IFERROR(MATCH(ROW()-4,'販売記録'!$L$5:$L$1004,0),"")</ns0:f>
        <ns0:v/>
      </ns0:c>
    </ns0:row>
    <ns0:row r="37">
      <ns0:c r="A37" s="11" t="str">
        <ns0:f>IF($F37="","",IF(INDEX('販売記録'!$K$5:$K$1004,$F37)="","",INDEX('販売記録'!$K$5:$K$1004,$F37)))</ns0:f>
        <ns0:v/>
      </ns0:c>
      <ns0:c r="B37" s="9" t="str">
        <ns0:f>IF($F37="","",IF(INDEX('販売記録'!$B$5:$B$1004,$F37)="","",INDEX('販売記録'!$B$5:$B$1004,$F37)))</ns0:f>
        <ns0:v/>
      </ns0:c>
      <ns0:c r="C37" s="9" t="str">
        <ns0:f>IF($F37="","",IF(INDEX('販売記録'!$C$5:$C$1004,$F37)="","",INDEX('販売記録'!$C$5:$C$1004,$F37)))</ns0:f>
        <ns0:v/>
      </ns0:c>
      <ns0:c r="D37" s="8" t="str">
        <ns0:f>IF($F37="","",IF(INDEX('販売記録'!$D$5:$D$1004,$F37)="","",INDEX('販売記録'!$D$5:$D$1004,$F37)))</ns0:f>
        <ns0:v/>
      </ns0:c>
      <ns0:c r="E37" s="12" t="str">
        <ns0:f>IF(OR(A37="",B37=""),"",MAX(0,TODAY()-A37))</ns0:f>
        <ns0:v/>
      </ns0:c>
      <ns0:c r="F37" s="9" t="str">
        <ns0:f>IFERROR(MATCH(ROW()-4,'販売記録'!$L$5:$L$1004,0),"")</ns0:f>
        <ns0:v/>
      </ns0:c>
    </ns0:row>
    <ns0:row r="38">
      <ns0:c r="A38" s="11" t="str">
        <ns0:f>IF($F38="","",IF(INDEX('販売記録'!$K$5:$K$1004,$F38)="","",INDEX('販売記録'!$K$5:$K$1004,$F38)))</ns0:f>
        <ns0:v/>
      </ns0:c>
      <ns0:c r="B38" s="9" t="str">
        <ns0:f>IF($F38="","",IF(INDEX('販売記録'!$B$5:$B$1004,$F38)="","",INDEX('販売記録'!$B$5:$B$1004,$F38)))</ns0:f>
        <ns0:v/>
      </ns0:c>
      <ns0:c r="C38" s="9" t="str">
        <ns0:f>IF($F38="","",IF(INDEX('販売記録'!$C$5:$C$1004,$F38)="","",INDEX('販売記録'!$C$5:$C$1004,$F38)))</ns0:f>
        <ns0:v/>
      </ns0:c>
      <ns0:c r="D38" s="8" t="str">
        <ns0:f>IF($F38="","",IF(INDEX('販売記録'!$D$5:$D$1004,$F38)="","",INDEX('販売記録'!$D$5:$D$1004,$F38)))</ns0:f>
        <ns0:v/>
      </ns0:c>
      <ns0:c r="E38" s="12" t="str">
        <ns0:f>IF(OR(A38="",B38=""),"",MAX(0,TODAY()-A38))</ns0:f>
        <ns0:v/>
      </ns0:c>
      <ns0:c r="F38" s="9" t="str">
        <ns0:f>IFERROR(MATCH(ROW()-4,'販売記録'!$L$5:$L$1004,0),"")</ns0:f>
        <ns0:v/>
      </ns0:c>
    </ns0:row>
    <ns0:row r="39">
      <ns0:c r="A39" s="11" t="str">
        <ns0:f>IF($F39="","",IF(INDEX('販売記録'!$K$5:$K$1004,$F39)="","",INDEX('販売記録'!$K$5:$K$1004,$F39)))</ns0:f>
        <ns0:v/>
      </ns0:c>
      <ns0:c r="B39" s="9" t="str">
        <ns0:f>IF($F39="","",IF(INDEX('販売記録'!$B$5:$B$1004,$F39)="","",INDEX('販売記録'!$B$5:$B$1004,$F39)))</ns0:f>
        <ns0:v/>
      </ns0:c>
      <ns0:c r="C39" s="9" t="str">
        <ns0:f>IF($F39="","",IF(INDEX('販売記録'!$C$5:$C$1004,$F39)="","",INDEX('販売記録'!$C$5:$C$1004,$F39)))</ns0:f>
        <ns0:v/>
      </ns0:c>
      <ns0:c r="D39" s="8" t="str">
        <ns0:f>IF($F39="","",IF(INDEX('販売記録'!$D$5:$D$1004,$F39)="","",INDEX('販売記録'!$D$5:$D$1004,$F39)))</ns0:f>
        <ns0:v/>
      </ns0:c>
      <ns0:c r="E39" s="12" t="str">
        <ns0:f>IF(OR(A39="",B39=""),"",MAX(0,TODAY()-A39))</ns0:f>
        <ns0:v/>
      </ns0:c>
      <ns0:c r="F39" s="9" t="str">
        <ns0:f>IFERROR(MATCH(ROW()-4,'販売記録'!$L$5:$L$1004,0),"")</ns0:f>
        <ns0:v/>
      </ns0:c>
    </ns0:row>
    <ns0:row r="40">
      <ns0:c r="A40" s="11" t="str">
        <ns0:f>IF($F40="","",IF(INDEX('販売記録'!$K$5:$K$1004,$F40)="","",INDEX('販売記録'!$K$5:$K$1004,$F40)))</ns0:f>
        <ns0:v/>
      </ns0:c>
      <ns0:c r="B40" s="9" t="str">
        <ns0:f>IF($F40="","",IF(INDEX('販売記録'!$B$5:$B$1004,$F40)="","",INDEX('販売記録'!$B$5:$B$1004,$F40)))</ns0:f>
        <ns0:v/>
      </ns0:c>
      <ns0:c r="C40" s="9" t="str">
        <ns0:f>IF($F40="","",IF(INDEX('販売記録'!$C$5:$C$1004,$F40)="","",INDEX('販売記録'!$C$5:$C$1004,$F40)))</ns0:f>
        <ns0:v/>
      </ns0:c>
      <ns0:c r="D40" s="8" t="str">
        <ns0:f>IF($F40="","",IF(INDEX('販売記録'!$D$5:$D$1004,$F40)="","",INDEX('販売記録'!$D$5:$D$1004,$F40)))</ns0:f>
        <ns0:v/>
      </ns0:c>
      <ns0:c r="E40" s="12" t="str">
        <ns0:f>IF(OR(A40="",B40=""),"",MAX(0,TODAY()-A40))</ns0:f>
        <ns0:v/>
      </ns0:c>
      <ns0:c r="F40" s="9" t="str">
        <ns0:f>IFERROR(MATCH(ROW()-4,'販売記録'!$L$5:$L$1004,0),"")</ns0:f>
        <ns0:v/>
      </ns0:c>
    </ns0:row>
    <ns0:row r="41">
      <ns0:c r="A41" s="11" t="str">
        <ns0:f>IF($F41="","",IF(INDEX('販売記録'!$K$5:$K$1004,$F41)="","",INDEX('販売記録'!$K$5:$K$1004,$F41)))</ns0:f>
        <ns0:v/>
      </ns0:c>
      <ns0:c r="B41" s="9" t="str">
        <ns0:f>IF($F41="","",IF(INDEX('販売記録'!$B$5:$B$1004,$F41)="","",INDEX('販売記録'!$B$5:$B$1004,$F41)))</ns0:f>
        <ns0:v/>
      </ns0:c>
      <ns0:c r="C41" s="9" t="str">
        <ns0:f>IF($F41="","",IF(INDEX('販売記録'!$C$5:$C$1004,$F41)="","",INDEX('販売記録'!$C$5:$C$1004,$F41)))</ns0:f>
        <ns0:v/>
      </ns0:c>
      <ns0:c r="D41" s="8" t="str">
        <ns0:f>IF($F41="","",IF(INDEX('販売記録'!$D$5:$D$1004,$F41)="","",INDEX('販売記録'!$D$5:$D$1004,$F41)))</ns0:f>
        <ns0:v/>
      </ns0:c>
      <ns0:c r="E41" s="12" t="str">
        <ns0:f>IF(OR(A41="",B41=""),"",MAX(0,TODAY()-A41))</ns0:f>
        <ns0:v/>
      </ns0:c>
      <ns0:c r="F41" s="9" t="str">
        <ns0:f>IFERROR(MATCH(ROW()-4,'販売記録'!$L$5:$L$1004,0),"")</ns0:f>
        <ns0:v/>
      </ns0:c>
    </ns0:row>
    <ns0:row r="42">
      <ns0:c r="A42" s="11" t="str">
        <ns0:f>IF($F42="","",IF(INDEX('販売記録'!$K$5:$K$1004,$F42)="","",INDEX('販売記録'!$K$5:$K$1004,$F42)))</ns0:f>
        <ns0:v/>
      </ns0:c>
      <ns0:c r="B42" s="9" t="str">
        <ns0:f>IF($F42="","",IF(INDEX('販売記録'!$B$5:$B$1004,$F42)="","",INDEX('販売記録'!$B$5:$B$1004,$F42)))</ns0:f>
        <ns0:v/>
      </ns0:c>
      <ns0:c r="C42" s="9" t="str">
        <ns0:f>IF($F42="","",IF(INDEX('販売記録'!$C$5:$C$1004,$F42)="","",INDEX('販売記録'!$C$5:$C$1004,$F42)))</ns0:f>
        <ns0:v/>
      </ns0:c>
      <ns0:c r="D42" s="8" t="str">
        <ns0:f>IF($F42="","",IF(INDEX('販売記録'!$D$5:$D$1004,$F42)="","",INDEX('販売記録'!$D$5:$D$1004,$F42)))</ns0:f>
        <ns0:v/>
      </ns0:c>
      <ns0:c r="E42" s="12" t="str">
        <ns0:f>IF(OR(A42="",B42=""),"",MAX(0,TODAY()-A42))</ns0:f>
        <ns0:v/>
      </ns0:c>
      <ns0:c r="F42" s="9" t="str">
        <ns0:f>IFERROR(MATCH(ROW()-4,'販売記録'!$L$5:$L$1004,0),"")</ns0:f>
        <ns0:v/>
      </ns0:c>
    </ns0:row>
    <ns0:row r="43">
      <ns0:c r="A43" s="11" t="str">
        <ns0:f>IF($F43="","",IF(INDEX('販売記録'!$K$5:$K$1004,$F43)="","",INDEX('販売記録'!$K$5:$K$1004,$F43)))</ns0:f>
        <ns0:v/>
      </ns0:c>
      <ns0:c r="B43" s="9" t="str">
        <ns0:f>IF($F43="","",IF(INDEX('販売記録'!$B$5:$B$1004,$F43)="","",INDEX('販売記録'!$B$5:$B$1004,$F43)))</ns0:f>
        <ns0:v/>
      </ns0:c>
      <ns0:c r="C43" s="9" t="str">
        <ns0:f>IF($F43="","",IF(INDEX('販売記録'!$C$5:$C$1004,$F43)="","",INDEX('販売記録'!$C$5:$C$1004,$F43)))</ns0:f>
        <ns0:v/>
      </ns0:c>
      <ns0:c r="D43" s="8" t="str">
        <ns0:f>IF($F43="","",IF(INDEX('販売記録'!$D$5:$D$1004,$F43)="","",INDEX('販売記録'!$D$5:$D$1004,$F43)))</ns0:f>
        <ns0:v/>
      </ns0:c>
      <ns0:c r="E43" s="12" t="str">
        <ns0:f>IF(OR(A43="",B43=""),"",MAX(0,TODAY()-A43))</ns0:f>
        <ns0:v/>
      </ns0:c>
      <ns0:c r="F43" s="9" t="str">
        <ns0:f>IFERROR(MATCH(ROW()-4,'販売記録'!$L$5:$L$1004,0),"")</ns0:f>
        <ns0:v/>
      </ns0:c>
    </ns0:row>
    <ns0:row r="44">
      <ns0:c r="A44" s="11" t="str">
        <ns0:f>IF($F44="","",IF(INDEX('販売記録'!$K$5:$K$1004,$F44)="","",INDEX('販売記録'!$K$5:$K$1004,$F44)))</ns0:f>
        <ns0:v/>
      </ns0:c>
      <ns0:c r="B44" s="9" t="str">
        <ns0:f>IF($F44="","",IF(INDEX('販売記録'!$B$5:$B$1004,$F44)="","",INDEX('販売記録'!$B$5:$B$1004,$F44)))</ns0:f>
        <ns0:v/>
      </ns0:c>
      <ns0:c r="C44" s="9" t="str">
        <ns0:f>IF($F44="","",IF(INDEX('販売記録'!$C$5:$C$1004,$F44)="","",INDEX('販売記録'!$C$5:$C$1004,$F44)))</ns0:f>
        <ns0:v/>
      </ns0:c>
      <ns0:c r="D44" s="8" t="str">
        <ns0:f>IF($F44="","",IF(INDEX('販売記録'!$D$5:$D$1004,$F44)="","",INDEX('販売記録'!$D$5:$D$1004,$F44)))</ns0:f>
        <ns0:v/>
      </ns0:c>
      <ns0:c r="E44" s="12" t="str">
        <ns0:f>IF(OR(A44="",B44=""),"",MAX(0,TODAY()-A44))</ns0:f>
        <ns0:v/>
      </ns0:c>
      <ns0:c r="F44" s="9" t="str">
        <ns0:f>IFERROR(MATCH(ROW()-4,'販売記録'!$L$5:$L$1004,0),"")</ns0:f>
        <ns0:v/>
      </ns0:c>
    </ns0:row>
    <ns0:row r="45">
      <ns0:c r="A45" s="11" t="str">
        <ns0:f>IF($F45="","",IF(INDEX('販売記録'!$K$5:$K$1004,$F45)="","",INDEX('販売記録'!$K$5:$K$1004,$F45)))</ns0:f>
        <ns0:v/>
      </ns0:c>
      <ns0:c r="B45" s="9" t="str">
        <ns0:f>IF($F45="","",IF(INDEX('販売記録'!$B$5:$B$1004,$F45)="","",INDEX('販売記録'!$B$5:$B$1004,$F45)))</ns0:f>
        <ns0:v/>
      </ns0:c>
      <ns0:c r="C45" s="9" t="str">
        <ns0:f>IF($F45="","",IF(INDEX('販売記録'!$C$5:$C$1004,$F45)="","",INDEX('販売記録'!$C$5:$C$1004,$F45)))</ns0:f>
        <ns0:v/>
      </ns0:c>
      <ns0:c r="D45" s="8" t="str">
        <ns0:f>IF($F45="","",IF(INDEX('販売記録'!$D$5:$D$1004,$F45)="","",INDEX('販売記録'!$D$5:$D$1004,$F45)))</ns0:f>
        <ns0:v/>
      </ns0:c>
      <ns0:c r="E45" s="12" t="str">
        <ns0:f>IF(OR(A45="",B45=""),"",MAX(0,TODAY()-A45))</ns0:f>
        <ns0:v/>
      </ns0:c>
      <ns0:c r="F45" s="9" t="str">
        <ns0:f>IFERROR(MATCH(ROW()-4,'販売記録'!$L$5:$L$1004,0),"")</ns0:f>
        <ns0:v/>
      </ns0:c>
    </ns0:row>
    <ns0:row r="46">
      <ns0:c r="A46" s="11" t="str">
        <ns0:f>IF($F46="","",IF(INDEX('販売記録'!$K$5:$K$1004,$F46)="","",INDEX('販売記録'!$K$5:$K$1004,$F46)))</ns0:f>
        <ns0:v/>
      </ns0:c>
      <ns0:c r="B46" s="9" t="str">
        <ns0:f>IF($F46="","",IF(INDEX('販売記録'!$B$5:$B$1004,$F46)="","",INDEX('販売記録'!$B$5:$B$1004,$F46)))</ns0:f>
        <ns0:v/>
      </ns0:c>
      <ns0:c r="C46" s="9" t="str">
        <ns0:f>IF($F46="","",IF(INDEX('販売記録'!$C$5:$C$1004,$F46)="","",INDEX('販売記録'!$C$5:$C$1004,$F46)))</ns0:f>
        <ns0:v/>
      </ns0:c>
      <ns0:c r="D46" s="8" t="str">
        <ns0:f>IF($F46="","",IF(INDEX('販売記録'!$D$5:$D$1004,$F46)="","",INDEX('販売記録'!$D$5:$D$1004,$F46)))</ns0:f>
        <ns0:v/>
      </ns0:c>
      <ns0:c r="E46" s="12" t="str">
        <ns0:f>IF(OR(A46="",B46=""),"",MAX(0,TODAY()-A46))</ns0:f>
        <ns0:v/>
      </ns0:c>
      <ns0:c r="F46" s="9" t="str">
        <ns0:f>IFERROR(MATCH(ROW()-4,'販売記録'!$L$5:$L$1004,0),"")</ns0:f>
        <ns0:v/>
      </ns0:c>
    </ns0:row>
    <ns0:row r="47">
      <ns0:c r="A47" s="11" t="str">
        <ns0:f>IF($F47="","",IF(INDEX('販売記録'!$K$5:$K$1004,$F47)="","",INDEX('販売記録'!$K$5:$K$1004,$F47)))</ns0:f>
        <ns0:v/>
      </ns0:c>
      <ns0:c r="B47" s="9" t="str">
        <ns0:f>IF($F47="","",IF(INDEX('販売記録'!$B$5:$B$1004,$F47)="","",INDEX('販売記録'!$B$5:$B$1004,$F47)))</ns0:f>
        <ns0:v/>
      </ns0:c>
      <ns0:c r="C47" s="9" t="str">
        <ns0:f>IF($F47="","",IF(INDEX('販売記録'!$C$5:$C$1004,$F47)="","",INDEX('販売記録'!$C$5:$C$1004,$F47)))</ns0:f>
        <ns0:v/>
      </ns0:c>
      <ns0:c r="D47" s="8" t="str">
        <ns0:f>IF($F47="","",IF(INDEX('販売記録'!$D$5:$D$1004,$F47)="","",INDEX('販売記録'!$D$5:$D$1004,$F47)))</ns0:f>
        <ns0:v/>
      </ns0:c>
      <ns0:c r="E47" s="12" t="str">
        <ns0:f>IF(OR(A47="",B47=""),"",MAX(0,TODAY()-A47))</ns0:f>
        <ns0:v/>
      </ns0:c>
      <ns0:c r="F47" s="9" t="str">
        <ns0:f>IFERROR(MATCH(ROW()-4,'販売記録'!$L$5:$L$1004,0),"")</ns0:f>
        <ns0:v/>
      </ns0:c>
    </ns0:row>
    <ns0:row r="48">
      <ns0:c r="A48" s="11" t="str">
        <ns0:f>IF($F48="","",IF(INDEX('販売記録'!$K$5:$K$1004,$F48)="","",INDEX('販売記録'!$K$5:$K$1004,$F48)))</ns0:f>
        <ns0:v/>
      </ns0:c>
      <ns0:c r="B48" s="9" t="str">
        <ns0:f>IF($F48="","",IF(INDEX('販売記録'!$B$5:$B$1004,$F48)="","",INDEX('販売記録'!$B$5:$B$1004,$F48)))</ns0:f>
        <ns0:v/>
      </ns0:c>
      <ns0:c r="C48" s="9" t="str">
        <ns0:f>IF($F48="","",IF(INDEX('販売記録'!$C$5:$C$1004,$F48)="","",INDEX('販売記録'!$C$5:$C$1004,$F48)))</ns0:f>
        <ns0:v/>
      </ns0:c>
      <ns0:c r="D48" s="8" t="str">
        <ns0:f>IF($F48="","",IF(INDEX('販売記録'!$D$5:$D$1004,$F48)="","",INDEX('販売記録'!$D$5:$D$1004,$F48)))</ns0:f>
        <ns0:v/>
      </ns0:c>
      <ns0:c r="E48" s="12" t="str">
        <ns0:f>IF(OR(A48="",B48=""),"",MAX(0,TODAY()-A48))</ns0:f>
        <ns0:v/>
      </ns0:c>
      <ns0:c r="F48" s="9" t="str">
        <ns0:f>IFERROR(MATCH(ROW()-4,'販売記録'!$L$5:$L$1004,0),"")</ns0:f>
        <ns0:v/>
      </ns0:c>
    </ns0:row>
    <ns0:row r="49">
      <ns0:c r="A49" s="11" t="str">
        <ns0:f>IF($F49="","",IF(INDEX('販売記録'!$K$5:$K$1004,$F49)="","",INDEX('販売記録'!$K$5:$K$1004,$F49)))</ns0:f>
        <ns0:v/>
      </ns0:c>
      <ns0:c r="B49" s="9" t="str">
        <ns0:f>IF($F49="","",IF(INDEX('販売記録'!$B$5:$B$1004,$F49)="","",INDEX('販売記録'!$B$5:$B$1004,$F49)))</ns0:f>
        <ns0:v/>
      </ns0:c>
      <ns0:c r="C49" s="9" t="str">
        <ns0:f>IF($F49="","",IF(INDEX('販売記録'!$C$5:$C$1004,$F49)="","",INDEX('販売記録'!$C$5:$C$1004,$F49)))</ns0:f>
        <ns0:v/>
      </ns0:c>
      <ns0:c r="D49" s="8" t="str">
        <ns0:f>IF($F49="","",IF(INDEX('販売記録'!$D$5:$D$1004,$F49)="","",INDEX('販売記録'!$D$5:$D$1004,$F49)))</ns0:f>
        <ns0:v/>
      </ns0:c>
      <ns0:c r="E49" s="12" t="str">
        <ns0:f>IF(OR(A49="",B49=""),"",MAX(0,TODAY()-A49))</ns0:f>
        <ns0:v/>
      </ns0:c>
      <ns0:c r="F49" s="9" t="str">
        <ns0:f>IFERROR(MATCH(ROW()-4,'販売記録'!$L$5:$L$1004,0),"")</ns0:f>
        <ns0:v/>
      </ns0:c>
    </ns0:row>
    <ns0:row r="50">
      <ns0:c r="A50" s="11" t="str">
        <ns0:f>IF($F50="","",IF(INDEX('販売記録'!$K$5:$K$1004,$F50)="","",INDEX('販売記録'!$K$5:$K$1004,$F50)))</ns0:f>
        <ns0:v/>
      </ns0:c>
      <ns0:c r="B50" s="9" t="str">
        <ns0:f>IF($F50="","",IF(INDEX('販売記録'!$B$5:$B$1004,$F50)="","",INDEX('販売記録'!$B$5:$B$1004,$F50)))</ns0:f>
        <ns0:v/>
      </ns0:c>
      <ns0:c r="C50" s="9" t="str">
        <ns0:f>IF($F50="","",IF(INDEX('販売記録'!$C$5:$C$1004,$F50)="","",INDEX('販売記録'!$C$5:$C$1004,$F50)))</ns0:f>
        <ns0:v/>
      </ns0:c>
      <ns0:c r="D50" s="8" t="str">
        <ns0:f>IF($F50="","",IF(INDEX('販売記録'!$D$5:$D$1004,$F50)="","",INDEX('販売記録'!$D$5:$D$1004,$F50)))</ns0:f>
        <ns0:v/>
      </ns0:c>
      <ns0:c r="E50" s="12" t="str">
        <ns0:f>IF(OR(A50="",B50=""),"",MAX(0,TODAY()-A50))</ns0:f>
        <ns0:v/>
      </ns0:c>
      <ns0:c r="F50" s="9" t="str">
        <ns0:f>IFERROR(MATCH(ROW()-4,'販売記録'!$L$5:$L$1004,0),"")</ns0:f>
        <ns0:v/>
      </ns0:c>
    </ns0:row>
    <ns0:row r="51">
      <ns0:c r="A51" s="11" t="str">
        <ns0:f>IF($F51="","",IF(INDEX('販売記録'!$K$5:$K$1004,$F51)="","",INDEX('販売記録'!$K$5:$K$1004,$F51)))</ns0:f>
        <ns0:v/>
      </ns0:c>
      <ns0:c r="B51" s="9" t="str">
        <ns0:f>IF($F51="","",IF(INDEX('販売記録'!$B$5:$B$1004,$F51)="","",INDEX('販売記録'!$B$5:$B$1004,$F51)))</ns0:f>
        <ns0:v/>
      </ns0:c>
      <ns0:c r="C51" s="9" t="str">
        <ns0:f>IF($F51="","",IF(INDEX('販売記録'!$C$5:$C$1004,$F51)="","",INDEX('販売記録'!$C$5:$C$1004,$F51)))</ns0:f>
        <ns0:v/>
      </ns0:c>
      <ns0:c r="D51" s="8" t="str">
        <ns0:f>IF($F51="","",IF(INDEX('販売記録'!$D$5:$D$1004,$F51)="","",INDEX('販売記録'!$D$5:$D$1004,$F51)))</ns0:f>
        <ns0:v/>
      </ns0:c>
      <ns0:c r="E51" s="12" t="str">
        <ns0:f>IF(OR(A51="",B51=""),"",MAX(0,TODAY()-A51))</ns0:f>
        <ns0:v/>
      </ns0:c>
      <ns0:c r="F51" s="9" t="str">
        <ns0:f>IFERROR(MATCH(ROW()-4,'販売記録'!$L$5:$L$1004,0),"")</ns0:f>
        <ns0:v/>
      </ns0:c>
    </ns0:row>
    <ns0:row r="52">
      <ns0:c r="A52" s="11" t="str">
        <ns0:f>IF($F52="","",IF(INDEX('販売記録'!$K$5:$K$1004,$F52)="","",INDEX('販売記録'!$K$5:$K$1004,$F52)))</ns0:f>
        <ns0:v/>
      </ns0:c>
      <ns0:c r="B52" s="9" t="str">
        <ns0:f>IF($F52="","",IF(INDEX('販売記録'!$B$5:$B$1004,$F52)="","",INDEX('販売記録'!$B$5:$B$1004,$F52)))</ns0:f>
        <ns0:v/>
      </ns0:c>
      <ns0:c r="C52" s="9" t="str">
        <ns0:f>IF($F52="","",IF(INDEX('販売記録'!$C$5:$C$1004,$F52)="","",INDEX('販売記録'!$C$5:$C$1004,$F52)))</ns0:f>
        <ns0:v/>
      </ns0:c>
      <ns0:c r="D52" s="8" t="str">
        <ns0:f>IF($F52="","",IF(INDEX('販売記録'!$D$5:$D$1004,$F52)="","",INDEX('販売記録'!$D$5:$D$1004,$F52)))</ns0:f>
        <ns0:v/>
      </ns0:c>
      <ns0:c r="E52" s="12" t="str">
        <ns0:f>IF(OR(A52="",B52=""),"",MAX(0,TODAY()-A52))</ns0:f>
        <ns0:v/>
      </ns0:c>
      <ns0:c r="F52" s="9" t="str">
        <ns0:f>IFERROR(MATCH(ROW()-4,'販売記録'!$L$5:$L$1004,0),"")</ns0:f>
        <ns0:v/>
      </ns0:c>
    </ns0:row>
    <ns0:row r="53">
      <ns0:c r="A53" s="11" t="str">
        <ns0:f>IF($F53="","",IF(INDEX('販売記録'!$K$5:$K$1004,$F53)="","",INDEX('販売記録'!$K$5:$K$1004,$F53)))</ns0:f>
        <ns0:v/>
      </ns0:c>
      <ns0:c r="B53" s="9" t="str">
        <ns0:f>IF($F53="","",IF(INDEX('販売記録'!$B$5:$B$1004,$F53)="","",INDEX('販売記録'!$B$5:$B$1004,$F53)))</ns0:f>
        <ns0:v/>
      </ns0:c>
      <ns0:c r="C53" s="9" t="str">
        <ns0:f>IF($F53="","",IF(INDEX('販売記録'!$C$5:$C$1004,$F53)="","",INDEX('販売記録'!$C$5:$C$1004,$F53)))</ns0:f>
        <ns0:v/>
      </ns0:c>
      <ns0:c r="D53" s="8" t="str">
        <ns0:f>IF($F53="","",IF(INDEX('販売記録'!$D$5:$D$1004,$F53)="","",INDEX('販売記録'!$D$5:$D$1004,$F53)))</ns0:f>
        <ns0:v/>
      </ns0:c>
      <ns0:c r="E53" s="12" t="str">
        <ns0:f>IF(OR(A53="",B53=""),"",MAX(0,TODAY()-A53))</ns0:f>
        <ns0:v/>
      </ns0:c>
      <ns0:c r="F53" s="9" t="str">
        <ns0:f>IFERROR(MATCH(ROW()-4,'販売記録'!$L$5:$L$1004,0),"")</ns0:f>
        <ns0:v/>
      </ns0:c>
    </ns0:row>
    <ns0:row r="54">
      <ns0:c r="A54" s="11" t="str">
        <ns0:f>IF($F54="","",IF(INDEX('販売記録'!$K$5:$K$1004,$F54)="","",INDEX('販売記録'!$K$5:$K$1004,$F54)))</ns0:f>
        <ns0:v/>
      </ns0:c>
      <ns0:c r="B54" s="9" t="str">
        <ns0:f>IF($F54="","",IF(INDEX('販売記録'!$B$5:$B$1004,$F54)="","",INDEX('販売記録'!$B$5:$B$1004,$F54)))</ns0:f>
        <ns0:v/>
      </ns0:c>
      <ns0:c r="C54" s="9" t="str">
        <ns0:f>IF($F54="","",IF(INDEX('販売記録'!$C$5:$C$1004,$F54)="","",INDEX('販売記録'!$C$5:$C$1004,$F54)))</ns0:f>
        <ns0:v/>
      </ns0:c>
      <ns0:c r="D54" s="8" t="str">
        <ns0:f>IF($F54="","",IF(INDEX('販売記録'!$D$5:$D$1004,$F54)="","",INDEX('販売記録'!$D$5:$D$1004,$F54)))</ns0:f>
        <ns0:v/>
      </ns0:c>
      <ns0:c r="E54" s="12" t="str">
        <ns0:f>IF(OR(A54="",B54=""),"",MAX(0,TODAY()-A54))</ns0:f>
        <ns0:v/>
      </ns0:c>
      <ns0:c r="F54" s="9" t="str">
        <ns0:f>IFERROR(MATCH(ROW()-4,'販売記録'!$L$5:$L$1004,0),"")</ns0:f>
        <ns0:v/>
      </ns0:c>
    </ns0:row>
    <ns0:row r="55">
      <ns0:c r="A55" s="11" t="str">
        <ns0:f>IF($F55="","",IF(INDEX('販売記録'!$K$5:$K$1004,$F55)="","",INDEX('販売記録'!$K$5:$K$1004,$F55)))</ns0:f>
        <ns0:v/>
      </ns0:c>
      <ns0:c r="B55" s="9" t="str">
        <ns0:f>IF($F55="","",IF(INDEX('販売記録'!$B$5:$B$1004,$F55)="","",INDEX('販売記録'!$B$5:$B$1004,$F55)))</ns0:f>
        <ns0:v/>
      </ns0:c>
      <ns0:c r="C55" s="9" t="str">
        <ns0:f>IF($F55="","",IF(INDEX('販売記録'!$C$5:$C$1004,$F55)="","",INDEX('販売記録'!$C$5:$C$1004,$F55)))</ns0:f>
        <ns0:v/>
      </ns0:c>
      <ns0:c r="D55" s="8" t="str">
        <ns0:f>IF($F55="","",IF(INDEX('販売記録'!$D$5:$D$1004,$F55)="","",INDEX('販売記録'!$D$5:$D$1004,$F55)))</ns0:f>
        <ns0:v/>
      </ns0:c>
      <ns0:c r="E55" s="12" t="str">
        <ns0:f>IF(OR(A55="",B55=""),"",MAX(0,TODAY()-A55))</ns0:f>
        <ns0:v/>
      </ns0:c>
      <ns0:c r="F55" s="9" t="str">
        <ns0:f>IFERROR(MATCH(ROW()-4,'販売記録'!$L$5:$L$1004,0),"")</ns0:f>
        <ns0:v/>
      </ns0:c>
    </ns0:row>
    <ns0:row r="56">
      <ns0:c r="A56" s="11" t="str">
        <ns0:f>IF($F56="","",IF(INDEX('販売記録'!$K$5:$K$1004,$F56)="","",INDEX('販売記録'!$K$5:$K$1004,$F56)))</ns0:f>
        <ns0:v/>
      </ns0:c>
      <ns0:c r="B56" s="9" t="str">
        <ns0:f>IF($F56="","",IF(INDEX('販売記録'!$B$5:$B$1004,$F56)="","",INDEX('販売記録'!$B$5:$B$1004,$F56)))</ns0:f>
        <ns0:v/>
      </ns0:c>
      <ns0:c r="C56" s="9" t="str">
        <ns0:f>IF($F56="","",IF(INDEX('販売記録'!$C$5:$C$1004,$F56)="","",INDEX('販売記録'!$C$5:$C$1004,$F56)))</ns0:f>
        <ns0:v/>
      </ns0:c>
      <ns0:c r="D56" s="8" t="str">
        <ns0:f>IF($F56="","",IF(INDEX('販売記録'!$D$5:$D$1004,$F56)="","",INDEX('販売記録'!$D$5:$D$1004,$F56)))</ns0:f>
        <ns0:v/>
      </ns0:c>
      <ns0:c r="E56" s="12" t="str">
        <ns0:f>IF(OR(A56="",B56=""),"",MAX(0,TODAY()-A56))</ns0:f>
        <ns0:v/>
      </ns0:c>
      <ns0:c r="F56" s="9" t="str">
        <ns0:f>IFERROR(MATCH(ROW()-4,'販売記録'!$L$5:$L$1004,0),"")</ns0:f>
        <ns0:v/>
      </ns0:c>
    </ns0:row>
    <ns0:row r="57">
      <ns0:c r="A57" s="11" t="str">
        <ns0:f>IF($F57="","",IF(INDEX('販売記録'!$K$5:$K$1004,$F57)="","",INDEX('販売記録'!$K$5:$K$1004,$F57)))</ns0:f>
        <ns0:v/>
      </ns0:c>
      <ns0:c r="B57" s="9" t="str">
        <ns0:f>IF($F57="","",IF(INDEX('販売記録'!$B$5:$B$1004,$F57)="","",INDEX('販売記録'!$B$5:$B$1004,$F57)))</ns0:f>
        <ns0:v/>
      </ns0:c>
      <ns0:c r="C57" s="9" t="str">
        <ns0:f>IF($F57="","",IF(INDEX('販売記録'!$C$5:$C$1004,$F57)="","",INDEX('販売記録'!$C$5:$C$1004,$F57)))</ns0:f>
        <ns0:v/>
      </ns0:c>
      <ns0:c r="D57" s="8" t="str">
        <ns0:f>IF($F57="","",IF(INDEX('販売記録'!$D$5:$D$1004,$F57)="","",INDEX('販売記録'!$D$5:$D$1004,$F57)))</ns0:f>
        <ns0:v/>
      </ns0:c>
      <ns0:c r="E57" s="12" t="str">
        <ns0:f>IF(OR(A57="",B57=""),"",MAX(0,TODAY()-A57))</ns0:f>
        <ns0:v/>
      </ns0:c>
      <ns0:c r="F57" s="9" t="str">
        <ns0:f>IFERROR(MATCH(ROW()-4,'販売記録'!$L$5:$L$1004,0),"")</ns0:f>
        <ns0:v/>
      </ns0:c>
    </ns0:row>
    <ns0:row r="58">
      <ns0:c r="A58" s="11" t="str">
        <ns0:f>IF($F58="","",IF(INDEX('販売記録'!$K$5:$K$1004,$F58)="","",INDEX('販売記録'!$K$5:$K$1004,$F58)))</ns0:f>
        <ns0:v/>
      </ns0:c>
      <ns0:c r="B58" s="9" t="str">
        <ns0:f>IF($F58="","",IF(INDEX('販売記録'!$B$5:$B$1004,$F58)="","",INDEX('販売記録'!$B$5:$B$1004,$F58)))</ns0:f>
        <ns0:v/>
      </ns0:c>
      <ns0:c r="C58" s="9" t="str">
        <ns0:f>IF($F58="","",IF(INDEX('販売記録'!$C$5:$C$1004,$F58)="","",INDEX('販売記録'!$C$5:$C$1004,$F58)))</ns0:f>
        <ns0:v/>
      </ns0:c>
      <ns0:c r="D58" s="8" t="str">
        <ns0:f>IF($F58="","",IF(INDEX('販売記録'!$D$5:$D$1004,$F58)="","",INDEX('販売記録'!$D$5:$D$1004,$F58)))</ns0:f>
        <ns0:v/>
      </ns0:c>
      <ns0:c r="E58" s="12" t="str">
        <ns0:f>IF(OR(A58="",B58=""),"",MAX(0,TODAY()-A58))</ns0:f>
        <ns0:v/>
      </ns0:c>
      <ns0:c r="F58" s="9" t="str">
        <ns0:f>IFERROR(MATCH(ROW()-4,'販売記録'!$L$5:$L$1004,0),"")</ns0:f>
        <ns0:v/>
      </ns0:c>
    </ns0:row>
    <ns0:row r="59">
      <ns0:c r="A59" s="11" t="str">
        <ns0:f>IF($F59="","",IF(INDEX('販売記録'!$K$5:$K$1004,$F59)="","",INDEX('販売記録'!$K$5:$K$1004,$F59)))</ns0:f>
        <ns0:v/>
      </ns0:c>
      <ns0:c r="B59" s="9" t="str">
        <ns0:f>IF($F59="","",IF(INDEX('販売記録'!$B$5:$B$1004,$F59)="","",INDEX('販売記録'!$B$5:$B$1004,$F59)))</ns0:f>
        <ns0:v/>
      </ns0:c>
      <ns0:c r="C59" s="9" t="str">
        <ns0:f>IF($F59="","",IF(INDEX('販売記録'!$C$5:$C$1004,$F59)="","",INDEX('販売記録'!$C$5:$C$1004,$F59)))</ns0:f>
        <ns0:v/>
      </ns0:c>
      <ns0:c r="D59" s="8" t="str">
        <ns0:f>IF($F59="","",IF(INDEX('販売記録'!$D$5:$D$1004,$F59)="","",INDEX('販売記録'!$D$5:$D$1004,$F59)))</ns0:f>
        <ns0:v/>
      </ns0:c>
      <ns0:c r="E59" s="12" t="str">
        <ns0:f>IF(OR(A59="",B59=""),"",MAX(0,TODAY()-A59))</ns0:f>
        <ns0:v/>
      </ns0:c>
      <ns0:c r="F59" s="9" t="str">
        <ns0:f>IFERROR(MATCH(ROW()-4,'販売記録'!$L$5:$L$1004,0),"")</ns0:f>
        <ns0:v/>
      </ns0:c>
    </ns0:row>
    <ns0:row r="60">
      <ns0:c r="A60" s="11" t="str">
        <ns0:f>IF($F60="","",IF(INDEX('販売記録'!$K$5:$K$1004,$F60)="","",INDEX('販売記録'!$K$5:$K$1004,$F60)))</ns0:f>
        <ns0:v/>
      </ns0:c>
      <ns0:c r="B60" s="9" t="str">
        <ns0:f>IF($F60="","",IF(INDEX('販売記録'!$B$5:$B$1004,$F60)="","",INDEX('販売記録'!$B$5:$B$1004,$F60)))</ns0:f>
        <ns0:v/>
      </ns0:c>
      <ns0:c r="C60" s="9" t="str">
        <ns0:f>IF($F60="","",IF(INDEX('販売記録'!$C$5:$C$1004,$F60)="","",INDEX('販売記録'!$C$5:$C$1004,$F60)))</ns0:f>
        <ns0:v/>
      </ns0:c>
      <ns0:c r="D60" s="8" t="str">
        <ns0:f>IF($F60="","",IF(INDEX('販売記録'!$D$5:$D$1004,$F60)="","",INDEX('販売記録'!$D$5:$D$1004,$F60)))</ns0:f>
        <ns0:v/>
      </ns0:c>
      <ns0:c r="E60" s="12" t="str">
        <ns0:f>IF(OR(A60="",B60=""),"",MAX(0,TODAY()-A60))</ns0:f>
        <ns0:v/>
      </ns0:c>
      <ns0:c r="F60" s="9" t="str">
        <ns0:f>IFERROR(MATCH(ROW()-4,'販売記録'!$L$5:$L$1004,0),"")</ns0:f>
        <ns0:v/>
      </ns0:c>
    </ns0:row>
    <ns0:row r="61">
      <ns0:c r="A61" s="11" t="str">
        <ns0:f>IF($F61="","",IF(INDEX('販売記録'!$K$5:$K$1004,$F61)="","",INDEX('販売記録'!$K$5:$K$1004,$F61)))</ns0:f>
        <ns0:v/>
      </ns0:c>
      <ns0:c r="B61" s="9" t="str">
        <ns0:f>IF($F61="","",IF(INDEX('販売記録'!$B$5:$B$1004,$F61)="","",INDEX('販売記録'!$B$5:$B$1004,$F61)))</ns0:f>
        <ns0:v/>
      </ns0:c>
      <ns0:c r="C61" s="9" t="str">
        <ns0:f>IF($F61="","",IF(INDEX('販売記録'!$C$5:$C$1004,$F61)="","",INDEX('販売記録'!$C$5:$C$1004,$F61)))</ns0:f>
        <ns0:v/>
      </ns0:c>
      <ns0:c r="D61" s="8" t="str">
        <ns0:f>IF($F61="","",IF(INDEX('販売記録'!$D$5:$D$1004,$F61)="","",INDEX('販売記録'!$D$5:$D$1004,$F61)))</ns0:f>
        <ns0:v/>
      </ns0:c>
      <ns0:c r="E61" s="12" t="str">
        <ns0:f>IF(OR(A61="",B61=""),"",MAX(0,TODAY()-A61))</ns0:f>
        <ns0:v/>
      </ns0:c>
      <ns0:c r="F61" s="9" t="str">
        <ns0:f>IFERROR(MATCH(ROW()-4,'販売記録'!$L$5:$L$1004,0),"")</ns0:f>
        <ns0:v/>
      </ns0:c>
    </ns0:row>
    <ns0:row r="62">
      <ns0:c r="A62" s="11" t="str">
        <ns0:f>IF($F62="","",IF(INDEX('販売記録'!$K$5:$K$1004,$F62)="","",INDEX('販売記録'!$K$5:$K$1004,$F62)))</ns0:f>
        <ns0:v/>
      </ns0:c>
      <ns0:c r="B62" s="9" t="str">
        <ns0:f>IF($F62="","",IF(INDEX('販売記録'!$B$5:$B$1004,$F62)="","",INDEX('販売記録'!$B$5:$B$1004,$F62)))</ns0:f>
        <ns0:v/>
      </ns0:c>
      <ns0:c r="C62" s="9" t="str">
        <ns0:f>IF($F62="","",IF(INDEX('販売記録'!$C$5:$C$1004,$F62)="","",INDEX('販売記録'!$C$5:$C$1004,$F62)))</ns0:f>
        <ns0:v/>
      </ns0:c>
      <ns0:c r="D62" s="8" t="str">
        <ns0:f>IF($F62="","",IF(INDEX('販売記録'!$D$5:$D$1004,$F62)="","",INDEX('販売記録'!$D$5:$D$1004,$F62)))</ns0:f>
        <ns0:v/>
      </ns0:c>
      <ns0:c r="E62" s="12" t="str">
        <ns0:f>IF(OR(A62="",B62=""),"",MAX(0,TODAY()-A62))</ns0:f>
        <ns0:v/>
      </ns0:c>
      <ns0:c r="F62" s="9" t="str">
        <ns0:f>IFERROR(MATCH(ROW()-4,'販売記録'!$L$5:$L$1004,0),"")</ns0:f>
        <ns0:v/>
      </ns0:c>
    </ns0:row>
    <ns0:row r="63">
      <ns0:c r="A63" s="11" t="str">
        <ns0:f>IF($F63="","",IF(INDEX('販売記録'!$K$5:$K$1004,$F63)="","",INDEX('販売記録'!$K$5:$K$1004,$F63)))</ns0:f>
        <ns0:v/>
      </ns0:c>
      <ns0:c r="B63" s="9" t="str">
        <ns0:f>IF($F63="","",IF(INDEX('販売記録'!$B$5:$B$1004,$F63)="","",INDEX('販売記録'!$B$5:$B$1004,$F63)))</ns0:f>
        <ns0:v/>
      </ns0:c>
      <ns0:c r="C63" s="9" t="str">
        <ns0:f>IF($F63="","",IF(INDEX('販売記録'!$C$5:$C$1004,$F63)="","",INDEX('販売記録'!$C$5:$C$1004,$F63)))</ns0:f>
        <ns0:v/>
      </ns0:c>
      <ns0:c r="D63" s="8" t="str">
        <ns0:f>IF($F63="","",IF(INDEX('販売記録'!$D$5:$D$1004,$F63)="","",INDEX('販売記録'!$D$5:$D$1004,$F63)))</ns0:f>
        <ns0:v/>
      </ns0:c>
      <ns0:c r="E63" s="12" t="str">
        <ns0:f>IF(OR(A63="",B63=""),"",MAX(0,TODAY()-A63))</ns0:f>
        <ns0:v/>
      </ns0:c>
      <ns0:c r="F63" s="9" t="str">
        <ns0:f>IFERROR(MATCH(ROW()-4,'販売記録'!$L$5:$L$1004,0),"")</ns0:f>
        <ns0:v/>
      </ns0:c>
    </ns0:row>
    <ns0:row r="64">
      <ns0:c r="A64" s="11" t="str">
        <ns0:f>IF($F64="","",IF(INDEX('販売記録'!$K$5:$K$1004,$F64)="","",INDEX('販売記録'!$K$5:$K$1004,$F64)))</ns0:f>
        <ns0:v/>
      </ns0:c>
      <ns0:c r="B64" s="9" t="str">
        <ns0:f>IF($F64="","",IF(INDEX('販売記録'!$B$5:$B$1004,$F64)="","",INDEX('販売記録'!$B$5:$B$1004,$F64)))</ns0:f>
        <ns0:v/>
      </ns0:c>
      <ns0:c r="C64" s="9" t="str">
        <ns0:f>IF($F64="","",IF(INDEX('販売記録'!$C$5:$C$1004,$F64)="","",INDEX('販売記録'!$C$5:$C$1004,$F64)))</ns0:f>
        <ns0:v/>
      </ns0:c>
      <ns0:c r="D64" s="8" t="str">
        <ns0:f>IF($F64="","",IF(INDEX('販売記録'!$D$5:$D$1004,$F64)="","",INDEX('販売記録'!$D$5:$D$1004,$F64)))</ns0:f>
        <ns0:v/>
      </ns0:c>
      <ns0:c r="E64" s="12" t="str">
        <ns0:f>IF(OR(A64="",B64=""),"",MAX(0,TODAY()-A64))</ns0:f>
        <ns0:v/>
      </ns0:c>
      <ns0:c r="F64" s="9" t="str">
        <ns0:f>IFERROR(MATCH(ROW()-4,'販売記録'!$L$5:$L$1004,0),"")</ns0:f>
        <ns0:v/>
      </ns0:c>
    </ns0:row>
    <ns0:row r="65">
      <ns0:c r="A65" s="11" t="str">
        <ns0:f>IF($F65="","",IF(INDEX('販売記録'!$K$5:$K$1004,$F65)="","",INDEX('販売記録'!$K$5:$K$1004,$F65)))</ns0:f>
        <ns0:v/>
      </ns0:c>
      <ns0:c r="B65" s="9" t="str">
        <ns0:f>IF($F65="","",IF(INDEX('販売記録'!$B$5:$B$1004,$F65)="","",INDEX('販売記録'!$B$5:$B$1004,$F65)))</ns0:f>
        <ns0:v/>
      </ns0:c>
      <ns0:c r="C65" s="9" t="str">
        <ns0:f>IF($F65="","",IF(INDEX('販売記録'!$C$5:$C$1004,$F65)="","",INDEX('販売記録'!$C$5:$C$1004,$F65)))</ns0:f>
        <ns0:v/>
      </ns0:c>
      <ns0:c r="D65" s="8" t="str">
        <ns0:f>IF($F65="","",IF(INDEX('販売記録'!$D$5:$D$1004,$F65)="","",INDEX('販売記録'!$D$5:$D$1004,$F65)))</ns0:f>
        <ns0:v/>
      </ns0:c>
      <ns0:c r="E65" s="12" t="str">
        <ns0:f>IF(OR(A65="",B65=""),"",MAX(0,TODAY()-A65))</ns0:f>
        <ns0:v/>
      </ns0:c>
      <ns0:c r="F65" s="9" t="str">
        <ns0:f>IFERROR(MATCH(ROW()-4,'販売記録'!$L$5:$L$1004,0),"")</ns0:f>
        <ns0:v/>
      </ns0:c>
    </ns0:row>
    <ns0:row r="66">
      <ns0:c r="A66" s="11" t="str">
        <ns0:f>IF($F66="","",IF(INDEX('販売記録'!$K$5:$K$1004,$F66)="","",INDEX('販売記録'!$K$5:$K$1004,$F66)))</ns0:f>
        <ns0:v/>
      </ns0:c>
      <ns0:c r="B66" s="9" t="str">
        <ns0:f>IF($F66="","",IF(INDEX('販売記録'!$B$5:$B$1004,$F66)="","",INDEX('販売記録'!$B$5:$B$1004,$F66)))</ns0:f>
        <ns0:v/>
      </ns0:c>
      <ns0:c r="C66" s="9" t="str">
        <ns0:f>IF($F66="","",IF(INDEX('販売記録'!$C$5:$C$1004,$F66)="","",INDEX('販売記録'!$C$5:$C$1004,$F66)))</ns0:f>
        <ns0:v/>
      </ns0:c>
      <ns0:c r="D66" s="8" t="str">
        <ns0:f>IF($F66="","",IF(INDEX('販売記録'!$D$5:$D$1004,$F66)="","",INDEX('販売記録'!$D$5:$D$1004,$F66)))</ns0:f>
        <ns0:v/>
      </ns0:c>
      <ns0:c r="E66" s="12" t="str">
        <ns0:f>IF(OR(A66="",B66=""),"",MAX(0,TODAY()-A66))</ns0:f>
        <ns0:v/>
      </ns0:c>
      <ns0:c r="F66" s="9" t="str">
        <ns0:f>IFERROR(MATCH(ROW()-4,'販売記録'!$L$5:$L$1004,0),"")</ns0:f>
        <ns0:v/>
      </ns0:c>
    </ns0:row>
    <ns0:row r="67">
      <ns0:c r="A67" s="11" t="str">
        <ns0:f>IF($F67="","",IF(INDEX('販売記録'!$K$5:$K$1004,$F67)="","",INDEX('販売記録'!$K$5:$K$1004,$F67)))</ns0:f>
        <ns0:v/>
      </ns0:c>
      <ns0:c r="B67" s="9" t="str">
        <ns0:f>IF($F67="","",IF(INDEX('販売記録'!$B$5:$B$1004,$F67)="","",INDEX('販売記録'!$B$5:$B$1004,$F67)))</ns0:f>
        <ns0:v/>
      </ns0:c>
      <ns0:c r="C67" s="9" t="str">
        <ns0:f>IF($F67="","",IF(INDEX('販売記録'!$C$5:$C$1004,$F67)="","",INDEX('販売記録'!$C$5:$C$1004,$F67)))</ns0:f>
        <ns0:v/>
      </ns0:c>
      <ns0:c r="D67" s="8" t="str">
        <ns0:f>IF($F67="","",IF(INDEX('販売記録'!$D$5:$D$1004,$F67)="","",INDEX('販売記録'!$D$5:$D$1004,$F67)))</ns0:f>
        <ns0:v/>
      </ns0:c>
      <ns0:c r="E67" s="12" t="str">
        <ns0:f>IF(OR(A67="",B67=""),"",MAX(0,TODAY()-A67))</ns0:f>
        <ns0:v/>
      </ns0:c>
      <ns0:c r="F67" s="9" t="str">
        <ns0:f>IFERROR(MATCH(ROW()-4,'販売記録'!$L$5:$L$1004,0),"")</ns0:f>
        <ns0:v/>
      </ns0:c>
    </ns0:row>
    <ns0:row r="68">
      <ns0:c r="A68" s="11" t="str">
        <ns0:f>IF($F68="","",IF(INDEX('販売記録'!$K$5:$K$1004,$F68)="","",INDEX('販売記録'!$K$5:$K$1004,$F68)))</ns0:f>
        <ns0:v/>
      </ns0:c>
      <ns0:c r="B68" s="9" t="str">
        <ns0:f>IF($F68="","",IF(INDEX('販売記録'!$B$5:$B$1004,$F68)="","",INDEX('販売記録'!$B$5:$B$1004,$F68)))</ns0:f>
        <ns0:v/>
      </ns0:c>
      <ns0:c r="C68" s="9" t="str">
        <ns0:f>IF($F68="","",IF(INDEX('販売記録'!$C$5:$C$1004,$F68)="","",INDEX('販売記録'!$C$5:$C$1004,$F68)))</ns0:f>
        <ns0:v/>
      </ns0:c>
      <ns0:c r="D68" s="8" t="str">
        <ns0:f>IF($F68="","",IF(INDEX('販売記録'!$D$5:$D$1004,$F68)="","",INDEX('販売記録'!$D$5:$D$1004,$F68)))</ns0:f>
        <ns0:v/>
      </ns0:c>
      <ns0:c r="E68" s="12" t="str">
        <ns0:f>IF(OR(A68="",B68=""),"",MAX(0,TODAY()-A68))</ns0:f>
        <ns0:v/>
      </ns0:c>
      <ns0:c r="F68" s="9" t="str">
        <ns0:f>IFERROR(MATCH(ROW()-4,'販売記録'!$L$5:$L$1004,0),"")</ns0:f>
        <ns0:v/>
      </ns0:c>
    </ns0:row>
    <ns0:row r="69">
      <ns0:c r="A69" s="11" t="str">
        <ns0:f>IF($F69="","",IF(INDEX('販売記録'!$K$5:$K$1004,$F69)="","",INDEX('販売記録'!$K$5:$K$1004,$F69)))</ns0:f>
        <ns0:v/>
      </ns0:c>
      <ns0:c r="B69" s="9" t="str">
        <ns0:f>IF($F69="","",IF(INDEX('販売記録'!$B$5:$B$1004,$F69)="","",INDEX('販売記録'!$B$5:$B$1004,$F69)))</ns0:f>
        <ns0:v/>
      </ns0:c>
      <ns0:c r="C69" s="9" t="str">
        <ns0:f>IF($F69="","",IF(INDEX('販売記録'!$C$5:$C$1004,$F69)="","",INDEX('販売記録'!$C$5:$C$1004,$F69)))</ns0:f>
        <ns0:v/>
      </ns0:c>
      <ns0:c r="D69" s="8" t="str">
        <ns0:f>IF($F69="","",IF(INDEX('販売記録'!$D$5:$D$1004,$F69)="","",INDEX('販売記録'!$D$5:$D$1004,$F69)))</ns0:f>
        <ns0:v/>
      </ns0:c>
      <ns0:c r="E69" s="12" t="str">
        <ns0:f>IF(OR(A69="",B69=""),"",MAX(0,TODAY()-A69))</ns0:f>
        <ns0:v/>
      </ns0:c>
      <ns0:c r="F69" s="9" t="str">
        <ns0:f>IFERROR(MATCH(ROW()-4,'販売記録'!$L$5:$L$1004,0),"")</ns0:f>
        <ns0:v/>
      </ns0:c>
    </ns0:row>
    <ns0:row r="70">
      <ns0:c r="A70" s="11" t="str">
        <ns0:f>IF($F70="","",IF(INDEX('販売記録'!$K$5:$K$1004,$F70)="","",INDEX('販売記録'!$K$5:$K$1004,$F70)))</ns0:f>
        <ns0:v/>
      </ns0:c>
      <ns0:c r="B70" s="9" t="str">
        <ns0:f>IF($F70="","",IF(INDEX('販売記録'!$B$5:$B$1004,$F70)="","",INDEX('販売記録'!$B$5:$B$1004,$F70)))</ns0:f>
        <ns0:v/>
      </ns0:c>
      <ns0:c r="C70" s="9" t="str">
        <ns0:f>IF($F70="","",IF(INDEX('販売記録'!$C$5:$C$1004,$F70)="","",INDEX('販売記録'!$C$5:$C$1004,$F70)))</ns0:f>
        <ns0:v/>
      </ns0:c>
      <ns0:c r="D70" s="8" t="str">
        <ns0:f>IF($F70="","",IF(INDEX('販売記録'!$D$5:$D$1004,$F70)="","",INDEX('販売記録'!$D$5:$D$1004,$F70)))</ns0:f>
        <ns0:v/>
      </ns0:c>
      <ns0:c r="E70" s="12" t="str">
        <ns0:f>IF(OR(A70="",B70=""),"",MAX(0,TODAY()-A70))</ns0:f>
        <ns0:v/>
      </ns0:c>
      <ns0:c r="F70" s="9" t="str">
        <ns0:f>IFERROR(MATCH(ROW()-4,'販売記録'!$L$5:$L$1004,0),"")</ns0:f>
        <ns0:v/>
      </ns0:c>
    </ns0:row>
    <ns0:row r="71">
      <ns0:c r="A71" s="11" t="str">
        <ns0:f>IF($F71="","",IF(INDEX('販売記録'!$K$5:$K$1004,$F71)="","",INDEX('販売記録'!$K$5:$K$1004,$F71)))</ns0:f>
        <ns0:v/>
      </ns0:c>
      <ns0:c r="B71" s="9" t="str">
        <ns0:f>IF($F71="","",IF(INDEX('販売記録'!$B$5:$B$1004,$F71)="","",INDEX('販売記録'!$B$5:$B$1004,$F71)))</ns0:f>
        <ns0:v/>
      </ns0:c>
      <ns0:c r="C71" s="9" t="str">
        <ns0:f>IF($F71="","",IF(INDEX('販売記録'!$C$5:$C$1004,$F71)="","",INDEX('販売記録'!$C$5:$C$1004,$F71)))</ns0:f>
        <ns0:v/>
      </ns0:c>
      <ns0:c r="D71" s="8" t="str">
        <ns0:f>IF($F71="","",IF(INDEX('販売記録'!$D$5:$D$1004,$F71)="","",INDEX('販売記録'!$D$5:$D$1004,$F71)))</ns0:f>
        <ns0:v/>
      </ns0:c>
      <ns0:c r="E71" s="12" t="str">
        <ns0:f>IF(OR(A71="",B71=""),"",MAX(0,TODAY()-A71))</ns0:f>
        <ns0:v/>
      </ns0:c>
      <ns0:c r="F71" s="9" t="str">
        <ns0:f>IFERROR(MATCH(ROW()-4,'販売記録'!$L$5:$L$1004,0),"")</ns0:f>
        <ns0:v/>
      </ns0:c>
    </ns0:row>
    <ns0:row r="72">
      <ns0:c r="A72" s="11" t="str">
        <ns0:f>IF($F72="","",IF(INDEX('販売記録'!$K$5:$K$1004,$F72)="","",INDEX('販売記録'!$K$5:$K$1004,$F72)))</ns0:f>
        <ns0:v/>
      </ns0:c>
      <ns0:c r="B72" s="9" t="str">
        <ns0:f>IF($F72="","",IF(INDEX('販売記録'!$B$5:$B$1004,$F72)="","",INDEX('販売記録'!$B$5:$B$1004,$F72)))</ns0:f>
        <ns0:v/>
      </ns0:c>
      <ns0:c r="C72" s="9" t="str">
        <ns0:f>IF($F72="","",IF(INDEX('販売記録'!$C$5:$C$1004,$F72)="","",INDEX('販売記録'!$C$5:$C$1004,$F72)))</ns0:f>
        <ns0:v/>
      </ns0:c>
      <ns0:c r="D72" s="8" t="str">
        <ns0:f>IF($F72="","",IF(INDEX('販売記録'!$D$5:$D$1004,$F72)="","",INDEX('販売記録'!$D$5:$D$1004,$F72)))</ns0:f>
        <ns0:v/>
      </ns0:c>
      <ns0:c r="E72" s="12" t="str">
        <ns0:f>IF(OR(A72="",B72=""),"",MAX(0,TODAY()-A72))</ns0:f>
        <ns0:v/>
      </ns0:c>
      <ns0:c r="F72" s="9" t="str">
        <ns0:f>IFERROR(MATCH(ROW()-4,'販売記録'!$L$5:$L$1004,0),"")</ns0:f>
        <ns0:v/>
      </ns0:c>
    </ns0:row>
    <ns0:row r="73">
      <ns0:c r="A73" s="11" t="str">
        <ns0:f>IF($F73="","",IF(INDEX('販売記録'!$K$5:$K$1004,$F73)="","",INDEX('販売記録'!$K$5:$K$1004,$F73)))</ns0:f>
        <ns0:v/>
      </ns0:c>
      <ns0:c r="B73" s="9" t="str">
        <ns0:f>IF($F73="","",IF(INDEX('販売記録'!$B$5:$B$1004,$F73)="","",INDEX('販売記録'!$B$5:$B$1004,$F73)))</ns0:f>
        <ns0:v/>
      </ns0:c>
      <ns0:c r="C73" s="9" t="str">
        <ns0:f>IF($F73="","",IF(INDEX('販売記録'!$C$5:$C$1004,$F73)="","",INDEX('販売記録'!$C$5:$C$1004,$F73)))</ns0:f>
        <ns0:v/>
      </ns0:c>
      <ns0:c r="D73" s="8" t="str">
        <ns0:f>IF($F73="","",IF(INDEX('販売記録'!$D$5:$D$1004,$F73)="","",INDEX('販売記録'!$D$5:$D$1004,$F73)))</ns0:f>
        <ns0:v/>
      </ns0:c>
      <ns0:c r="E73" s="12" t="str">
        <ns0:f>IF(OR(A73="",B73=""),"",MAX(0,TODAY()-A73))</ns0:f>
        <ns0:v/>
      </ns0:c>
      <ns0:c r="F73" s="9" t="str">
        <ns0:f>IFERROR(MATCH(ROW()-4,'販売記録'!$L$5:$L$1004,0),"")</ns0:f>
        <ns0:v/>
      </ns0:c>
    </ns0:row>
    <ns0:row r="74">
      <ns0:c r="A74" s="11" t="str">
        <ns0:f>IF($F74="","",IF(INDEX('販売記録'!$K$5:$K$1004,$F74)="","",INDEX('販売記録'!$K$5:$K$1004,$F74)))</ns0:f>
        <ns0:v/>
      </ns0:c>
      <ns0:c r="B74" s="9" t="str">
        <ns0:f>IF($F74="","",IF(INDEX('販売記録'!$B$5:$B$1004,$F74)="","",INDEX('販売記録'!$B$5:$B$1004,$F74)))</ns0:f>
        <ns0:v/>
      </ns0:c>
      <ns0:c r="C74" s="9" t="str">
        <ns0:f>IF($F74="","",IF(INDEX('販売記録'!$C$5:$C$1004,$F74)="","",INDEX('販売記録'!$C$5:$C$1004,$F74)))</ns0:f>
        <ns0:v/>
      </ns0:c>
      <ns0:c r="D74" s="8" t="str">
        <ns0:f>IF($F74="","",IF(INDEX('販売記録'!$D$5:$D$1004,$F74)="","",INDEX('販売記録'!$D$5:$D$1004,$F74)))</ns0:f>
        <ns0:v/>
      </ns0:c>
      <ns0:c r="E74" s="12" t="str">
        <ns0:f>IF(OR(A74="",B74=""),"",MAX(0,TODAY()-A74))</ns0:f>
        <ns0:v/>
      </ns0:c>
      <ns0:c r="F74" s="9" t="str">
        <ns0:f>IFERROR(MATCH(ROW()-4,'販売記録'!$L$5:$L$1004,0),"")</ns0:f>
        <ns0:v/>
      </ns0:c>
    </ns0:row>
    <ns0:row r="75">
      <ns0:c r="A75" s="11" t="str">
        <ns0:f>IF($F75="","",IF(INDEX('販売記録'!$K$5:$K$1004,$F75)="","",INDEX('販売記録'!$K$5:$K$1004,$F75)))</ns0:f>
        <ns0:v/>
      </ns0:c>
      <ns0:c r="B75" s="9" t="str">
        <ns0:f>IF($F75="","",IF(INDEX('販売記録'!$B$5:$B$1004,$F75)="","",INDEX('販売記録'!$B$5:$B$1004,$F75)))</ns0:f>
        <ns0:v/>
      </ns0:c>
      <ns0:c r="C75" s="9" t="str">
        <ns0:f>IF($F75="","",IF(INDEX('販売記録'!$C$5:$C$1004,$F75)="","",INDEX('販売記録'!$C$5:$C$1004,$F75)))</ns0:f>
        <ns0:v/>
      </ns0:c>
      <ns0:c r="D75" s="8" t="str">
        <ns0:f>IF($F75="","",IF(INDEX('販売記録'!$D$5:$D$1004,$F75)="","",INDEX('販売記録'!$D$5:$D$1004,$F75)))</ns0:f>
        <ns0:v/>
      </ns0:c>
      <ns0:c r="E75" s="12" t="str">
        <ns0:f>IF(OR(A75="",B75=""),"",MAX(0,TODAY()-A75))</ns0:f>
        <ns0:v/>
      </ns0:c>
      <ns0:c r="F75" s="9" t="str">
        <ns0:f>IFERROR(MATCH(ROW()-4,'販売記録'!$L$5:$L$1004,0),"")</ns0:f>
        <ns0:v/>
      </ns0:c>
    </ns0:row>
    <ns0:row r="76">
      <ns0:c r="A76" s="11" t="str">
        <ns0:f>IF($F76="","",IF(INDEX('販売記録'!$K$5:$K$1004,$F76)="","",INDEX('販売記録'!$K$5:$K$1004,$F76)))</ns0:f>
        <ns0:v/>
      </ns0:c>
      <ns0:c r="B76" s="9" t="str">
        <ns0:f>IF($F76="","",IF(INDEX('販売記録'!$B$5:$B$1004,$F76)="","",INDEX('販売記録'!$B$5:$B$1004,$F76)))</ns0:f>
        <ns0:v/>
      </ns0:c>
      <ns0:c r="C76" s="9" t="str">
        <ns0:f>IF($F76="","",IF(INDEX('販売記録'!$C$5:$C$1004,$F76)="","",INDEX('販売記録'!$C$5:$C$1004,$F76)))</ns0:f>
        <ns0:v/>
      </ns0:c>
      <ns0:c r="D76" s="8" t="str">
        <ns0:f>IF($F76="","",IF(INDEX('販売記録'!$D$5:$D$1004,$F76)="","",INDEX('販売記録'!$D$5:$D$1004,$F76)))</ns0:f>
        <ns0:v/>
      </ns0:c>
      <ns0:c r="E76" s="12" t="str">
        <ns0:f>IF(OR(A76="",B76=""),"",MAX(0,TODAY()-A76))</ns0:f>
        <ns0:v/>
      </ns0:c>
      <ns0:c r="F76" s="9" t="str">
        <ns0:f>IFERROR(MATCH(ROW()-4,'販売記録'!$L$5:$L$1004,0),"")</ns0:f>
        <ns0:v/>
      </ns0:c>
    </ns0:row>
    <ns0:row r="77">
      <ns0:c r="A77" s="11" t="str">
        <ns0:f>IF($F77="","",IF(INDEX('販売記録'!$K$5:$K$1004,$F77)="","",INDEX('販売記録'!$K$5:$K$1004,$F77)))</ns0:f>
        <ns0:v/>
      </ns0:c>
      <ns0:c r="B77" s="9" t="str">
        <ns0:f>IF($F77="","",IF(INDEX('販売記録'!$B$5:$B$1004,$F77)="","",INDEX('販売記録'!$B$5:$B$1004,$F77)))</ns0:f>
        <ns0:v/>
      </ns0:c>
      <ns0:c r="C77" s="9" t="str">
        <ns0:f>IF($F77="","",IF(INDEX('販売記録'!$C$5:$C$1004,$F77)="","",INDEX('販売記録'!$C$5:$C$1004,$F77)))</ns0:f>
        <ns0:v/>
      </ns0:c>
      <ns0:c r="D77" s="8" t="str">
        <ns0:f>IF($F77="","",IF(INDEX('販売記録'!$D$5:$D$1004,$F77)="","",INDEX('販売記録'!$D$5:$D$1004,$F77)))</ns0:f>
        <ns0:v/>
      </ns0:c>
      <ns0:c r="E77" s="12" t="str">
        <ns0:f>IF(OR(A77="",B77=""),"",MAX(0,TODAY()-A77))</ns0:f>
        <ns0:v/>
      </ns0:c>
      <ns0:c r="F77" s="9" t="str">
        <ns0:f>IFERROR(MATCH(ROW()-4,'販売記録'!$L$5:$L$1004,0),"")</ns0:f>
        <ns0:v/>
      </ns0:c>
    </ns0:row>
    <ns0:row r="78">
      <ns0:c r="A78" s="11" t="str">
        <ns0:f>IF($F78="","",IF(INDEX('販売記録'!$K$5:$K$1004,$F78)="","",INDEX('販売記録'!$K$5:$K$1004,$F78)))</ns0:f>
        <ns0:v/>
      </ns0:c>
      <ns0:c r="B78" s="9" t="str">
        <ns0:f>IF($F78="","",IF(INDEX('販売記録'!$B$5:$B$1004,$F78)="","",INDEX('販売記録'!$B$5:$B$1004,$F78)))</ns0:f>
        <ns0:v/>
      </ns0:c>
      <ns0:c r="C78" s="9" t="str">
        <ns0:f>IF($F78="","",IF(INDEX('販売記録'!$C$5:$C$1004,$F78)="","",INDEX('販売記録'!$C$5:$C$1004,$F78)))</ns0:f>
        <ns0:v/>
      </ns0:c>
      <ns0:c r="D78" s="8" t="str">
        <ns0:f>IF($F78="","",IF(INDEX('販売記録'!$D$5:$D$1004,$F78)="","",INDEX('販売記録'!$D$5:$D$1004,$F78)))</ns0:f>
        <ns0:v/>
      </ns0:c>
      <ns0:c r="E78" s="12" t="str">
        <ns0:f>IF(OR(A78="",B78=""),"",MAX(0,TODAY()-A78))</ns0:f>
        <ns0:v/>
      </ns0:c>
      <ns0:c r="F78" s="9" t="str">
        <ns0:f>IFERROR(MATCH(ROW()-4,'販売記録'!$L$5:$L$1004,0),"")</ns0:f>
        <ns0:v/>
      </ns0:c>
    </ns0:row>
    <ns0:row r="79">
      <ns0:c r="A79" s="11" t="str">
        <ns0:f>IF($F79="","",IF(INDEX('販売記録'!$K$5:$K$1004,$F79)="","",INDEX('販売記録'!$K$5:$K$1004,$F79)))</ns0:f>
        <ns0:v/>
      </ns0:c>
      <ns0:c r="B79" s="9" t="str">
        <ns0:f>IF($F79="","",IF(INDEX('販売記録'!$B$5:$B$1004,$F79)="","",INDEX('販売記録'!$B$5:$B$1004,$F79)))</ns0:f>
        <ns0:v/>
      </ns0:c>
      <ns0:c r="C79" s="9" t="str">
        <ns0:f>IF($F79="","",IF(INDEX('販売記録'!$C$5:$C$1004,$F79)="","",INDEX('販売記録'!$C$5:$C$1004,$F79)))</ns0:f>
        <ns0:v/>
      </ns0:c>
      <ns0:c r="D79" s="8" t="str">
        <ns0:f>IF($F79="","",IF(INDEX('販売記録'!$D$5:$D$1004,$F79)="","",INDEX('販売記録'!$D$5:$D$1004,$F79)))</ns0:f>
        <ns0:v/>
      </ns0:c>
      <ns0:c r="E79" s="12" t="str">
        <ns0:f>IF(OR(A79="",B79=""),"",MAX(0,TODAY()-A79))</ns0:f>
        <ns0:v/>
      </ns0:c>
      <ns0:c r="F79" s="9" t="str">
        <ns0:f>IFERROR(MATCH(ROW()-4,'販売記録'!$L$5:$L$1004,0),"")</ns0:f>
        <ns0:v/>
      </ns0:c>
    </ns0:row>
    <ns0:row r="80">
      <ns0:c r="A80" s="11" t="str">
        <ns0:f>IF($F80="","",IF(INDEX('販売記録'!$K$5:$K$1004,$F80)="","",INDEX('販売記録'!$K$5:$K$1004,$F80)))</ns0:f>
        <ns0:v/>
      </ns0:c>
      <ns0:c r="B80" s="9" t="str">
        <ns0:f>IF($F80="","",IF(INDEX('販売記録'!$B$5:$B$1004,$F80)="","",INDEX('販売記録'!$B$5:$B$1004,$F80)))</ns0:f>
        <ns0:v/>
      </ns0:c>
      <ns0:c r="C80" s="9" t="str">
        <ns0:f>IF($F80="","",IF(INDEX('販売記録'!$C$5:$C$1004,$F80)="","",INDEX('販売記録'!$C$5:$C$1004,$F80)))</ns0:f>
        <ns0:v/>
      </ns0:c>
      <ns0:c r="D80" s="8" t="str">
        <ns0:f>IF($F80="","",IF(INDEX('販売記録'!$D$5:$D$1004,$F80)="","",INDEX('販売記録'!$D$5:$D$1004,$F80)))</ns0:f>
        <ns0:v/>
      </ns0:c>
      <ns0:c r="E80" s="12" t="str">
        <ns0:f>IF(OR(A80="",B80=""),"",MAX(0,TODAY()-A80))</ns0:f>
        <ns0:v/>
      </ns0:c>
      <ns0:c r="F80" s="9" t="str">
        <ns0:f>IFERROR(MATCH(ROW()-4,'販売記録'!$L$5:$L$1004,0),"")</ns0:f>
        <ns0:v/>
      </ns0:c>
    </ns0:row>
    <ns0:row r="81">
      <ns0:c r="A81" s="11" t="str">
        <ns0:f>IF($F81="","",IF(INDEX('販売記録'!$K$5:$K$1004,$F81)="","",INDEX('販売記録'!$K$5:$K$1004,$F81)))</ns0:f>
        <ns0:v/>
      </ns0:c>
      <ns0:c r="B81" s="9" t="str">
        <ns0:f>IF($F81="","",IF(INDEX('販売記録'!$B$5:$B$1004,$F81)="","",INDEX('販売記録'!$B$5:$B$1004,$F81)))</ns0:f>
        <ns0:v/>
      </ns0:c>
      <ns0:c r="C81" s="9" t="str">
        <ns0:f>IF($F81="","",IF(INDEX('販売記録'!$C$5:$C$1004,$F81)="","",INDEX('販売記録'!$C$5:$C$1004,$F81)))</ns0:f>
        <ns0:v/>
      </ns0:c>
      <ns0:c r="D81" s="8" t="str">
        <ns0:f>IF($F81="","",IF(INDEX('販売記録'!$D$5:$D$1004,$F81)="","",INDEX('販売記録'!$D$5:$D$1004,$F81)))</ns0:f>
        <ns0:v/>
      </ns0:c>
      <ns0:c r="E81" s="12" t="str">
        <ns0:f>IF(OR(A81="",B81=""),"",MAX(0,TODAY()-A81))</ns0:f>
        <ns0:v/>
      </ns0:c>
      <ns0:c r="F81" s="9" t="str">
        <ns0:f>IFERROR(MATCH(ROW()-4,'販売記録'!$L$5:$L$1004,0),"")</ns0:f>
        <ns0:v/>
      </ns0:c>
    </ns0:row>
    <ns0:row r="82">
      <ns0:c r="A82" s="11" t="str">
        <ns0:f>IF($F82="","",IF(INDEX('販売記録'!$K$5:$K$1004,$F82)="","",INDEX('販売記録'!$K$5:$K$1004,$F82)))</ns0:f>
        <ns0:v/>
      </ns0:c>
      <ns0:c r="B82" s="9" t="str">
        <ns0:f>IF($F82="","",IF(INDEX('販売記録'!$B$5:$B$1004,$F82)="","",INDEX('販売記録'!$B$5:$B$1004,$F82)))</ns0:f>
        <ns0:v/>
      </ns0:c>
      <ns0:c r="C82" s="9" t="str">
        <ns0:f>IF($F82="","",IF(INDEX('販売記録'!$C$5:$C$1004,$F82)="","",INDEX('販売記録'!$C$5:$C$1004,$F82)))</ns0:f>
        <ns0:v/>
      </ns0:c>
      <ns0:c r="D82" s="8" t="str">
        <ns0:f>IF($F82="","",IF(INDEX('販売記録'!$D$5:$D$1004,$F82)="","",INDEX('販売記録'!$D$5:$D$1004,$F82)))</ns0:f>
        <ns0:v/>
      </ns0:c>
      <ns0:c r="E82" s="12" t="str">
        <ns0:f>IF(OR(A82="",B82=""),"",MAX(0,TODAY()-A82))</ns0:f>
        <ns0:v/>
      </ns0:c>
      <ns0:c r="F82" s="9" t="str">
        <ns0:f>IFERROR(MATCH(ROW()-4,'販売記録'!$L$5:$L$1004,0),"")</ns0:f>
        <ns0:v/>
      </ns0:c>
    </ns0:row>
    <ns0:row r="83">
      <ns0:c r="A83" s="11" t="str">
        <ns0:f>IF($F83="","",IF(INDEX('販売記録'!$K$5:$K$1004,$F83)="","",INDEX('販売記録'!$K$5:$K$1004,$F83)))</ns0:f>
        <ns0:v/>
      </ns0:c>
      <ns0:c r="B83" s="9" t="str">
        <ns0:f>IF($F83="","",IF(INDEX('販売記録'!$B$5:$B$1004,$F83)="","",INDEX('販売記録'!$B$5:$B$1004,$F83)))</ns0:f>
        <ns0:v/>
      </ns0:c>
      <ns0:c r="C83" s="9" t="str">
        <ns0:f>IF($F83="","",IF(INDEX('販売記録'!$C$5:$C$1004,$F83)="","",INDEX('販売記録'!$C$5:$C$1004,$F83)))</ns0:f>
        <ns0:v/>
      </ns0:c>
      <ns0:c r="D83" s="8" t="str">
        <ns0:f>IF($F83="","",IF(INDEX('販売記録'!$D$5:$D$1004,$F83)="","",INDEX('販売記録'!$D$5:$D$1004,$F83)))</ns0:f>
        <ns0:v/>
      </ns0:c>
      <ns0:c r="E83" s="12" t="str">
        <ns0:f>IF(OR(A83="",B83=""),"",MAX(0,TODAY()-A83))</ns0:f>
        <ns0:v/>
      </ns0:c>
      <ns0:c r="F83" s="9" t="str">
        <ns0:f>IFERROR(MATCH(ROW()-4,'販売記録'!$L$5:$L$1004,0),"")</ns0:f>
        <ns0:v/>
      </ns0:c>
    </ns0:row>
    <ns0:row r="84">
      <ns0:c r="A84" s="11" t="str">
        <ns0:f>IF($F84="","",IF(INDEX('販売記録'!$K$5:$K$1004,$F84)="","",INDEX('販売記録'!$K$5:$K$1004,$F84)))</ns0:f>
        <ns0:v/>
      </ns0:c>
      <ns0:c r="B84" s="9" t="str">
        <ns0:f>IF($F84="","",IF(INDEX('販売記録'!$B$5:$B$1004,$F84)="","",INDEX('販売記録'!$B$5:$B$1004,$F84)))</ns0:f>
        <ns0:v/>
      </ns0:c>
      <ns0:c r="C84" s="9" t="str">
        <ns0:f>IF($F84="","",IF(INDEX('販売記録'!$C$5:$C$1004,$F84)="","",INDEX('販売記録'!$C$5:$C$1004,$F84)))</ns0:f>
        <ns0:v/>
      </ns0:c>
      <ns0:c r="D84" s="8" t="str">
        <ns0:f>IF($F84="","",IF(INDEX('販売記録'!$D$5:$D$1004,$F84)="","",INDEX('販売記録'!$D$5:$D$1004,$F84)))</ns0:f>
        <ns0:v/>
      </ns0:c>
      <ns0:c r="E84" s="12" t="str">
        <ns0:f>IF(OR(A84="",B84=""),"",MAX(0,TODAY()-A84))</ns0:f>
        <ns0:v/>
      </ns0:c>
      <ns0:c r="F84" s="9" t="str">
        <ns0:f>IFERROR(MATCH(ROW()-4,'販売記録'!$L$5:$L$1004,0),"")</ns0:f>
        <ns0:v/>
      </ns0:c>
    </ns0:row>
    <ns0:row r="85">
      <ns0:c r="A85" s="11" t="str">
        <ns0:f>IF($F85="","",IF(INDEX('販売記録'!$K$5:$K$1004,$F85)="","",INDEX('販売記録'!$K$5:$K$1004,$F85)))</ns0:f>
        <ns0:v/>
      </ns0:c>
      <ns0:c r="B85" s="9" t="str">
        <ns0:f>IF($F85="","",IF(INDEX('販売記録'!$B$5:$B$1004,$F85)="","",INDEX('販売記録'!$B$5:$B$1004,$F85)))</ns0:f>
        <ns0:v/>
      </ns0:c>
      <ns0:c r="C85" s="9" t="str">
        <ns0:f>IF($F85="","",IF(INDEX('販売記録'!$C$5:$C$1004,$F85)="","",INDEX('販売記録'!$C$5:$C$1004,$F85)))</ns0:f>
        <ns0:v/>
      </ns0:c>
      <ns0:c r="D85" s="8" t="str">
        <ns0:f>IF($F85="","",IF(INDEX('販売記録'!$D$5:$D$1004,$F85)="","",INDEX('販売記録'!$D$5:$D$1004,$F85)))</ns0:f>
        <ns0:v/>
      </ns0:c>
      <ns0:c r="E85" s="12" t="str">
        <ns0:f>IF(OR(A85="",B85=""),"",MAX(0,TODAY()-A85))</ns0:f>
        <ns0:v/>
      </ns0:c>
      <ns0:c r="F85" s="9" t="str">
        <ns0:f>IFERROR(MATCH(ROW()-4,'販売記録'!$L$5:$L$1004,0),"")</ns0:f>
        <ns0:v/>
      </ns0:c>
    </ns0:row>
    <ns0:row r="86">
      <ns0:c r="A86" s="11" t="str">
        <ns0:f>IF($F86="","",IF(INDEX('販売記録'!$K$5:$K$1004,$F86)="","",INDEX('販売記録'!$K$5:$K$1004,$F86)))</ns0:f>
        <ns0:v/>
      </ns0:c>
      <ns0:c r="B86" s="9" t="str">
        <ns0:f>IF($F86="","",IF(INDEX('販売記録'!$B$5:$B$1004,$F86)="","",INDEX('販売記録'!$B$5:$B$1004,$F86)))</ns0:f>
        <ns0:v/>
      </ns0:c>
      <ns0:c r="C86" s="9" t="str">
        <ns0:f>IF($F86="","",IF(INDEX('販売記録'!$C$5:$C$1004,$F86)="","",INDEX('販売記録'!$C$5:$C$1004,$F86)))</ns0:f>
        <ns0:v/>
      </ns0:c>
      <ns0:c r="D86" s="8" t="str">
        <ns0:f>IF($F86="","",IF(INDEX('販売記録'!$D$5:$D$1004,$F86)="","",INDEX('販売記録'!$D$5:$D$1004,$F86)))</ns0:f>
        <ns0:v/>
      </ns0:c>
      <ns0:c r="E86" s="12" t="str">
        <ns0:f>IF(OR(A86="",B86=""),"",MAX(0,TODAY()-A86))</ns0:f>
        <ns0:v/>
      </ns0:c>
      <ns0:c r="F86" s="9" t="str">
        <ns0:f>IFERROR(MATCH(ROW()-4,'販売記録'!$L$5:$L$1004,0),"")</ns0:f>
        <ns0:v/>
      </ns0:c>
    </ns0:row>
    <ns0:row r="87">
      <ns0:c r="A87" s="11" t="str">
        <ns0:f>IF($F87="","",IF(INDEX('販売記録'!$K$5:$K$1004,$F87)="","",INDEX('販売記録'!$K$5:$K$1004,$F87)))</ns0:f>
        <ns0:v/>
      </ns0:c>
      <ns0:c r="B87" s="9" t="str">
        <ns0:f>IF($F87="","",IF(INDEX('販売記録'!$B$5:$B$1004,$F87)="","",INDEX('販売記録'!$B$5:$B$1004,$F87)))</ns0:f>
        <ns0:v/>
      </ns0:c>
      <ns0:c r="C87" s="9" t="str">
        <ns0:f>IF($F87="","",IF(INDEX('販売記録'!$C$5:$C$1004,$F87)="","",INDEX('販売記録'!$C$5:$C$1004,$F87)))</ns0:f>
        <ns0:v/>
      </ns0:c>
      <ns0:c r="D87" s="8" t="str">
        <ns0:f>IF($F87="","",IF(INDEX('販売記録'!$D$5:$D$1004,$F87)="","",INDEX('販売記録'!$D$5:$D$1004,$F87)))</ns0:f>
        <ns0:v/>
      </ns0:c>
      <ns0:c r="E87" s="12" t="str">
        <ns0:f>IF(OR(A87="",B87=""),"",MAX(0,TODAY()-A87))</ns0:f>
        <ns0:v/>
      </ns0:c>
      <ns0:c r="F87" s="9" t="str">
        <ns0:f>IFERROR(MATCH(ROW()-4,'販売記録'!$L$5:$L$1004,0),"")</ns0:f>
        <ns0:v/>
      </ns0:c>
    </ns0:row>
    <ns0:row r="88">
      <ns0:c r="A88" s="11" t="str">
        <ns0:f>IF($F88="","",IF(INDEX('販売記録'!$K$5:$K$1004,$F88)="","",INDEX('販売記録'!$K$5:$K$1004,$F88)))</ns0:f>
        <ns0:v/>
      </ns0:c>
      <ns0:c r="B88" s="9" t="str">
        <ns0:f>IF($F88="","",IF(INDEX('販売記録'!$B$5:$B$1004,$F88)="","",INDEX('販売記録'!$B$5:$B$1004,$F88)))</ns0:f>
        <ns0:v/>
      </ns0:c>
      <ns0:c r="C88" s="9" t="str">
        <ns0:f>IF($F88="","",IF(INDEX('販売記録'!$C$5:$C$1004,$F88)="","",INDEX('販売記録'!$C$5:$C$1004,$F88)))</ns0:f>
        <ns0:v/>
      </ns0:c>
      <ns0:c r="D88" s="8" t="str">
        <ns0:f>IF($F88="","",IF(INDEX('販売記録'!$D$5:$D$1004,$F88)="","",INDEX('販売記録'!$D$5:$D$1004,$F88)))</ns0:f>
        <ns0:v/>
      </ns0:c>
      <ns0:c r="E88" s="12" t="str">
        <ns0:f>IF(OR(A88="",B88=""),"",MAX(0,TODAY()-A88))</ns0:f>
        <ns0:v/>
      </ns0:c>
      <ns0:c r="F88" s="9" t="str">
        <ns0:f>IFERROR(MATCH(ROW()-4,'販売記録'!$L$5:$L$1004,0),"")</ns0:f>
        <ns0:v/>
      </ns0:c>
    </ns0:row>
    <ns0:row r="89">
      <ns0:c r="A89" s="11" t="str">
        <ns0:f>IF($F89="","",IF(INDEX('販売記録'!$K$5:$K$1004,$F89)="","",INDEX('販売記録'!$K$5:$K$1004,$F89)))</ns0:f>
        <ns0:v/>
      </ns0:c>
      <ns0:c r="B89" s="9" t="str">
        <ns0:f>IF($F89="","",IF(INDEX('販売記録'!$B$5:$B$1004,$F89)="","",INDEX('販売記録'!$B$5:$B$1004,$F89)))</ns0:f>
        <ns0:v/>
      </ns0:c>
      <ns0:c r="C89" s="9" t="str">
        <ns0:f>IF($F89="","",IF(INDEX('販売記録'!$C$5:$C$1004,$F89)="","",INDEX('販売記録'!$C$5:$C$1004,$F89)))</ns0:f>
        <ns0:v/>
      </ns0:c>
      <ns0:c r="D89" s="8" t="str">
        <ns0:f>IF($F89="","",IF(INDEX('販売記録'!$D$5:$D$1004,$F89)="","",INDEX('販売記録'!$D$5:$D$1004,$F89)))</ns0:f>
        <ns0:v/>
      </ns0:c>
      <ns0:c r="E89" s="12" t="str">
        <ns0:f>IF(OR(A89="",B89=""),"",MAX(0,TODAY()-A89))</ns0:f>
        <ns0:v/>
      </ns0:c>
      <ns0:c r="F89" s="9" t="str">
        <ns0:f>IFERROR(MATCH(ROW()-4,'販売記録'!$L$5:$L$1004,0),"")</ns0:f>
        <ns0:v/>
      </ns0:c>
    </ns0:row>
    <ns0:row r="90">
      <ns0:c r="A90" s="11" t="str">
        <ns0:f>IF($F90="","",IF(INDEX('販売記録'!$K$5:$K$1004,$F90)="","",INDEX('販売記録'!$K$5:$K$1004,$F90)))</ns0:f>
        <ns0:v/>
      </ns0:c>
      <ns0:c r="B90" s="9" t="str">
        <ns0:f>IF($F90="","",IF(INDEX('販売記録'!$B$5:$B$1004,$F90)="","",INDEX('販売記録'!$B$5:$B$1004,$F90)))</ns0:f>
        <ns0:v/>
      </ns0:c>
      <ns0:c r="C90" s="9" t="str">
        <ns0:f>IF($F90="","",IF(INDEX('販売記録'!$C$5:$C$1004,$F90)="","",INDEX('販売記録'!$C$5:$C$1004,$F90)))</ns0:f>
        <ns0:v/>
      </ns0:c>
      <ns0:c r="D90" s="8" t="str">
        <ns0:f>IF($F90="","",IF(INDEX('販売記録'!$D$5:$D$1004,$F90)="","",INDEX('販売記録'!$D$5:$D$1004,$F90)))</ns0:f>
        <ns0:v/>
      </ns0:c>
      <ns0:c r="E90" s="12" t="str">
        <ns0:f>IF(OR(A90="",B90=""),"",MAX(0,TODAY()-A90))</ns0:f>
        <ns0:v/>
      </ns0:c>
      <ns0:c r="F90" s="9" t="str">
        <ns0:f>IFERROR(MATCH(ROW()-4,'販売記録'!$L$5:$L$1004,0),"")</ns0:f>
        <ns0:v/>
      </ns0:c>
    </ns0:row>
    <ns0:row r="91">
      <ns0:c r="A91" s="11" t="str">
        <ns0:f>IF($F91="","",IF(INDEX('販売記録'!$K$5:$K$1004,$F91)="","",INDEX('販売記録'!$K$5:$K$1004,$F91)))</ns0:f>
        <ns0:v/>
      </ns0:c>
      <ns0:c r="B91" s="9" t="str">
        <ns0:f>IF($F91="","",IF(INDEX('販売記録'!$B$5:$B$1004,$F91)="","",INDEX('販売記録'!$B$5:$B$1004,$F91)))</ns0:f>
        <ns0:v/>
      </ns0:c>
      <ns0:c r="C91" s="9" t="str">
        <ns0:f>IF($F91="","",IF(INDEX('販売記録'!$C$5:$C$1004,$F91)="","",INDEX('販売記録'!$C$5:$C$1004,$F91)))</ns0:f>
        <ns0:v/>
      </ns0:c>
      <ns0:c r="D91" s="8" t="str">
        <ns0:f>IF($F91="","",IF(INDEX('販売記録'!$D$5:$D$1004,$F91)="","",INDEX('販売記録'!$D$5:$D$1004,$F91)))</ns0:f>
        <ns0:v/>
      </ns0:c>
      <ns0:c r="E91" s="12" t="str">
        <ns0:f>IF(OR(A91="",B91=""),"",MAX(0,TODAY()-A91))</ns0:f>
        <ns0:v/>
      </ns0:c>
      <ns0:c r="F91" s="9" t="str">
        <ns0:f>IFERROR(MATCH(ROW()-4,'販売記録'!$L$5:$L$1004,0),"")</ns0:f>
        <ns0:v/>
      </ns0:c>
    </ns0:row>
    <ns0:row r="92">
      <ns0:c r="A92" s="11" t="str">
        <ns0:f>IF($F92="","",IF(INDEX('販売記録'!$K$5:$K$1004,$F92)="","",INDEX('販売記録'!$K$5:$K$1004,$F92)))</ns0:f>
        <ns0:v/>
      </ns0:c>
      <ns0:c r="B92" s="9" t="str">
        <ns0:f>IF($F92="","",IF(INDEX('販売記録'!$B$5:$B$1004,$F92)="","",INDEX('販売記録'!$B$5:$B$1004,$F92)))</ns0:f>
        <ns0:v/>
      </ns0:c>
      <ns0:c r="C92" s="9" t="str">
        <ns0:f>IF($F92="","",IF(INDEX('販売記録'!$C$5:$C$1004,$F92)="","",INDEX('販売記録'!$C$5:$C$1004,$F92)))</ns0:f>
        <ns0:v/>
      </ns0:c>
      <ns0:c r="D92" s="8" t="str">
        <ns0:f>IF($F92="","",IF(INDEX('販売記録'!$D$5:$D$1004,$F92)="","",INDEX('販売記録'!$D$5:$D$1004,$F92)))</ns0:f>
        <ns0:v/>
      </ns0:c>
      <ns0:c r="E92" s="12" t="str">
        <ns0:f>IF(OR(A92="",B92=""),"",MAX(0,TODAY()-A92))</ns0:f>
        <ns0:v/>
      </ns0:c>
      <ns0:c r="F92" s="9" t="str">
        <ns0:f>IFERROR(MATCH(ROW()-4,'販売記録'!$L$5:$L$1004,0),"")</ns0:f>
        <ns0:v/>
      </ns0:c>
    </ns0:row>
    <ns0:row r="93">
      <ns0:c r="A93" s="11" t="str">
        <ns0:f>IF($F93="","",IF(INDEX('販売記録'!$K$5:$K$1004,$F93)="","",INDEX('販売記録'!$K$5:$K$1004,$F93)))</ns0:f>
        <ns0:v/>
      </ns0:c>
      <ns0:c r="B93" s="9" t="str">
        <ns0:f>IF($F93="","",IF(INDEX('販売記録'!$B$5:$B$1004,$F93)="","",INDEX('販売記録'!$B$5:$B$1004,$F93)))</ns0:f>
        <ns0:v/>
      </ns0:c>
      <ns0:c r="C93" s="9" t="str">
        <ns0:f>IF($F93="","",IF(INDEX('販売記録'!$C$5:$C$1004,$F93)="","",INDEX('販売記録'!$C$5:$C$1004,$F93)))</ns0:f>
        <ns0:v/>
      </ns0:c>
      <ns0:c r="D93" s="8" t="str">
        <ns0:f>IF($F93="","",IF(INDEX('販売記録'!$D$5:$D$1004,$F93)="","",INDEX('販売記録'!$D$5:$D$1004,$F93)))</ns0:f>
        <ns0:v/>
      </ns0:c>
      <ns0:c r="E93" s="12" t="str">
        <ns0:f>IF(OR(A93="",B93=""),"",MAX(0,TODAY()-A93))</ns0:f>
        <ns0:v/>
      </ns0:c>
      <ns0:c r="F93" s="9" t="str">
        <ns0:f>IFERROR(MATCH(ROW()-4,'販売記録'!$L$5:$L$1004,0),"")</ns0:f>
        <ns0:v/>
      </ns0:c>
    </ns0:row>
    <ns0:row r="94">
      <ns0:c r="A94" s="11" t="str">
        <ns0:f>IF($F94="","",IF(INDEX('販売記録'!$K$5:$K$1004,$F94)="","",INDEX('販売記録'!$K$5:$K$1004,$F94)))</ns0:f>
        <ns0:v/>
      </ns0:c>
      <ns0:c r="B94" s="9" t="str">
        <ns0:f>IF($F94="","",IF(INDEX('販売記録'!$B$5:$B$1004,$F94)="","",INDEX('販売記録'!$B$5:$B$1004,$F94)))</ns0:f>
        <ns0:v/>
      </ns0:c>
      <ns0:c r="C94" s="9" t="str">
        <ns0:f>IF($F94="","",IF(INDEX('販売記録'!$C$5:$C$1004,$F94)="","",INDEX('販売記録'!$C$5:$C$1004,$F94)))</ns0:f>
        <ns0:v/>
      </ns0:c>
      <ns0:c r="D94" s="8" t="str">
        <ns0:f>IF($F94="","",IF(INDEX('販売記録'!$D$5:$D$1004,$F94)="","",INDEX('販売記録'!$D$5:$D$1004,$F94)))</ns0:f>
        <ns0:v/>
      </ns0:c>
      <ns0:c r="E94" s="12" t="str">
        <ns0:f>IF(OR(A94="",B94=""),"",MAX(0,TODAY()-A94))</ns0:f>
        <ns0:v/>
      </ns0:c>
      <ns0:c r="F94" s="9" t="str">
        <ns0:f>IFERROR(MATCH(ROW()-4,'販売記録'!$L$5:$L$1004,0),"")</ns0:f>
        <ns0:v/>
      </ns0:c>
    </ns0:row>
    <ns0:row r="95">
      <ns0:c r="A95" s="11" t="str">
        <ns0:f>IF($F95="","",IF(INDEX('販売記録'!$K$5:$K$1004,$F95)="","",INDEX('販売記録'!$K$5:$K$1004,$F95)))</ns0:f>
        <ns0:v/>
      </ns0:c>
      <ns0:c r="B95" s="9" t="str">
        <ns0:f>IF($F95="","",IF(INDEX('販売記録'!$B$5:$B$1004,$F95)="","",INDEX('販売記録'!$B$5:$B$1004,$F95)))</ns0:f>
        <ns0:v/>
      </ns0:c>
      <ns0:c r="C95" s="9" t="str">
        <ns0:f>IF($F95="","",IF(INDEX('販売記録'!$C$5:$C$1004,$F95)="","",INDEX('販売記録'!$C$5:$C$1004,$F95)))</ns0:f>
        <ns0:v/>
      </ns0:c>
      <ns0:c r="D95" s="8" t="str">
        <ns0:f>IF($F95="","",IF(INDEX('販売記録'!$D$5:$D$1004,$F95)="","",INDEX('販売記録'!$D$5:$D$1004,$F95)))</ns0:f>
        <ns0:v/>
      </ns0:c>
      <ns0:c r="E95" s="12" t="str">
        <ns0:f>IF(OR(A95="",B95=""),"",MAX(0,TODAY()-A95))</ns0:f>
        <ns0:v/>
      </ns0:c>
      <ns0:c r="F95" s="9" t="str">
        <ns0:f>IFERROR(MATCH(ROW()-4,'販売記録'!$L$5:$L$1004,0),"")</ns0:f>
        <ns0:v/>
      </ns0:c>
    </ns0:row>
    <ns0:row r="96">
      <ns0:c r="A96" s="11" t="str">
        <ns0:f>IF($F96="","",IF(INDEX('販売記録'!$K$5:$K$1004,$F96)="","",INDEX('販売記録'!$K$5:$K$1004,$F96)))</ns0:f>
        <ns0:v/>
      </ns0:c>
      <ns0:c r="B96" s="9" t="str">
        <ns0:f>IF($F96="","",IF(INDEX('販売記録'!$B$5:$B$1004,$F96)="","",INDEX('販売記録'!$B$5:$B$1004,$F96)))</ns0:f>
        <ns0:v/>
      </ns0:c>
      <ns0:c r="C96" s="9" t="str">
        <ns0:f>IF($F96="","",IF(INDEX('販売記録'!$C$5:$C$1004,$F96)="","",INDEX('販売記録'!$C$5:$C$1004,$F96)))</ns0:f>
        <ns0:v/>
      </ns0:c>
      <ns0:c r="D96" s="8" t="str">
        <ns0:f>IF($F96="","",IF(INDEX('販売記録'!$D$5:$D$1004,$F96)="","",INDEX('販売記録'!$D$5:$D$1004,$F96)))</ns0:f>
        <ns0:v/>
      </ns0:c>
      <ns0:c r="E96" s="12" t="str">
        <ns0:f>IF(OR(A96="",B96=""),"",MAX(0,TODAY()-A96))</ns0:f>
        <ns0:v/>
      </ns0:c>
      <ns0:c r="F96" s="9" t="str">
        <ns0:f>IFERROR(MATCH(ROW()-4,'販売記録'!$L$5:$L$1004,0),"")</ns0:f>
        <ns0:v/>
      </ns0:c>
    </ns0:row>
    <ns0:row r="97">
      <ns0:c r="A97" s="11" t="str">
        <ns0:f>IF($F97="","",IF(INDEX('販売記録'!$K$5:$K$1004,$F97)="","",INDEX('販売記録'!$K$5:$K$1004,$F97)))</ns0:f>
        <ns0:v/>
      </ns0:c>
      <ns0:c r="B97" s="9" t="str">
        <ns0:f>IF($F97="","",IF(INDEX('販売記録'!$B$5:$B$1004,$F97)="","",INDEX('販売記録'!$B$5:$B$1004,$F97)))</ns0:f>
        <ns0:v/>
      </ns0:c>
      <ns0:c r="C97" s="9" t="str">
        <ns0:f>IF($F97="","",IF(INDEX('販売記録'!$C$5:$C$1004,$F97)="","",INDEX('販売記録'!$C$5:$C$1004,$F97)))</ns0:f>
        <ns0:v/>
      </ns0:c>
      <ns0:c r="D97" s="8" t="str">
        <ns0:f>IF($F97="","",IF(INDEX('販売記録'!$D$5:$D$1004,$F97)="","",INDEX('販売記録'!$D$5:$D$1004,$F97)))</ns0:f>
        <ns0:v/>
      </ns0:c>
      <ns0:c r="E97" s="12" t="str">
        <ns0:f>IF(OR(A97="",B97=""),"",MAX(0,TODAY()-A97))</ns0:f>
        <ns0:v/>
      </ns0:c>
      <ns0:c r="F97" s="9" t="str">
        <ns0:f>IFERROR(MATCH(ROW()-4,'販売記録'!$L$5:$L$1004,0),"")</ns0:f>
        <ns0:v/>
      </ns0:c>
    </ns0:row>
    <ns0:row r="98">
      <ns0:c r="A98" s="11" t="str">
        <ns0:f>IF($F98="","",IF(INDEX('販売記録'!$K$5:$K$1004,$F98)="","",INDEX('販売記録'!$K$5:$K$1004,$F98)))</ns0:f>
        <ns0:v/>
      </ns0:c>
      <ns0:c r="B98" s="9" t="str">
        <ns0:f>IF($F98="","",IF(INDEX('販売記録'!$B$5:$B$1004,$F98)="","",INDEX('販売記録'!$B$5:$B$1004,$F98)))</ns0:f>
        <ns0:v/>
      </ns0:c>
      <ns0:c r="C98" s="9" t="str">
        <ns0:f>IF($F98="","",IF(INDEX('販売記録'!$C$5:$C$1004,$F98)="","",INDEX('販売記録'!$C$5:$C$1004,$F98)))</ns0:f>
        <ns0:v/>
      </ns0:c>
      <ns0:c r="D98" s="8" t="str">
        <ns0:f>IF($F98="","",IF(INDEX('販売記録'!$D$5:$D$1004,$F98)="","",INDEX('販売記録'!$D$5:$D$1004,$F98)))</ns0:f>
        <ns0:v/>
      </ns0:c>
      <ns0:c r="E98" s="12" t="str">
        <ns0:f>IF(OR(A98="",B98=""),"",MAX(0,TODAY()-A98))</ns0:f>
        <ns0:v/>
      </ns0:c>
      <ns0:c r="F98" s="9" t="str">
        <ns0:f>IFERROR(MATCH(ROW()-4,'販売記録'!$L$5:$L$1004,0),"")</ns0:f>
        <ns0:v/>
      </ns0:c>
    </ns0:row>
    <ns0:row r="99">
      <ns0:c r="A99" s="11" t="str">
        <ns0:f>IF($F99="","",IF(INDEX('販売記録'!$K$5:$K$1004,$F99)="","",INDEX('販売記録'!$K$5:$K$1004,$F99)))</ns0:f>
        <ns0:v/>
      </ns0:c>
      <ns0:c r="B99" s="9" t="str">
        <ns0:f>IF($F99="","",IF(INDEX('販売記録'!$B$5:$B$1004,$F99)="","",INDEX('販売記録'!$B$5:$B$1004,$F99)))</ns0:f>
        <ns0:v/>
      </ns0:c>
      <ns0:c r="C99" s="9" t="str">
        <ns0:f>IF($F99="","",IF(INDEX('販売記録'!$C$5:$C$1004,$F99)="","",INDEX('販売記録'!$C$5:$C$1004,$F99)))</ns0:f>
        <ns0:v/>
      </ns0:c>
      <ns0:c r="D99" s="8" t="str">
        <ns0:f>IF($F99="","",IF(INDEX('販売記録'!$D$5:$D$1004,$F99)="","",INDEX('販売記録'!$D$5:$D$1004,$F99)))</ns0:f>
        <ns0:v/>
      </ns0:c>
      <ns0:c r="E99" s="12" t="str">
        <ns0:f>IF(OR(A99="",B99=""),"",MAX(0,TODAY()-A99))</ns0:f>
        <ns0:v/>
      </ns0:c>
      <ns0:c r="F99" s="9" t="str">
        <ns0:f>IFERROR(MATCH(ROW()-4,'販売記録'!$L$5:$L$1004,0),"")</ns0:f>
        <ns0:v/>
      </ns0:c>
    </ns0:row>
    <ns0:row r="100">
      <ns0:c r="A100" s="11" t="str">
        <ns0:f>IF($F100="","",IF(INDEX('販売記録'!$K$5:$K$1004,$F100)="","",INDEX('販売記録'!$K$5:$K$1004,$F100)))</ns0:f>
        <ns0:v/>
      </ns0:c>
      <ns0:c r="B100" s="9" t="str">
        <ns0:f>IF($F100="","",IF(INDEX('販売記録'!$B$5:$B$1004,$F100)="","",INDEX('販売記録'!$B$5:$B$1004,$F100)))</ns0:f>
        <ns0:v/>
      </ns0:c>
      <ns0:c r="C100" s="9" t="str">
        <ns0:f>IF($F100="","",IF(INDEX('販売記録'!$C$5:$C$1004,$F100)="","",INDEX('販売記録'!$C$5:$C$1004,$F100)))</ns0:f>
        <ns0:v/>
      </ns0:c>
      <ns0:c r="D100" s="8" t="str">
        <ns0:f>IF($F100="","",IF(INDEX('販売記録'!$D$5:$D$1004,$F100)="","",INDEX('販売記録'!$D$5:$D$1004,$F100)))</ns0:f>
        <ns0:v/>
      </ns0:c>
      <ns0:c r="E100" s="12" t="str">
        <ns0:f>IF(OR(A100="",B100=""),"",MAX(0,TODAY()-A100))</ns0:f>
        <ns0:v/>
      </ns0:c>
      <ns0:c r="F100" s="9" t="str">
        <ns0:f>IFERROR(MATCH(ROW()-4,'販売記録'!$L$5:$L$1004,0),"")</ns0:f>
        <ns0:v/>
      </ns0:c>
    </ns0:row>
    <ns0:row r="101">
      <ns0:c r="A101" s="11" t="str">
        <ns0:f>IF($F101="","",IF(INDEX('販売記録'!$K$5:$K$1004,$F101)="","",INDEX('販売記録'!$K$5:$K$1004,$F101)))</ns0:f>
        <ns0:v/>
      </ns0:c>
      <ns0:c r="B101" s="9" t="str">
        <ns0:f>IF($F101="","",IF(INDEX('販売記録'!$B$5:$B$1004,$F101)="","",INDEX('販売記録'!$B$5:$B$1004,$F101)))</ns0:f>
        <ns0:v/>
      </ns0:c>
      <ns0:c r="C101" s="9" t="str">
        <ns0:f>IF($F101="","",IF(INDEX('販売記録'!$C$5:$C$1004,$F101)="","",INDEX('販売記録'!$C$5:$C$1004,$F101)))</ns0:f>
        <ns0:v/>
      </ns0:c>
      <ns0:c r="D101" s="8" t="str">
        <ns0:f>IF($F101="","",IF(INDEX('販売記録'!$D$5:$D$1004,$F101)="","",INDEX('販売記録'!$D$5:$D$1004,$F101)))</ns0:f>
        <ns0:v/>
      </ns0:c>
      <ns0:c r="E101" s="12" t="str">
        <ns0:f>IF(OR(A101="",B101=""),"",MAX(0,TODAY()-A101))</ns0:f>
        <ns0:v/>
      </ns0:c>
      <ns0:c r="F101" s="9" t="str">
        <ns0:f>IFERROR(MATCH(ROW()-4,'販売記録'!$L$5:$L$1004,0),"")</ns0:f>
        <ns0:v/>
      </ns0:c>
    </ns0:row>
    <ns0:row r="102">
      <ns0:c r="A102" s="11" t="str">
        <ns0:f>IF($F102="","",IF(INDEX('販売記録'!$K$5:$K$1004,$F102)="","",INDEX('販売記録'!$K$5:$K$1004,$F102)))</ns0:f>
        <ns0:v/>
      </ns0:c>
      <ns0:c r="B102" s="9" t="str">
        <ns0:f>IF($F102="","",IF(INDEX('販売記録'!$B$5:$B$1004,$F102)="","",INDEX('販売記録'!$B$5:$B$1004,$F102)))</ns0:f>
        <ns0:v/>
      </ns0:c>
      <ns0:c r="C102" s="9" t="str">
        <ns0:f>IF($F102="","",IF(INDEX('販売記録'!$C$5:$C$1004,$F102)="","",INDEX('販売記録'!$C$5:$C$1004,$F102)))</ns0:f>
        <ns0:v/>
      </ns0:c>
      <ns0:c r="D102" s="8" t="str">
        <ns0:f>IF($F102="","",IF(INDEX('販売記録'!$D$5:$D$1004,$F102)="","",INDEX('販売記録'!$D$5:$D$1004,$F102)))</ns0:f>
        <ns0:v/>
      </ns0:c>
      <ns0:c r="E102" s="12" t="str">
        <ns0:f>IF(OR(A102="",B102=""),"",MAX(0,TODAY()-A102))</ns0:f>
        <ns0:v/>
      </ns0:c>
      <ns0:c r="F102" s="9" t="str">
        <ns0:f>IFERROR(MATCH(ROW()-4,'販売記録'!$L$5:$L$1004,0),"")</ns0:f>
        <ns0:v/>
      </ns0:c>
    </ns0:row>
    <ns0:row r="103">
      <ns0:c r="A103" s="11" t="str">
        <ns0:f>IF($F103="","",IF(INDEX('販売記録'!$K$5:$K$1004,$F103)="","",INDEX('販売記録'!$K$5:$K$1004,$F103)))</ns0:f>
        <ns0:v/>
      </ns0:c>
      <ns0:c r="B103" s="9" t="str">
        <ns0:f>IF($F103="","",IF(INDEX('販売記録'!$B$5:$B$1004,$F103)="","",INDEX('販売記録'!$B$5:$B$1004,$F103)))</ns0:f>
        <ns0:v/>
      </ns0:c>
      <ns0:c r="C103" s="9" t="str">
        <ns0:f>IF($F103="","",IF(INDEX('販売記録'!$C$5:$C$1004,$F103)="","",INDEX('販売記録'!$C$5:$C$1004,$F103)))</ns0:f>
        <ns0:v/>
      </ns0:c>
      <ns0:c r="D103" s="8" t="str">
        <ns0:f>IF($F103="","",IF(INDEX('販売記録'!$D$5:$D$1004,$F103)="","",INDEX('販売記録'!$D$5:$D$1004,$F103)))</ns0:f>
        <ns0:v/>
      </ns0:c>
      <ns0:c r="E103" s="12" t="str">
        <ns0:f>IF(OR(A103="",B103=""),"",MAX(0,TODAY()-A103))</ns0:f>
        <ns0:v/>
      </ns0:c>
      <ns0:c r="F103" s="9" t="str">
        <ns0:f>IFERROR(MATCH(ROW()-4,'販売記録'!$L$5:$L$1004,0),"")</ns0:f>
        <ns0:v/>
      </ns0:c>
    </ns0:row>
    <ns0:row r="104">
      <ns0:c r="A104" s="11" t="str">
        <ns0:f>IF($F104="","",IF(INDEX('販売記録'!$K$5:$K$1004,$F104)="","",INDEX('販売記録'!$K$5:$K$1004,$F104)))</ns0:f>
        <ns0:v/>
      </ns0:c>
      <ns0:c r="B104" s="9" t="str">
        <ns0:f>IF($F104="","",IF(INDEX('販売記録'!$B$5:$B$1004,$F104)="","",INDEX('販売記録'!$B$5:$B$1004,$F104)))</ns0:f>
        <ns0:v/>
      </ns0:c>
      <ns0:c r="C104" s="9" t="str">
        <ns0:f>IF($F104="","",IF(INDEX('販売記録'!$C$5:$C$1004,$F104)="","",INDEX('販売記録'!$C$5:$C$1004,$F104)))</ns0:f>
        <ns0:v/>
      </ns0:c>
      <ns0:c r="D104" s="8" t="str">
        <ns0:f>IF($F104="","",IF(INDEX('販売記録'!$D$5:$D$1004,$F104)="","",INDEX('販売記録'!$D$5:$D$1004,$F104)))</ns0:f>
        <ns0:v/>
      </ns0:c>
      <ns0:c r="E104" s="12" t="str">
        <ns0:f>IF(OR(A104="",B104=""),"",MAX(0,TODAY()-A104))</ns0:f>
        <ns0:v/>
      </ns0:c>
      <ns0:c r="F104" s="9" t="str">
        <ns0:f>IFERROR(MATCH(ROW()-4,'販売記録'!$L$5:$L$1004,0),"")</ns0:f>
        <ns0:v/>
      </ns0:c>
    </ns0:row>
    <ns0:row r="105">
      <ns0:c r="A105" s="11" t="str">
        <ns0:f>IF($F105="","",IF(INDEX('販売記録'!$K$5:$K$1004,$F105)="","",INDEX('販売記録'!$K$5:$K$1004,$F105)))</ns0:f>
        <ns0:v/>
      </ns0:c>
      <ns0:c r="B105" s="9" t="str">
        <ns0:f>IF($F105="","",IF(INDEX('販売記録'!$B$5:$B$1004,$F105)="","",INDEX('販売記録'!$B$5:$B$1004,$F105)))</ns0:f>
        <ns0:v/>
      </ns0:c>
      <ns0:c r="C105" s="9" t="str">
        <ns0:f>IF($F105="","",IF(INDEX('販売記録'!$C$5:$C$1004,$F105)="","",INDEX('販売記録'!$C$5:$C$1004,$F105)))</ns0:f>
        <ns0:v/>
      </ns0:c>
      <ns0:c r="D105" s="8" t="str">
        <ns0:f>IF($F105="","",IF(INDEX('販売記録'!$D$5:$D$1004,$F105)="","",INDEX('販売記録'!$D$5:$D$1004,$F105)))</ns0:f>
        <ns0:v/>
      </ns0:c>
      <ns0:c r="E105" s="12" t="str">
        <ns0:f>IF(OR(A105="",B105=""),"",MAX(0,TODAY()-A105))</ns0:f>
        <ns0:v/>
      </ns0:c>
      <ns0:c r="F105" s="9" t="str">
        <ns0:f>IFERROR(MATCH(ROW()-4,'販売記録'!$L$5:$L$1004,0),"")</ns0:f>
        <ns0:v/>
      </ns0:c>
    </ns0:row>
    <ns0:row r="106">
      <ns0:c r="A106" s="11" t="str">
        <ns0:f>IF($F106="","",IF(INDEX('販売記録'!$K$5:$K$1004,$F106)="","",INDEX('販売記録'!$K$5:$K$1004,$F106)))</ns0:f>
        <ns0:v/>
      </ns0:c>
      <ns0:c r="B106" s="9" t="str">
        <ns0:f>IF($F106="","",IF(INDEX('販売記録'!$B$5:$B$1004,$F106)="","",INDEX('販売記録'!$B$5:$B$1004,$F106)))</ns0:f>
        <ns0:v/>
      </ns0:c>
      <ns0:c r="C106" s="9" t="str">
        <ns0:f>IF($F106="","",IF(INDEX('販売記録'!$C$5:$C$1004,$F106)="","",INDEX('販売記録'!$C$5:$C$1004,$F106)))</ns0:f>
        <ns0:v/>
      </ns0:c>
      <ns0:c r="D106" s="8" t="str">
        <ns0:f>IF($F106="","",IF(INDEX('販売記録'!$D$5:$D$1004,$F106)="","",INDEX('販売記録'!$D$5:$D$1004,$F106)))</ns0:f>
        <ns0:v/>
      </ns0:c>
      <ns0:c r="E106" s="12" t="str">
        <ns0:f>IF(OR(A106="",B106=""),"",MAX(0,TODAY()-A106))</ns0:f>
        <ns0:v/>
      </ns0:c>
      <ns0:c r="F106" s="9" t="str">
        <ns0:f>IFERROR(MATCH(ROW()-4,'販売記録'!$L$5:$L$1004,0),"")</ns0:f>
        <ns0:v/>
      </ns0:c>
    </ns0:row>
    <ns0:row r="107">
      <ns0:c r="A107" s="11" t="str">
        <ns0:f>IF($F107="","",IF(INDEX('販売記録'!$K$5:$K$1004,$F107)="","",INDEX('販売記録'!$K$5:$K$1004,$F107)))</ns0:f>
        <ns0:v/>
      </ns0:c>
      <ns0:c r="B107" s="9" t="str">
        <ns0:f>IF($F107="","",IF(INDEX('販売記録'!$B$5:$B$1004,$F107)="","",INDEX('販売記録'!$B$5:$B$1004,$F107)))</ns0:f>
        <ns0:v/>
      </ns0:c>
      <ns0:c r="C107" s="9" t="str">
        <ns0:f>IF($F107="","",IF(INDEX('販売記録'!$C$5:$C$1004,$F107)="","",INDEX('販売記録'!$C$5:$C$1004,$F107)))</ns0:f>
        <ns0:v/>
      </ns0:c>
      <ns0:c r="D107" s="8" t="str">
        <ns0:f>IF($F107="","",IF(INDEX('販売記録'!$D$5:$D$1004,$F107)="","",INDEX('販売記録'!$D$5:$D$1004,$F107)))</ns0:f>
        <ns0:v/>
      </ns0:c>
      <ns0:c r="E107" s="12" t="str">
        <ns0:f>IF(OR(A107="",B107=""),"",MAX(0,TODAY()-A107))</ns0:f>
        <ns0:v/>
      </ns0:c>
      <ns0:c r="F107" s="9" t="str">
        <ns0:f>IFERROR(MATCH(ROW()-4,'販売記録'!$L$5:$L$1004,0),"")</ns0:f>
        <ns0:v/>
      </ns0:c>
    </ns0:row>
    <ns0:row r="108">
      <ns0:c r="A108" s="11" t="str">
        <ns0:f>IF($F108="","",IF(INDEX('販売記録'!$K$5:$K$1004,$F108)="","",INDEX('販売記録'!$K$5:$K$1004,$F108)))</ns0:f>
        <ns0:v/>
      </ns0:c>
      <ns0:c r="B108" s="9" t="str">
        <ns0:f>IF($F108="","",IF(INDEX('販売記録'!$B$5:$B$1004,$F108)="","",INDEX('販売記録'!$B$5:$B$1004,$F108)))</ns0:f>
        <ns0:v/>
      </ns0:c>
      <ns0:c r="C108" s="9" t="str">
        <ns0:f>IF($F108="","",IF(INDEX('販売記録'!$C$5:$C$1004,$F108)="","",INDEX('販売記録'!$C$5:$C$1004,$F108)))</ns0:f>
        <ns0:v/>
      </ns0:c>
      <ns0:c r="D108" s="8" t="str">
        <ns0:f>IF($F108="","",IF(INDEX('販売記録'!$D$5:$D$1004,$F108)="","",INDEX('販売記録'!$D$5:$D$1004,$F108)))</ns0:f>
        <ns0:v/>
      </ns0:c>
      <ns0:c r="E108" s="12" t="str">
        <ns0:f>IF(OR(A108="",B108=""),"",MAX(0,TODAY()-A108))</ns0:f>
        <ns0:v/>
      </ns0:c>
      <ns0:c r="F108" s="9" t="str">
        <ns0:f>IFERROR(MATCH(ROW()-4,'販売記録'!$L$5:$L$1004,0),"")</ns0:f>
        <ns0:v/>
      </ns0:c>
    </ns0:row>
    <ns0:row r="109">
      <ns0:c r="A109" s="11" t="str">
        <ns0:f>IF($F109="","",IF(INDEX('販売記録'!$K$5:$K$1004,$F109)="","",INDEX('販売記録'!$K$5:$K$1004,$F109)))</ns0:f>
        <ns0:v/>
      </ns0:c>
      <ns0:c r="B109" s="9" t="str">
        <ns0:f>IF($F109="","",IF(INDEX('販売記録'!$B$5:$B$1004,$F109)="","",INDEX('販売記録'!$B$5:$B$1004,$F109)))</ns0:f>
        <ns0:v/>
      </ns0:c>
      <ns0:c r="C109" s="9" t="str">
        <ns0:f>IF($F109="","",IF(INDEX('販売記録'!$C$5:$C$1004,$F109)="","",INDEX('販売記録'!$C$5:$C$1004,$F109)))</ns0:f>
        <ns0:v/>
      </ns0:c>
      <ns0:c r="D109" s="8" t="str">
        <ns0:f>IF($F109="","",IF(INDEX('販売記録'!$D$5:$D$1004,$F109)="","",INDEX('販売記録'!$D$5:$D$1004,$F109)))</ns0:f>
        <ns0:v/>
      </ns0:c>
      <ns0:c r="E109" s="12" t="str">
        <ns0:f>IF(OR(A109="",B109=""),"",MAX(0,TODAY()-A109))</ns0:f>
        <ns0:v/>
      </ns0:c>
      <ns0:c r="F109" s="9" t="str">
        <ns0:f>IFERROR(MATCH(ROW()-4,'販売記録'!$L$5:$L$1004,0),"")</ns0:f>
        <ns0:v/>
      </ns0:c>
    </ns0:row>
    <ns0:row r="110">
      <ns0:c r="A110" s="11" t="str">
        <ns0:f>IF($F110="","",IF(INDEX('販売記録'!$K$5:$K$1004,$F110)="","",INDEX('販売記録'!$K$5:$K$1004,$F110)))</ns0:f>
        <ns0:v/>
      </ns0:c>
      <ns0:c r="B110" s="9" t="str">
        <ns0:f>IF($F110="","",IF(INDEX('販売記録'!$B$5:$B$1004,$F110)="","",INDEX('販売記録'!$B$5:$B$1004,$F110)))</ns0:f>
        <ns0:v/>
      </ns0:c>
      <ns0:c r="C110" s="9" t="str">
        <ns0:f>IF($F110="","",IF(INDEX('販売記録'!$C$5:$C$1004,$F110)="","",INDEX('販売記録'!$C$5:$C$1004,$F110)))</ns0:f>
        <ns0:v/>
      </ns0:c>
      <ns0:c r="D110" s="8" t="str">
        <ns0:f>IF($F110="","",IF(INDEX('販売記録'!$D$5:$D$1004,$F110)="","",INDEX('販売記録'!$D$5:$D$1004,$F110)))</ns0:f>
        <ns0:v/>
      </ns0:c>
      <ns0:c r="E110" s="12" t="str">
        <ns0:f>IF(OR(A110="",B110=""),"",MAX(0,TODAY()-A110))</ns0:f>
        <ns0:v/>
      </ns0:c>
      <ns0:c r="F110" s="9" t="str">
        <ns0:f>IFERROR(MATCH(ROW()-4,'販売記録'!$L$5:$L$1004,0),"")</ns0:f>
        <ns0:v/>
      </ns0:c>
    </ns0:row>
    <ns0:row r="111">
      <ns0:c r="A111" s="11" t="str">
        <ns0:f>IF($F111="","",IF(INDEX('販売記録'!$K$5:$K$1004,$F111)="","",INDEX('販売記録'!$K$5:$K$1004,$F111)))</ns0:f>
        <ns0:v/>
      </ns0:c>
      <ns0:c r="B111" s="9" t="str">
        <ns0:f>IF($F111="","",IF(INDEX('販売記録'!$B$5:$B$1004,$F111)="","",INDEX('販売記録'!$B$5:$B$1004,$F111)))</ns0:f>
        <ns0:v/>
      </ns0:c>
      <ns0:c r="C111" s="9" t="str">
        <ns0:f>IF($F111="","",IF(INDEX('販売記録'!$C$5:$C$1004,$F111)="","",INDEX('販売記録'!$C$5:$C$1004,$F111)))</ns0:f>
        <ns0:v/>
      </ns0:c>
      <ns0:c r="D111" s="8" t="str">
        <ns0:f>IF($F111="","",IF(INDEX('販売記録'!$D$5:$D$1004,$F111)="","",INDEX('販売記録'!$D$5:$D$1004,$F111)))</ns0:f>
        <ns0:v/>
      </ns0:c>
      <ns0:c r="E111" s="12" t="str">
        <ns0:f>IF(OR(A111="",B111=""),"",MAX(0,TODAY()-A111))</ns0:f>
        <ns0:v/>
      </ns0:c>
      <ns0:c r="F111" s="9" t="str">
        <ns0:f>IFERROR(MATCH(ROW()-4,'販売記録'!$L$5:$L$1004,0),"")</ns0:f>
        <ns0:v/>
      </ns0:c>
    </ns0:row>
    <ns0:row r="112">
      <ns0:c r="A112" s="11" t="str">
        <ns0:f>IF($F112="","",IF(INDEX('販売記録'!$K$5:$K$1004,$F112)="","",INDEX('販売記録'!$K$5:$K$1004,$F112)))</ns0:f>
        <ns0:v/>
      </ns0:c>
      <ns0:c r="B112" s="9" t="str">
        <ns0:f>IF($F112="","",IF(INDEX('販売記録'!$B$5:$B$1004,$F112)="","",INDEX('販売記録'!$B$5:$B$1004,$F112)))</ns0:f>
        <ns0:v/>
      </ns0:c>
      <ns0:c r="C112" s="9" t="str">
        <ns0:f>IF($F112="","",IF(INDEX('販売記録'!$C$5:$C$1004,$F112)="","",INDEX('販売記録'!$C$5:$C$1004,$F112)))</ns0:f>
        <ns0:v/>
      </ns0:c>
      <ns0:c r="D112" s="8" t="str">
        <ns0:f>IF($F112="","",IF(INDEX('販売記録'!$D$5:$D$1004,$F112)="","",INDEX('販売記録'!$D$5:$D$1004,$F112)))</ns0:f>
        <ns0:v/>
      </ns0:c>
      <ns0:c r="E112" s="12" t="str">
        <ns0:f>IF(OR(A112="",B112=""),"",MAX(0,TODAY()-A112))</ns0:f>
        <ns0:v/>
      </ns0:c>
      <ns0:c r="F112" s="9" t="str">
        <ns0:f>IFERROR(MATCH(ROW()-4,'販売記録'!$L$5:$L$1004,0),"")</ns0:f>
        <ns0:v/>
      </ns0:c>
    </ns0:row>
    <ns0:row r="113">
      <ns0:c r="A113" s="11" t="str">
        <ns0:f>IF($F113="","",IF(INDEX('販売記録'!$K$5:$K$1004,$F113)="","",INDEX('販売記録'!$K$5:$K$1004,$F113)))</ns0:f>
        <ns0:v/>
      </ns0:c>
      <ns0:c r="B113" s="9" t="str">
        <ns0:f>IF($F113="","",IF(INDEX('販売記録'!$B$5:$B$1004,$F113)="","",INDEX('販売記録'!$B$5:$B$1004,$F113)))</ns0:f>
        <ns0:v/>
      </ns0:c>
      <ns0:c r="C113" s="9" t="str">
        <ns0:f>IF($F113="","",IF(INDEX('販売記録'!$C$5:$C$1004,$F113)="","",INDEX('販売記録'!$C$5:$C$1004,$F113)))</ns0:f>
        <ns0:v/>
      </ns0:c>
      <ns0:c r="D113" s="8" t="str">
        <ns0:f>IF($F113="","",IF(INDEX('販売記録'!$D$5:$D$1004,$F113)="","",INDEX('販売記録'!$D$5:$D$1004,$F113)))</ns0:f>
        <ns0:v/>
      </ns0:c>
      <ns0:c r="E113" s="12" t="str">
        <ns0:f>IF(OR(A113="",B113=""),"",MAX(0,TODAY()-A113))</ns0:f>
        <ns0:v/>
      </ns0:c>
      <ns0:c r="F113" s="9" t="str">
        <ns0:f>IFERROR(MATCH(ROW()-4,'販売記録'!$L$5:$L$1004,0),"")</ns0:f>
        <ns0:v/>
      </ns0:c>
    </ns0:row>
    <ns0:row r="114">
      <ns0:c r="A114" s="11" t="str">
        <ns0:f>IF($F114="","",IF(INDEX('販売記録'!$K$5:$K$1004,$F114)="","",INDEX('販売記録'!$K$5:$K$1004,$F114)))</ns0:f>
        <ns0:v/>
      </ns0:c>
      <ns0:c r="B114" s="9" t="str">
        <ns0:f>IF($F114="","",IF(INDEX('販売記録'!$B$5:$B$1004,$F114)="","",INDEX('販売記録'!$B$5:$B$1004,$F114)))</ns0:f>
        <ns0:v/>
      </ns0:c>
      <ns0:c r="C114" s="9" t="str">
        <ns0:f>IF($F114="","",IF(INDEX('販売記録'!$C$5:$C$1004,$F114)="","",INDEX('販売記録'!$C$5:$C$1004,$F114)))</ns0:f>
        <ns0:v/>
      </ns0:c>
      <ns0:c r="D114" s="8" t="str">
        <ns0:f>IF($F114="","",IF(INDEX('販売記録'!$D$5:$D$1004,$F114)="","",INDEX('販売記録'!$D$5:$D$1004,$F114)))</ns0:f>
        <ns0:v/>
      </ns0:c>
      <ns0:c r="E114" s="12" t="str">
        <ns0:f>IF(OR(A114="",B114=""),"",MAX(0,TODAY()-A114))</ns0:f>
        <ns0:v/>
      </ns0:c>
      <ns0:c r="F114" s="9" t="str">
        <ns0:f>IFERROR(MATCH(ROW()-4,'販売記録'!$L$5:$L$1004,0),"")</ns0:f>
        <ns0:v/>
      </ns0:c>
    </ns0:row>
    <ns0:row r="115">
      <ns0:c r="A115" s="11" t="str">
        <ns0:f>IF($F115="","",IF(INDEX('販売記録'!$K$5:$K$1004,$F115)="","",INDEX('販売記録'!$K$5:$K$1004,$F115)))</ns0:f>
        <ns0:v/>
      </ns0:c>
      <ns0:c r="B115" s="9" t="str">
        <ns0:f>IF($F115="","",IF(INDEX('販売記録'!$B$5:$B$1004,$F115)="","",INDEX('販売記録'!$B$5:$B$1004,$F115)))</ns0:f>
        <ns0:v/>
      </ns0:c>
      <ns0:c r="C115" s="9" t="str">
        <ns0:f>IF($F115="","",IF(INDEX('販売記録'!$C$5:$C$1004,$F115)="","",INDEX('販売記録'!$C$5:$C$1004,$F115)))</ns0:f>
        <ns0:v/>
      </ns0:c>
      <ns0:c r="D115" s="8" t="str">
        <ns0:f>IF($F115="","",IF(INDEX('販売記録'!$D$5:$D$1004,$F115)="","",INDEX('販売記録'!$D$5:$D$1004,$F115)))</ns0:f>
        <ns0:v/>
      </ns0:c>
      <ns0:c r="E115" s="12" t="str">
        <ns0:f>IF(OR(A115="",B115=""),"",MAX(0,TODAY()-A115))</ns0:f>
        <ns0:v/>
      </ns0:c>
      <ns0:c r="F115" s="9" t="str">
        <ns0:f>IFERROR(MATCH(ROW()-4,'販売記録'!$L$5:$L$1004,0),"")</ns0:f>
        <ns0:v/>
      </ns0:c>
    </ns0:row>
    <ns0:row r="116">
      <ns0:c r="A116" s="11" t="str">
        <ns0:f>IF($F116="","",IF(INDEX('販売記録'!$K$5:$K$1004,$F116)="","",INDEX('販売記録'!$K$5:$K$1004,$F116)))</ns0:f>
        <ns0:v/>
      </ns0:c>
      <ns0:c r="B116" s="9" t="str">
        <ns0:f>IF($F116="","",IF(INDEX('販売記録'!$B$5:$B$1004,$F116)="","",INDEX('販売記録'!$B$5:$B$1004,$F116)))</ns0:f>
        <ns0:v/>
      </ns0:c>
      <ns0:c r="C116" s="9" t="str">
        <ns0:f>IF($F116="","",IF(INDEX('販売記録'!$C$5:$C$1004,$F116)="","",INDEX('販売記録'!$C$5:$C$1004,$F116)))</ns0:f>
        <ns0:v/>
      </ns0:c>
      <ns0:c r="D116" s="8" t="str">
        <ns0:f>IF($F116="","",IF(INDEX('販売記録'!$D$5:$D$1004,$F116)="","",INDEX('販売記録'!$D$5:$D$1004,$F116)))</ns0:f>
        <ns0:v/>
      </ns0:c>
      <ns0:c r="E116" s="12" t="str">
        <ns0:f>IF(OR(A116="",B116=""),"",MAX(0,TODAY()-A116))</ns0:f>
        <ns0:v/>
      </ns0:c>
      <ns0:c r="F116" s="9" t="str">
        <ns0:f>IFERROR(MATCH(ROW()-4,'販売記録'!$L$5:$L$1004,0),"")</ns0:f>
        <ns0:v/>
      </ns0:c>
    </ns0:row>
    <ns0:row r="117">
      <ns0:c r="A117" s="11" t="str">
        <ns0:f>IF($F117="","",IF(INDEX('販売記録'!$K$5:$K$1004,$F117)="","",INDEX('販売記録'!$K$5:$K$1004,$F117)))</ns0:f>
        <ns0:v/>
      </ns0:c>
      <ns0:c r="B117" s="9" t="str">
        <ns0:f>IF($F117="","",IF(INDEX('販売記録'!$B$5:$B$1004,$F117)="","",INDEX('販売記録'!$B$5:$B$1004,$F117)))</ns0:f>
        <ns0:v/>
      </ns0:c>
      <ns0:c r="C117" s="9" t="str">
        <ns0:f>IF($F117="","",IF(INDEX('販売記録'!$C$5:$C$1004,$F117)="","",INDEX('販売記録'!$C$5:$C$1004,$F117)))</ns0:f>
        <ns0:v/>
      </ns0:c>
      <ns0:c r="D117" s="8" t="str">
        <ns0:f>IF($F117="","",IF(INDEX('販売記録'!$D$5:$D$1004,$F117)="","",INDEX('販売記録'!$D$5:$D$1004,$F117)))</ns0:f>
        <ns0:v/>
      </ns0:c>
      <ns0:c r="E117" s="12" t="str">
        <ns0:f>IF(OR(A117="",B117=""),"",MAX(0,TODAY()-A117))</ns0:f>
        <ns0:v/>
      </ns0:c>
      <ns0:c r="F117" s="9" t="str">
        <ns0:f>IFERROR(MATCH(ROW()-4,'販売記録'!$L$5:$L$1004,0),"")</ns0:f>
        <ns0:v/>
      </ns0:c>
    </ns0:row>
    <ns0:row r="118">
      <ns0:c r="A118" s="11" t="str">
        <ns0:f>IF($F118="","",IF(INDEX('販売記録'!$K$5:$K$1004,$F118)="","",INDEX('販売記録'!$K$5:$K$1004,$F118)))</ns0:f>
        <ns0:v/>
      </ns0:c>
      <ns0:c r="B118" s="9" t="str">
        <ns0:f>IF($F118="","",IF(INDEX('販売記録'!$B$5:$B$1004,$F118)="","",INDEX('販売記録'!$B$5:$B$1004,$F118)))</ns0:f>
        <ns0:v/>
      </ns0:c>
      <ns0:c r="C118" s="9" t="str">
        <ns0:f>IF($F118="","",IF(INDEX('販売記録'!$C$5:$C$1004,$F118)="","",INDEX('販売記録'!$C$5:$C$1004,$F118)))</ns0:f>
        <ns0:v/>
      </ns0:c>
      <ns0:c r="D118" s="8" t="str">
        <ns0:f>IF($F118="","",IF(INDEX('販売記録'!$D$5:$D$1004,$F118)="","",INDEX('販売記録'!$D$5:$D$1004,$F118)))</ns0:f>
        <ns0:v/>
      </ns0:c>
      <ns0:c r="E118" s="12" t="str">
        <ns0:f>IF(OR(A118="",B118=""),"",MAX(0,TODAY()-A118))</ns0:f>
        <ns0:v/>
      </ns0:c>
      <ns0:c r="F118" s="9" t="str">
        <ns0:f>IFERROR(MATCH(ROW()-4,'販売記録'!$L$5:$L$1004,0),"")</ns0:f>
        <ns0:v/>
      </ns0:c>
    </ns0:row>
    <ns0:row r="119">
      <ns0:c r="A119" s="11" t="str">
        <ns0:f>IF($F119="","",IF(INDEX('販売記録'!$K$5:$K$1004,$F119)="","",INDEX('販売記録'!$K$5:$K$1004,$F119)))</ns0:f>
        <ns0:v/>
      </ns0:c>
      <ns0:c r="B119" s="9" t="str">
        <ns0:f>IF($F119="","",IF(INDEX('販売記録'!$B$5:$B$1004,$F119)="","",INDEX('販売記録'!$B$5:$B$1004,$F119)))</ns0:f>
        <ns0:v/>
      </ns0:c>
      <ns0:c r="C119" s="9" t="str">
        <ns0:f>IF($F119="","",IF(INDEX('販売記録'!$C$5:$C$1004,$F119)="","",INDEX('販売記録'!$C$5:$C$1004,$F119)))</ns0:f>
        <ns0:v/>
      </ns0:c>
      <ns0:c r="D119" s="8" t="str">
        <ns0:f>IF($F119="","",IF(INDEX('販売記録'!$D$5:$D$1004,$F119)="","",INDEX('販売記録'!$D$5:$D$1004,$F119)))</ns0:f>
        <ns0:v/>
      </ns0:c>
      <ns0:c r="E119" s="12" t="str">
        <ns0:f>IF(OR(A119="",B119=""),"",MAX(0,TODAY()-A119))</ns0:f>
        <ns0:v/>
      </ns0:c>
      <ns0:c r="F119" s="9" t="str">
        <ns0:f>IFERROR(MATCH(ROW()-4,'販売記録'!$L$5:$L$1004,0),"")</ns0:f>
        <ns0:v/>
      </ns0:c>
    </ns0:row>
    <ns0:row r="120">
      <ns0:c r="A120" s="11" t="str">
        <ns0:f>IF($F120="","",IF(INDEX('販売記録'!$K$5:$K$1004,$F120)="","",INDEX('販売記録'!$K$5:$K$1004,$F120)))</ns0:f>
        <ns0:v/>
      </ns0:c>
      <ns0:c r="B120" s="9" t="str">
        <ns0:f>IF($F120="","",IF(INDEX('販売記録'!$B$5:$B$1004,$F120)="","",INDEX('販売記録'!$B$5:$B$1004,$F120)))</ns0:f>
        <ns0:v/>
      </ns0:c>
      <ns0:c r="C120" s="9" t="str">
        <ns0:f>IF($F120="","",IF(INDEX('販売記録'!$C$5:$C$1004,$F120)="","",INDEX('販売記録'!$C$5:$C$1004,$F120)))</ns0:f>
        <ns0:v/>
      </ns0:c>
      <ns0:c r="D120" s="8" t="str">
        <ns0:f>IF($F120="","",IF(INDEX('販売記録'!$D$5:$D$1004,$F120)="","",INDEX('販売記録'!$D$5:$D$1004,$F120)))</ns0:f>
        <ns0:v/>
      </ns0:c>
      <ns0:c r="E120" s="12" t="str">
        <ns0:f>IF(OR(A120="",B120=""),"",MAX(0,TODAY()-A120))</ns0:f>
        <ns0:v/>
      </ns0:c>
      <ns0:c r="F120" s="9" t="str">
        <ns0:f>IFERROR(MATCH(ROW()-4,'販売記録'!$L$5:$L$1004,0),"")</ns0:f>
        <ns0:v/>
      </ns0:c>
    </ns0:row>
    <ns0:row r="121">
      <ns0:c r="A121" s="11" t="str">
        <ns0:f>IF($F121="","",IF(INDEX('販売記録'!$K$5:$K$1004,$F121)="","",INDEX('販売記録'!$K$5:$K$1004,$F121)))</ns0:f>
        <ns0:v/>
      </ns0:c>
      <ns0:c r="B121" s="9" t="str">
        <ns0:f>IF($F121="","",IF(INDEX('販売記録'!$B$5:$B$1004,$F121)="","",INDEX('販売記録'!$B$5:$B$1004,$F121)))</ns0:f>
        <ns0:v/>
      </ns0:c>
      <ns0:c r="C121" s="9" t="str">
        <ns0:f>IF($F121="","",IF(INDEX('販売記録'!$C$5:$C$1004,$F121)="","",INDEX('販売記録'!$C$5:$C$1004,$F121)))</ns0:f>
        <ns0:v/>
      </ns0:c>
      <ns0:c r="D121" s="8" t="str">
        <ns0:f>IF($F121="","",IF(INDEX('販売記録'!$D$5:$D$1004,$F121)="","",INDEX('販売記録'!$D$5:$D$1004,$F121)))</ns0:f>
        <ns0:v/>
      </ns0:c>
      <ns0:c r="E121" s="12" t="str">
        <ns0:f>IF(OR(A121="",B121=""),"",MAX(0,TODAY()-A121))</ns0:f>
        <ns0:v/>
      </ns0:c>
      <ns0:c r="F121" s="9" t="str">
        <ns0:f>IFERROR(MATCH(ROW()-4,'販売記録'!$L$5:$L$1004,0),"")</ns0:f>
        <ns0:v/>
      </ns0:c>
    </ns0:row>
    <ns0:row r="122">
      <ns0:c r="A122" s="11" t="str">
        <ns0:f>IF($F122="","",IF(INDEX('販売記録'!$K$5:$K$1004,$F122)="","",INDEX('販売記録'!$K$5:$K$1004,$F122)))</ns0:f>
        <ns0:v/>
      </ns0:c>
      <ns0:c r="B122" s="9" t="str">
        <ns0:f>IF($F122="","",IF(INDEX('販売記録'!$B$5:$B$1004,$F122)="","",INDEX('販売記録'!$B$5:$B$1004,$F122)))</ns0:f>
        <ns0:v/>
      </ns0:c>
      <ns0:c r="C122" s="9" t="str">
        <ns0:f>IF($F122="","",IF(INDEX('販売記録'!$C$5:$C$1004,$F122)="","",INDEX('販売記録'!$C$5:$C$1004,$F122)))</ns0:f>
        <ns0:v/>
      </ns0:c>
      <ns0:c r="D122" s="8" t="str">
        <ns0:f>IF($F122="","",IF(INDEX('販売記録'!$D$5:$D$1004,$F122)="","",INDEX('販売記録'!$D$5:$D$1004,$F122)))</ns0:f>
        <ns0:v/>
      </ns0:c>
      <ns0:c r="E122" s="12" t="str">
        <ns0:f>IF(OR(A122="",B122=""),"",MAX(0,TODAY()-A122))</ns0:f>
        <ns0:v/>
      </ns0:c>
      <ns0:c r="F122" s="9" t="str">
        <ns0:f>IFERROR(MATCH(ROW()-4,'販売記録'!$L$5:$L$1004,0),"")</ns0:f>
        <ns0:v/>
      </ns0:c>
    </ns0:row>
    <ns0:row r="123">
      <ns0:c r="A123" s="11" t="str">
        <ns0:f>IF($F123="","",IF(INDEX('販売記録'!$K$5:$K$1004,$F123)="","",INDEX('販売記録'!$K$5:$K$1004,$F123)))</ns0:f>
        <ns0:v/>
      </ns0:c>
      <ns0:c r="B123" s="9" t="str">
        <ns0:f>IF($F123="","",IF(INDEX('販売記録'!$B$5:$B$1004,$F123)="","",INDEX('販売記録'!$B$5:$B$1004,$F123)))</ns0:f>
        <ns0:v/>
      </ns0:c>
      <ns0:c r="C123" s="9" t="str">
        <ns0:f>IF($F123="","",IF(INDEX('販売記録'!$C$5:$C$1004,$F123)="","",INDEX('販売記録'!$C$5:$C$1004,$F123)))</ns0:f>
        <ns0:v/>
      </ns0:c>
      <ns0:c r="D123" s="8" t="str">
        <ns0:f>IF($F123="","",IF(INDEX('販売記録'!$D$5:$D$1004,$F123)="","",INDEX('販売記録'!$D$5:$D$1004,$F123)))</ns0:f>
        <ns0:v/>
      </ns0:c>
      <ns0:c r="E123" s="12" t="str">
        <ns0:f>IF(OR(A123="",B123=""),"",MAX(0,TODAY()-A123))</ns0:f>
        <ns0:v/>
      </ns0:c>
      <ns0:c r="F123" s="9" t="str">
        <ns0:f>IFERROR(MATCH(ROW()-4,'販売記録'!$L$5:$L$1004,0),"")</ns0:f>
        <ns0:v/>
      </ns0:c>
    </ns0:row>
    <ns0:row r="124">
      <ns0:c r="A124" s="11" t="str">
        <ns0:f>IF($F124="","",IF(INDEX('販売記録'!$K$5:$K$1004,$F124)="","",INDEX('販売記録'!$K$5:$K$1004,$F124)))</ns0:f>
        <ns0:v/>
      </ns0:c>
      <ns0:c r="B124" s="9" t="str">
        <ns0:f>IF($F124="","",IF(INDEX('販売記録'!$B$5:$B$1004,$F124)="","",INDEX('販売記録'!$B$5:$B$1004,$F124)))</ns0:f>
        <ns0:v/>
      </ns0:c>
      <ns0:c r="C124" s="9" t="str">
        <ns0:f>IF($F124="","",IF(INDEX('販売記録'!$C$5:$C$1004,$F124)="","",INDEX('販売記録'!$C$5:$C$1004,$F124)))</ns0:f>
        <ns0:v/>
      </ns0:c>
      <ns0:c r="D124" s="8" t="str">
        <ns0:f>IF($F124="","",IF(INDEX('販売記録'!$D$5:$D$1004,$F124)="","",INDEX('販売記録'!$D$5:$D$1004,$F124)))</ns0:f>
        <ns0:v/>
      </ns0:c>
      <ns0:c r="E124" s="12" t="str">
        <ns0:f>IF(OR(A124="",B124=""),"",MAX(0,TODAY()-A124))</ns0:f>
        <ns0:v/>
      </ns0:c>
      <ns0:c r="F124" s="9" t="str">
        <ns0:f>IFERROR(MATCH(ROW()-4,'販売記録'!$L$5:$L$1004,0),"")</ns0:f>
        <ns0:v/>
      </ns0:c>
    </ns0:row>
    <ns0:row r="125">
      <ns0:c r="A125" s="11" t="str">
        <ns0:f>IF($F125="","",IF(INDEX('販売記録'!$K$5:$K$1004,$F125)="","",INDEX('販売記録'!$K$5:$K$1004,$F125)))</ns0:f>
        <ns0:v/>
      </ns0:c>
      <ns0:c r="B125" s="9" t="str">
        <ns0:f>IF($F125="","",IF(INDEX('販売記録'!$B$5:$B$1004,$F125)="","",INDEX('販売記録'!$B$5:$B$1004,$F125)))</ns0:f>
        <ns0:v/>
      </ns0:c>
      <ns0:c r="C125" s="9" t="str">
        <ns0:f>IF($F125="","",IF(INDEX('販売記録'!$C$5:$C$1004,$F125)="","",INDEX('販売記録'!$C$5:$C$1004,$F125)))</ns0:f>
        <ns0:v/>
      </ns0:c>
      <ns0:c r="D125" s="8" t="str">
        <ns0:f>IF($F125="","",IF(INDEX('販売記録'!$D$5:$D$1004,$F125)="","",INDEX('販売記録'!$D$5:$D$1004,$F125)))</ns0:f>
        <ns0:v/>
      </ns0:c>
      <ns0:c r="E125" s="12" t="str">
        <ns0:f>IF(OR(A125="",B125=""),"",MAX(0,TODAY()-A125))</ns0:f>
        <ns0:v/>
      </ns0:c>
      <ns0:c r="F125" s="9" t="str">
        <ns0:f>IFERROR(MATCH(ROW()-4,'販売記録'!$L$5:$L$1004,0),"")</ns0:f>
        <ns0:v/>
      </ns0:c>
    </ns0:row>
    <ns0:row r="126">
      <ns0:c r="A126" s="11" t="str">
        <ns0:f>IF($F126="","",IF(INDEX('販売記録'!$K$5:$K$1004,$F126)="","",INDEX('販売記録'!$K$5:$K$1004,$F126)))</ns0:f>
        <ns0:v/>
      </ns0:c>
      <ns0:c r="B126" s="9" t="str">
        <ns0:f>IF($F126="","",IF(INDEX('販売記録'!$B$5:$B$1004,$F126)="","",INDEX('販売記録'!$B$5:$B$1004,$F126)))</ns0:f>
        <ns0:v/>
      </ns0:c>
      <ns0:c r="C126" s="9" t="str">
        <ns0:f>IF($F126="","",IF(INDEX('販売記録'!$C$5:$C$1004,$F126)="","",INDEX('販売記録'!$C$5:$C$1004,$F126)))</ns0:f>
        <ns0:v/>
      </ns0:c>
      <ns0:c r="D126" s="8" t="str">
        <ns0:f>IF($F126="","",IF(INDEX('販売記録'!$D$5:$D$1004,$F126)="","",INDEX('販売記録'!$D$5:$D$1004,$F126)))</ns0:f>
        <ns0:v/>
      </ns0:c>
      <ns0:c r="E126" s="12" t="str">
        <ns0:f>IF(OR(A126="",B126=""),"",MAX(0,TODAY()-A126))</ns0:f>
        <ns0:v/>
      </ns0:c>
      <ns0:c r="F126" s="9" t="str">
        <ns0:f>IFERROR(MATCH(ROW()-4,'販売記録'!$L$5:$L$1004,0),"")</ns0:f>
        <ns0:v/>
      </ns0:c>
    </ns0:row>
    <ns0:row r="127">
      <ns0:c r="A127" s="11" t="str">
        <ns0:f>IF($F127="","",IF(INDEX('販売記録'!$K$5:$K$1004,$F127)="","",INDEX('販売記録'!$K$5:$K$1004,$F127)))</ns0:f>
        <ns0:v/>
      </ns0:c>
      <ns0:c r="B127" s="9" t="str">
        <ns0:f>IF($F127="","",IF(INDEX('販売記録'!$B$5:$B$1004,$F127)="","",INDEX('販売記録'!$B$5:$B$1004,$F127)))</ns0:f>
        <ns0:v/>
      </ns0:c>
      <ns0:c r="C127" s="9" t="str">
        <ns0:f>IF($F127="","",IF(INDEX('販売記録'!$C$5:$C$1004,$F127)="","",INDEX('販売記録'!$C$5:$C$1004,$F127)))</ns0:f>
        <ns0:v/>
      </ns0:c>
      <ns0:c r="D127" s="8" t="str">
        <ns0:f>IF($F127="","",IF(INDEX('販売記録'!$D$5:$D$1004,$F127)="","",INDEX('販売記録'!$D$5:$D$1004,$F127)))</ns0:f>
        <ns0:v/>
      </ns0:c>
      <ns0:c r="E127" s="12" t="str">
        <ns0:f>IF(OR(A127="",B127=""),"",MAX(0,TODAY()-A127))</ns0:f>
        <ns0:v/>
      </ns0:c>
      <ns0:c r="F127" s="9" t="str">
        <ns0:f>IFERROR(MATCH(ROW()-4,'販売記録'!$L$5:$L$1004,0),"")</ns0:f>
        <ns0:v/>
      </ns0:c>
    </ns0:row>
    <ns0:row r="128">
      <ns0:c r="A128" s="11" t="str">
        <ns0:f>IF($F128="","",IF(INDEX('販売記録'!$K$5:$K$1004,$F128)="","",INDEX('販売記録'!$K$5:$K$1004,$F128)))</ns0:f>
        <ns0:v/>
      </ns0:c>
      <ns0:c r="B128" s="9" t="str">
        <ns0:f>IF($F128="","",IF(INDEX('販売記録'!$B$5:$B$1004,$F128)="","",INDEX('販売記録'!$B$5:$B$1004,$F128)))</ns0:f>
        <ns0:v/>
      </ns0:c>
      <ns0:c r="C128" s="9" t="str">
        <ns0:f>IF($F128="","",IF(INDEX('販売記録'!$C$5:$C$1004,$F128)="","",INDEX('販売記録'!$C$5:$C$1004,$F128)))</ns0:f>
        <ns0:v/>
      </ns0:c>
      <ns0:c r="D128" s="8" t="str">
        <ns0:f>IF($F128="","",IF(INDEX('販売記録'!$D$5:$D$1004,$F128)="","",INDEX('販売記録'!$D$5:$D$1004,$F128)))</ns0:f>
        <ns0:v/>
      </ns0:c>
      <ns0:c r="E128" s="12" t="str">
        <ns0:f>IF(OR(A128="",B128=""),"",MAX(0,TODAY()-A128))</ns0:f>
        <ns0:v/>
      </ns0:c>
      <ns0:c r="F128" s="9" t="str">
        <ns0:f>IFERROR(MATCH(ROW()-4,'販売記録'!$L$5:$L$1004,0),"")</ns0:f>
        <ns0:v/>
      </ns0:c>
    </ns0:row>
    <ns0:row r="129">
      <ns0:c r="A129" s="11" t="str">
        <ns0:f>IF($F129="","",IF(INDEX('販売記録'!$K$5:$K$1004,$F129)="","",INDEX('販売記録'!$K$5:$K$1004,$F129)))</ns0:f>
        <ns0:v/>
      </ns0:c>
      <ns0:c r="B129" s="9" t="str">
        <ns0:f>IF($F129="","",IF(INDEX('販売記録'!$B$5:$B$1004,$F129)="","",INDEX('販売記録'!$B$5:$B$1004,$F129)))</ns0:f>
        <ns0:v/>
      </ns0:c>
      <ns0:c r="C129" s="9" t="str">
        <ns0:f>IF($F129="","",IF(INDEX('販売記録'!$C$5:$C$1004,$F129)="","",INDEX('販売記録'!$C$5:$C$1004,$F129)))</ns0:f>
        <ns0:v/>
      </ns0:c>
      <ns0:c r="D129" s="8" t="str">
        <ns0:f>IF($F129="","",IF(INDEX('販売記録'!$D$5:$D$1004,$F129)="","",INDEX('販売記録'!$D$5:$D$1004,$F129)))</ns0:f>
        <ns0:v/>
      </ns0:c>
      <ns0:c r="E129" s="12" t="str">
        <ns0:f>IF(OR(A129="",B129=""),"",MAX(0,TODAY()-A129))</ns0:f>
        <ns0:v/>
      </ns0:c>
      <ns0:c r="F129" s="9" t="str">
        <ns0:f>IFERROR(MATCH(ROW()-4,'販売記録'!$L$5:$L$1004,0),"")</ns0:f>
        <ns0:v/>
      </ns0:c>
    </ns0:row>
    <ns0:row r="130">
      <ns0:c r="A130" s="11" t="str">
        <ns0:f>IF($F130="","",IF(INDEX('販売記録'!$K$5:$K$1004,$F130)="","",INDEX('販売記録'!$K$5:$K$1004,$F130)))</ns0:f>
        <ns0:v/>
      </ns0:c>
      <ns0:c r="B130" s="9" t="str">
        <ns0:f>IF($F130="","",IF(INDEX('販売記録'!$B$5:$B$1004,$F130)="","",INDEX('販売記録'!$B$5:$B$1004,$F130)))</ns0:f>
        <ns0:v/>
      </ns0:c>
      <ns0:c r="C130" s="9" t="str">
        <ns0:f>IF($F130="","",IF(INDEX('販売記録'!$C$5:$C$1004,$F130)="","",INDEX('販売記録'!$C$5:$C$1004,$F130)))</ns0:f>
        <ns0:v/>
      </ns0:c>
      <ns0:c r="D130" s="8" t="str">
        <ns0:f>IF($F130="","",IF(INDEX('販売記録'!$D$5:$D$1004,$F130)="","",INDEX('販売記録'!$D$5:$D$1004,$F130)))</ns0:f>
        <ns0:v/>
      </ns0:c>
      <ns0:c r="E130" s="12" t="str">
        <ns0:f>IF(OR(A130="",B130=""),"",MAX(0,TODAY()-A130))</ns0:f>
        <ns0:v/>
      </ns0:c>
      <ns0:c r="F130" s="9" t="str">
        <ns0:f>IFERROR(MATCH(ROW()-4,'販売記録'!$L$5:$L$1004,0),"")</ns0:f>
        <ns0:v/>
      </ns0:c>
    </ns0:row>
    <ns0:row r="131">
      <ns0:c r="A131" s="11" t="str">
        <ns0:f>IF($F131="","",IF(INDEX('販売記録'!$K$5:$K$1004,$F131)="","",INDEX('販売記録'!$K$5:$K$1004,$F131)))</ns0:f>
        <ns0:v/>
      </ns0:c>
      <ns0:c r="B131" s="9" t="str">
        <ns0:f>IF($F131="","",IF(INDEX('販売記録'!$B$5:$B$1004,$F131)="","",INDEX('販売記録'!$B$5:$B$1004,$F131)))</ns0:f>
        <ns0:v/>
      </ns0:c>
      <ns0:c r="C131" s="9" t="str">
        <ns0:f>IF($F131="","",IF(INDEX('販売記録'!$C$5:$C$1004,$F131)="","",INDEX('販売記録'!$C$5:$C$1004,$F131)))</ns0:f>
        <ns0:v/>
      </ns0:c>
      <ns0:c r="D131" s="8" t="str">
        <ns0:f>IF($F131="","",IF(INDEX('販売記録'!$D$5:$D$1004,$F131)="","",INDEX('販売記録'!$D$5:$D$1004,$F131)))</ns0:f>
        <ns0:v/>
      </ns0:c>
      <ns0:c r="E131" s="12" t="str">
        <ns0:f>IF(OR(A131="",B131=""),"",MAX(0,TODAY()-A131))</ns0:f>
        <ns0:v/>
      </ns0:c>
      <ns0:c r="F131" s="9" t="str">
        <ns0:f>IFERROR(MATCH(ROW()-4,'販売記録'!$L$5:$L$1004,0),"")</ns0:f>
        <ns0:v/>
      </ns0:c>
    </ns0:row>
    <ns0:row r="132">
      <ns0:c r="A132" s="11" t="str">
        <ns0:f>IF($F132="","",IF(INDEX('販売記録'!$K$5:$K$1004,$F132)="","",INDEX('販売記録'!$K$5:$K$1004,$F132)))</ns0:f>
        <ns0:v/>
      </ns0:c>
      <ns0:c r="B132" s="9" t="str">
        <ns0:f>IF($F132="","",IF(INDEX('販売記録'!$B$5:$B$1004,$F132)="","",INDEX('販売記録'!$B$5:$B$1004,$F132)))</ns0:f>
        <ns0:v/>
      </ns0:c>
      <ns0:c r="C132" s="9" t="str">
        <ns0:f>IF($F132="","",IF(INDEX('販売記録'!$C$5:$C$1004,$F132)="","",INDEX('販売記録'!$C$5:$C$1004,$F132)))</ns0:f>
        <ns0:v/>
      </ns0:c>
      <ns0:c r="D132" s="8" t="str">
        <ns0:f>IF($F132="","",IF(INDEX('販売記録'!$D$5:$D$1004,$F132)="","",INDEX('販売記録'!$D$5:$D$1004,$F132)))</ns0:f>
        <ns0:v/>
      </ns0:c>
      <ns0:c r="E132" s="12" t="str">
        <ns0:f>IF(OR(A132="",B132=""),"",MAX(0,TODAY()-A132))</ns0:f>
        <ns0:v/>
      </ns0:c>
      <ns0:c r="F132" s="9" t="str">
        <ns0:f>IFERROR(MATCH(ROW()-4,'販売記録'!$L$5:$L$1004,0),"")</ns0:f>
        <ns0:v/>
      </ns0:c>
    </ns0:row>
    <ns0:row r="133">
      <ns0:c r="A133" s="11" t="str">
        <ns0:f>IF($F133="","",IF(INDEX('販売記録'!$K$5:$K$1004,$F133)="","",INDEX('販売記録'!$K$5:$K$1004,$F133)))</ns0:f>
        <ns0:v/>
      </ns0:c>
      <ns0:c r="B133" s="9" t="str">
        <ns0:f>IF($F133="","",IF(INDEX('販売記録'!$B$5:$B$1004,$F133)="","",INDEX('販売記録'!$B$5:$B$1004,$F133)))</ns0:f>
        <ns0:v/>
      </ns0:c>
      <ns0:c r="C133" s="9" t="str">
        <ns0:f>IF($F133="","",IF(INDEX('販売記録'!$C$5:$C$1004,$F133)="","",INDEX('販売記録'!$C$5:$C$1004,$F133)))</ns0:f>
        <ns0:v/>
      </ns0:c>
      <ns0:c r="D133" s="8" t="str">
        <ns0:f>IF($F133="","",IF(INDEX('販売記録'!$D$5:$D$1004,$F133)="","",INDEX('販売記録'!$D$5:$D$1004,$F133)))</ns0:f>
        <ns0:v/>
      </ns0:c>
      <ns0:c r="E133" s="12" t="str">
        <ns0:f>IF(OR(A133="",B133=""),"",MAX(0,TODAY()-A133))</ns0:f>
        <ns0:v/>
      </ns0:c>
      <ns0:c r="F133" s="9" t="str">
        <ns0:f>IFERROR(MATCH(ROW()-4,'販売記録'!$L$5:$L$1004,0),"")</ns0:f>
        <ns0:v/>
      </ns0:c>
    </ns0:row>
    <ns0:row r="134">
      <ns0:c r="A134" s="11" t="str">
        <ns0:f>IF($F134="","",IF(INDEX('販売記録'!$K$5:$K$1004,$F134)="","",INDEX('販売記録'!$K$5:$K$1004,$F134)))</ns0:f>
        <ns0:v/>
      </ns0:c>
      <ns0:c r="B134" s="9" t="str">
        <ns0:f>IF($F134="","",IF(INDEX('販売記録'!$B$5:$B$1004,$F134)="","",INDEX('販売記録'!$B$5:$B$1004,$F134)))</ns0:f>
        <ns0:v/>
      </ns0:c>
      <ns0:c r="C134" s="9" t="str">
        <ns0:f>IF($F134="","",IF(INDEX('販売記録'!$C$5:$C$1004,$F134)="","",INDEX('販売記録'!$C$5:$C$1004,$F134)))</ns0:f>
        <ns0:v/>
      </ns0:c>
      <ns0:c r="D134" s="8" t="str">
        <ns0:f>IF($F134="","",IF(INDEX('販売記録'!$D$5:$D$1004,$F134)="","",INDEX('販売記録'!$D$5:$D$1004,$F134)))</ns0:f>
        <ns0:v/>
      </ns0:c>
      <ns0:c r="E134" s="12" t="str">
        <ns0:f>IF(OR(A134="",B134=""),"",MAX(0,TODAY()-A134))</ns0:f>
        <ns0:v/>
      </ns0:c>
      <ns0:c r="F134" s="9" t="str">
        <ns0:f>IFERROR(MATCH(ROW()-4,'販売記録'!$L$5:$L$1004,0),"")</ns0:f>
        <ns0:v/>
      </ns0:c>
    </ns0:row>
    <ns0:row r="135">
      <ns0:c r="A135" s="11" t="str">
        <ns0:f>IF($F135="","",IF(INDEX('販売記録'!$K$5:$K$1004,$F135)="","",INDEX('販売記録'!$K$5:$K$1004,$F135)))</ns0:f>
        <ns0:v/>
      </ns0:c>
      <ns0:c r="B135" s="9" t="str">
        <ns0:f>IF($F135="","",IF(INDEX('販売記録'!$B$5:$B$1004,$F135)="","",INDEX('販売記録'!$B$5:$B$1004,$F135)))</ns0:f>
        <ns0:v/>
      </ns0:c>
      <ns0:c r="C135" s="9" t="str">
        <ns0:f>IF($F135="","",IF(INDEX('販売記録'!$C$5:$C$1004,$F135)="","",INDEX('販売記録'!$C$5:$C$1004,$F135)))</ns0:f>
        <ns0:v/>
      </ns0:c>
      <ns0:c r="D135" s="8" t="str">
        <ns0:f>IF($F135="","",IF(INDEX('販売記録'!$D$5:$D$1004,$F135)="","",INDEX('販売記録'!$D$5:$D$1004,$F135)))</ns0:f>
        <ns0:v/>
      </ns0:c>
      <ns0:c r="E135" s="12" t="str">
        <ns0:f>IF(OR(A135="",B135=""),"",MAX(0,TODAY()-A135))</ns0:f>
        <ns0:v/>
      </ns0:c>
      <ns0:c r="F135" s="9" t="str">
        <ns0:f>IFERROR(MATCH(ROW()-4,'販売記録'!$L$5:$L$1004,0),"")</ns0:f>
        <ns0:v/>
      </ns0:c>
    </ns0:row>
    <ns0:row r="136">
      <ns0:c r="A136" s="11" t="str">
        <ns0:f>IF($F136="","",IF(INDEX('販売記録'!$K$5:$K$1004,$F136)="","",INDEX('販売記録'!$K$5:$K$1004,$F136)))</ns0:f>
        <ns0:v/>
      </ns0:c>
      <ns0:c r="B136" s="9" t="str">
        <ns0:f>IF($F136="","",IF(INDEX('販売記録'!$B$5:$B$1004,$F136)="","",INDEX('販売記録'!$B$5:$B$1004,$F136)))</ns0:f>
        <ns0:v/>
      </ns0:c>
      <ns0:c r="C136" s="9" t="str">
        <ns0:f>IF($F136="","",IF(INDEX('販売記録'!$C$5:$C$1004,$F136)="","",INDEX('販売記録'!$C$5:$C$1004,$F136)))</ns0:f>
        <ns0:v/>
      </ns0:c>
      <ns0:c r="D136" s="8" t="str">
        <ns0:f>IF($F136="","",IF(INDEX('販売記録'!$D$5:$D$1004,$F136)="","",INDEX('販売記録'!$D$5:$D$1004,$F136)))</ns0:f>
        <ns0:v/>
      </ns0:c>
      <ns0:c r="E136" s="12" t="str">
        <ns0:f>IF(OR(A136="",B136=""),"",MAX(0,TODAY()-A136))</ns0:f>
        <ns0:v/>
      </ns0:c>
      <ns0:c r="F136" s="9" t="str">
        <ns0:f>IFERROR(MATCH(ROW()-4,'販売記録'!$L$5:$L$1004,0),"")</ns0:f>
        <ns0:v/>
      </ns0:c>
    </ns0:row>
    <ns0:row r="137">
      <ns0:c r="A137" s="11" t="str">
        <ns0:f>IF($F137="","",IF(INDEX('販売記録'!$K$5:$K$1004,$F137)="","",INDEX('販売記録'!$K$5:$K$1004,$F137)))</ns0:f>
        <ns0:v/>
      </ns0:c>
      <ns0:c r="B137" s="9" t="str">
        <ns0:f>IF($F137="","",IF(INDEX('販売記録'!$B$5:$B$1004,$F137)="","",INDEX('販売記録'!$B$5:$B$1004,$F137)))</ns0:f>
        <ns0:v/>
      </ns0:c>
      <ns0:c r="C137" s="9" t="str">
        <ns0:f>IF($F137="","",IF(INDEX('販売記録'!$C$5:$C$1004,$F137)="","",INDEX('販売記録'!$C$5:$C$1004,$F137)))</ns0:f>
        <ns0:v/>
      </ns0:c>
      <ns0:c r="D137" s="8" t="str">
        <ns0:f>IF($F137="","",IF(INDEX('販売記録'!$D$5:$D$1004,$F137)="","",INDEX('販売記録'!$D$5:$D$1004,$F137)))</ns0:f>
        <ns0:v/>
      </ns0:c>
      <ns0:c r="E137" s="12" t="str">
        <ns0:f>IF(OR(A137="",B137=""),"",MAX(0,TODAY()-A137))</ns0:f>
        <ns0:v/>
      </ns0:c>
      <ns0:c r="F137" s="9" t="str">
        <ns0:f>IFERROR(MATCH(ROW()-4,'販売記録'!$L$5:$L$1004,0),"")</ns0:f>
        <ns0:v/>
      </ns0:c>
    </ns0:row>
    <ns0:row r="138">
      <ns0:c r="A138" s="11" t="str">
        <ns0:f>IF($F138="","",IF(INDEX('販売記録'!$K$5:$K$1004,$F138)="","",INDEX('販売記録'!$K$5:$K$1004,$F138)))</ns0:f>
        <ns0:v/>
      </ns0:c>
      <ns0:c r="B138" s="9" t="str">
        <ns0:f>IF($F138="","",IF(INDEX('販売記録'!$B$5:$B$1004,$F138)="","",INDEX('販売記録'!$B$5:$B$1004,$F138)))</ns0:f>
        <ns0:v/>
      </ns0:c>
      <ns0:c r="C138" s="9" t="str">
        <ns0:f>IF($F138="","",IF(INDEX('販売記録'!$C$5:$C$1004,$F138)="","",INDEX('販売記録'!$C$5:$C$1004,$F138)))</ns0:f>
        <ns0:v/>
      </ns0:c>
      <ns0:c r="D138" s="8" t="str">
        <ns0:f>IF($F138="","",IF(INDEX('販売記録'!$D$5:$D$1004,$F138)="","",INDEX('販売記録'!$D$5:$D$1004,$F138)))</ns0:f>
        <ns0:v/>
      </ns0:c>
      <ns0:c r="E138" s="12" t="str">
        <ns0:f>IF(OR(A138="",B138=""),"",MAX(0,TODAY()-A138))</ns0:f>
        <ns0:v/>
      </ns0:c>
      <ns0:c r="F138" s="9" t="str">
        <ns0:f>IFERROR(MATCH(ROW()-4,'販売記録'!$L$5:$L$1004,0),"")</ns0:f>
        <ns0:v/>
      </ns0:c>
    </ns0:row>
    <ns0:row r="139">
      <ns0:c r="A139" s="11" t="str">
        <ns0:f>IF($F139="","",IF(INDEX('販売記録'!$K$5:$K$1004,$F139)="","",INDEX('販売記録'!$K$5:$K$1004,$F139)))</ns0:f>
        <ns0:v/>
      </ns0:c>
      <ns0:c r="B139" s="9" t="str">
        <ns0:f>IF($F139="","",IF(INDEX('販売記録'!$B$5:$B$1004,$F139)="","",INDEX('販売記録'!$B$5:$B$1004,$F139)))</ns0:f>
        <ns0:v/>
      </ns0:c>
      <ns0:c r="C139" s="9" t="str">
        <ns0:f>IF($F139="","",IF(INDEX('販売記録'!$C$5:$C$1004,$F139)="","",INDEX('販売記録'!$C$5:$C$1004,$F139)))</ns0:f>
        <ns0:v/>
      </ns0:c>
      <ns0:c r="D139" s="8" t="str">
        <ns0:f>IF($F139="","",IF(INDEX('販売記録'!$D$5:$D$1004,$F139)="","",INDEX('販売記録'!$D$5:$D$1004,$F139)))</ns0:f>
        <ns0:v/>
      </ns0:c>
      <ns0:c r="E139" s="12" t="str">
        <ns0:f>IF(OR(A139="",B139=""),"",MAX(0,TODAY()-A139))</ns0:f>
        <ns0:v/>
      </ns0:c>
      <ns0:c r="F139" s="9" t="str">
        <ns0:f>IFERROR(MATCH(ROW()-4,'販売記録'!$L$5:$L$1004,0),"")</ns0:f>
        <ns0:v/>
      </ns0:c>
    </ns0:row>
    <ns0:row r="140">
      <ns0:c r="A140" s="11" t="str">
        <ns0:f>IF($F140="","",IF(INDEX('販売記録'!$K$5:$K$1004,$F140)="","",INDEX('販売記録'!$K$5:$K$1004,$F140)))</ns0:f>
        <ns0:v/>
      </ns0:c>
      <ns0:c r="B140" s="9" t="str">
        <ns0:f>IF($F140="","",IF(INDEX('販売記録'!$B$5:$B$1004,$F140)="","",INDEX('販売記録'!$B$5:$B$1004,$F140)))</ns0:f>
        <ns0:v/>
      </ns0:c>
      <ns0:c r="C140" s="9" t="str">
        <ns0:f>IF($F140="","",IF(INDEX('販売記録'!$C$5:$C$1004,$F140)="","",INDEX('販売記録'!$C$5:$C$1004,$F140)))</ns0:f>
        <ns0:v/>
      </ns0:c>
      <ns0:c r="D140" s="8" t="str">
        <ns0:f>IF($F140="","",IF(INDEX('販売記録'!$D$5:$D$1004,$F140)="","",INDEX('販売記録'!$D$5:$D$1004,$F140)))</ns0:f>
        <ns0:v/>
      </ns0:c>
      <ns0:c r="E140" s="12" t="str">
        <ns0:f>IF(OR(A140="",B140=""),"",MAX(0,TODAY()-A140))</ns0:f>
        <ns0:v/>
      </ns0:c>
      <ns0:c r="F140" s="9" t="str">
        <ns0:f>IFERROR(MATCH(ROW()-4,'販売記録'!$L$5:$L$1004,0),"")</ns0:f>
        <ns0:v/>
      </ns0:c>
    </ns0:row>
    <ns0:row r="141">
      <ns0:c r="A141" s="11" t="str">
        <ns0:f>IF($F141="","",IF(INDEX('販売記録'!$K$5:$K$1004,$F141)="","",INDEX('販売記録'!$K$5:$K$1004,$F141)))</ns0:f>
        <ns0:v/>
      </ns0:c>
      <ns0:c r="B141" s="9" t="str">
        <ns0:f>IF($F141="","",IF(INDEX('販売記録'!$B$5:$B$1004,$F141)="","",INDEX('販売記録'!$B$5:$B$1004,$F141)))</ns0:f>
        <ns0:v/>
      </ns0:c>
      <ns0:c r="C141" s="9" t="str">
        <ns0:f>IF($F141="","",IF(INDEX('販売記録'!$C$5:$C$1004,$F141)="","",INDEX('販売記録'!$C$5:$C$1004,$F141)))</ns0:f>
        <ns0:v/>
      </ns0:c>
      <ns0:c r="D141" s="8" t="str">
        <ns0:f>IF($F141="","",IF(INDEX('販売記録'!$D$5:$D$1004,$F141)="","",INDEX('販売記録'!$D$5:$D$1004,$F141)))</ns0:f>
        <ns0:v/>
      </ns0:c>
      <ns0:c r="E141" s="12" t="str">
        <ns0:f>IF(OR(A141="",B141=""),"",MAX(0,TODAY()-A141))</ns0:f>
        <ns0:v/>
      </ns0:c>
      <ns0:c r="F141" s="9" t="str">
        <ns0:f>IFERROR(MATCH(ROW()-4,'販売記録'!$L$5:$L$1004,0),"")</ns0:f>
        <ns0:v/>
      </ns0:c>
    </ns0:row>
    <ns0:row r="142">
      <ns0:c r="A142" s="11" t="str">
        <ns0:f>IF($F142="","",IF(INDEX('販売記録'!$K$5:$K$1004,$F142)="","",INDEX('販売記録'!$K$5:$K$1004,$F142)))</ns0:f>
        <ns0:v/>
      </ns0:c>
      <ns0:c r="B142" s="9" t="str">
        <ns0:f>IF($F142="","",IF(INDEX('販売記録'!$B$5:$B$1004,$F142)="","",INDEX('販売記録'!$B$5:$B$1004,$F142)))</ns0:f>
        <ns0:v/>
      </ns0:c>
      <ns0:c r="C142" s="9" t="str">
        <ns0:f>IF($F142="","",IF(INDEX('販売記録'!$C$5:$C$1004,$F142)="","",INDEX('販売記録'!$C$5:$C$1004,$F142)))</ns0:f>
        <ns0:v/>
      </ns0:c>
      <ns0:c r="D142" s="8" t="str">
        <ns0:f>IF($F142="","",IF(INDEX('販売記録'!$D$5:$D$1004,$F142)="","",INDEX('販売記録'!$D$5:$D$1004,$F142)))</ns0:f>
        <ns0:v/>
      </ns0:c>
      <ns0:c r="E142" s="12" t="str">
        <ns0:f>IF(OR(A142="",B142=""),"",MAX(0,TODAY()-A142))</ns0:f>
        <ns0:v/>
      </ns0:c>
      <ns0:c r="F142" s="9" t="str">
        <ns0:f>IFERROR(MATCH(ROW()-4,'販売記録'!$L$5:$L$1004,0),"")</ns0:f>
        <ns0:v/>
      </ns0:c>
    </ns0:row>
    <ns0:row r="143">
      <ns0:c r="A143" s="11" t="str">
        <ns0:f>IF($F143="","",IF(INDEX('販売記録'!$K$5:$K$1004,$F143)="","",INDEX('販売記録'!$K$5:$K$1004,$F143)))</ns0:f>
        <ns0:v/>
      </ns0:c>
      <ns0:c r="B143" s="9" t="str">
        <ns0:f>IF($F143="","",IF(INDEX('販売記録'!$B$5:$B$1004,$F143)="","",INDEX('販売記録'!$B$5:$B$1004,$F143)))</ns0:f>
        <ns0:v/>
      </ns0:c>
      <ns0:c r="C143" s="9" t="str">
        <ns0:f>IF($F143="","",IF(INDEX('販売記録'!$C$5:$C$1004,$F143)="","",INDEX('販売記録'!$C$5:$C$1004,$F143)))</ns0:f>
        <ns0:v/>
      </ns0:c>
      <ns0:c r="D143" s="8" t="str">
        <ns0:f>IF($F143="","",IF(INDEX('販売記録'!$D$5:$D$1004,$F143)="","",INDEX('販売記録'!$D$5:$D$1004,$F143)))</ns0:f>
        <ns0:v/>
      </ns0:c>
      <ns0:c r="E143" s="12" t="str">
        <ns0:f>IF(OR(A143="",B143=""),"",MAX(0,TODAY()-A143))</ns0:f>
        <ns0:v/>
      </ns0:c>
      <ns0:c r="F143" s="9" t="str">
        <ns0:f>IFERROR(MATCH(ROW()-4,'販売記録'!$L$5:$L$1004,0),"")</ns0:f>
        <ns0:v/>
      </ns0:c>
    </ns0:row>
    <ns0:row r="144">
      <ns0:c r="A144" s="11" t="str">
        <ns0:f>IF($F144="","",IF(INDEX('販売記録'!$K$5:$K$1004,$F144)="","",INDEX('販売記録'!$K$5:$K$1004,$F144)))</ns0:f>
        <ns0:v/>
      </ns0:c>
      <ns0:c r="B144" s="9" t="str">
        <ns0:f>IF($F144="","",IF(INDEX('販売記録'!$B$5:$B$1004,$F144)="","",INDEX('販売記録'!$B$5:$B$1004,$F144)))</ns0:f>
        <ns0:v/>
      </ns0:c>
      <ns0:c r="C144" s="9" t="str">
        <ns0:f>IF($F144="","",IF(INDEX('販売記録'!$C$5:$C$1004,$F144)="","",INDEX('販売記録'!$C$5:$C$1004,$F144)))</ns0:f>
        <ns0:v/>
      </ns0:c>
      <ns0:c r="D144" s="8" t="str">
        <ns0:f>IF($F144="","",IF(INDEX('販売記録'!$D$5:$D$1004,$F144)="","",INDEX('販売記録'!$D$5:$D$1004,$F144)))</ns0:f>
        <ns0:v/>
      </ns0:c>
      <ns0:c r="E144" s="12" t="str">
        <ns0:f>IF(OR(A144="",B144=""),"",MAX(0,TODAY()-A144))</ns0:f>
        <ns0:v/>
      </ns0:c>
      <ns0:c r="F144" s="9" t="str">
        <ns0:f>IFERROR(MATCH(ROW()-4,'販売記録'!$L$5:$L$1004,0),"")</ns0:f>
        <ns0:v/>
      </ns0:c>
    </ns0:row>
    <ns0:row r="145">
      <ns0:c r="A145" s="11" t="str">
        <ns0:f>IF($F145="","",IF(INDEX('販売記録'!$K$5:$K$1004,$F145)="","",INDEX('販売記録'!$K$5:$K$1004,$F145)))</ns0:f>
        <ns0:v/>
      </ns0:c>
      <ns0:c r="B145" s="9" t="str">
        <ns0:f>IF($F145="","",IF(INDEX('販売記録'!$B$5:$B$1004,$F145)="","",INDEX('販売記録'!$B$5:$B$1004,$F145)))</ns0:f>
        <ns0:v/>
      </ns0:c>
      <ns0:c r="C145" s="9" t="str">
        <ns0:f>IF($F145="","",IF(INDEX('販売記録'!$C$5:$C$1004,$F145)="","",INDEX('販売記録'!$C$5:$C$1004,$F145)))</ns0:f>
        <ns0:v/>
      </ns0:c>
      <ns0:c r="D145" s="8" t="str">
        <ns0:f>IF($F145="","",IF(INDEX('販売記録'!$D$5:$D$1004,$F145)="","",INDEX('販売記録'!$D$5:$D$1004,$F145)))</ns0:f>
        <ns0:v/>
      </ns0:c>
      <ns0:c r="E145" s="12" t="str">
        <ns0:f>IF(OR(A145="",B145=""),"",MAX(0,TODAY()-A145))</ns0:f>
        <ns0:v/>
      </ns0:c>
      <ns0:c r="F145" s="9" t="str">
        <ns0:f>IFERROR(MATCH(ROW()-4,'販売記録'!$L$5:$L$1004,0),"")</ns0:f>
        <ns0:v/>
      </ns0:c>
    </ns0:row>
    <ns0:row r="146">
      <ns0:c r="A146" s="11" t="str">
        <ns0:f>IF($F146="","",IF(INDEX('販売記録'!$K$5:$K$1004,$F146)="","",INDEX('販売記録'!$K$5:$K$1004,$F146)))</ns0:f>
        <ns0:v/>
      </ns0:c>
      <ns0:c r="B146" s="9" t="str">
        <ns0:f>IF($F146="","",IF(INDEX('販売記録'!$B$5:$B$1004,$F146)="","",INDEX('販売記録'!$B$5:$B$1004,$F146)))</ns0:f>
        <ns0:v/>
      </ns0:c>
      <ns0:c r="C146" s="9" t="str">
        <ns0:f>IF($F146="","",IF(INDEX('販売記録'!$C$5:$C$1004,$F146)="","",INDEX('販売記録'!$C$5:$C$1004,$F146)))</ns0:f>
        <ns0:v/>
      </ns0:c>
      <ns0:c r="D146" s="8" t="str">
        <ns0:f>IF($F146="","",IF(INDEX('販売記録'!$D$5:$D$1004,$F146)="","",INDEX('販売記録'!$D$5:$D$1004,$F146)))</ns0:f>
        <ns0:v/>
      </ns0:c>
      <ns0:c r="E146" s="12" t="str">
        <ns0:f>IF(OR(A146="",B146=""),"",MAX(0,TODAY()-A146))</ns0:f>
        <ns0:v/>
      </ns0:c>
      <ns0:c r="F146" s="9" t="str">
        <ns0:f>IFERROR(MATCH(ROW()-4,'販売記録'!$L$5:$L$1004,0),"")</ns0:f>
        <ns0:v/>
      </ns0:c>
    </ns0:row>
    <ns0:row r="147">
      <ns0:c r="A147" s="11" t="str">
        <ns0:f>IF($F147="","",IF(INDEX('販売記録'!$K$5:$K$1004,$F147)="","",INDEX('販売記録'!$K$5:$K$1004,$F147)))</ns0:f>
        <ns0:v/>
      </ns0:c>
      <ns0:c r="B147" s="9" t="str">
        <ns0:f>IF($F147="","",IF(INDEX('販売記録'!$B$5:$B$1004,$F147)="","",INDEX('販売記録'!$B$5:$B$1004,$F147)))</ns0:f>
        <ns0:v/>
      </ns0:c>
      <ns0:c r="C147" s="9" t="str">
        <ns0:f>IF($F147="","",IF(INDEX('販売記録'!$C$5:$C$1004,$F147)="","",INDEX('販売記録'!$C$5:$C$1004,$F147)))</ns0:f>
        <ns0:v/>
      </ns0:c>
      <ns0:c r="D147" s="8" t="str">
        <ns0:f>IF($F147="","",IF(INDEX('販売記録'!$D$5:$D$1004,$F147)="","",INDEX('販売記録'!$D$5:$D$1004,$F147)))</ns0:f>
        <ns0:v/>
      </ns0:c>
      <ns0:c r="E147" s="12" t="str">
        <ns0:f>IF(OR(A147="",B147=""),"",MAX(0,TODAY()-A147))</ns0:f>
        <ns0:v/>
      </ns0:c>
      <ns0:c r="F147" s="9" t="str">
        <ns0:f>IFERROR(MATCH(ROW()-4,'販売記録'!$L$5:$L$1004,0),"")</ns0:f>
        <ns0:v/>
      </ns0:c>
    </ns0:row>
    <ns0:row r="148">
      <ns0:c r="A148" s="11" t="str">
        <ns0:f>IF($F148="","",IF(INDEX('販売記録'!$K$5:$K$1004,$F148)="","",INDEX('販売記録'!$K$5:$K$1004,$F148)))</ns0:f>
        <ns0:v/>
      </ns0:c>
      <ns0:c r="B148" s="9" t="str">
        <ns0:f>IF($F148="","",IF(INDEX('販売記録'!$B$5:$B$1004,$F148)="","",INDEX('販売記録'!$B$5:$B$1004,$F148)))</ns0:f>
        <ns0:v/>
      </ns0:c>
      <ns0:c r="C148" s="9" t="str">
        <ns0:f>IF($F148="","",IF(INDEX('販売記録'!$C$5:$C$1004,$F148)="","",INDEX('販売記録'!$C$5:$C$1004,$F148)))</ns0:f>
        <ns0:v/>
      </ns0:c>
      <ns0:c r="D148" s="8" t="str">
        <ns0:f>IF($F148="","",IF(INDEX('販売記録'!$D$5:$D$1004,$F148)="","",INDEX('販売記録'!$D$5:$D$1004,$F148)))</ns0:f>
        <ns0:v/>
      </ns0:c>
      <ns0:c r="E148" s="12" t="str">
        <ns0:f>IF(OR(A148="",B148=""),"",MAX(0,TODAY()-A148))</ns0:f>
        <ns0:v/>
      </ns0:c>
      <ns0:c r="F148" s="9" t="str">
        <ns0:f>IFERROR(MATCH(ROW()-4,'販売記録'!$L$5:$L$1004,0),"")</ns0:f>
        <ns0:v/>
      </ns0:c>
    </ns0:row>
    <ns0:row r="149">
      <ns0:c r="A149" s="11" t="str">
        <ns0:f>IF($F149="","",IF(INDEX('販売記録'!$K$5:$K$1004,$F149)="","",INDEX('販売記録'!$K$5:$K$1004,$F149)))</ns0:f>
        <ns0:v/>
      </ns0:c>
      <ns0:c r="B149" s="9" t="str">
        <ns0:f>IF($F149="","",IF(INDEX('販売記録'!$B$5:$B$1004,$F149)="","",INDEX('販売記録'!$B$5:$B$1004,$F149)))</ns0:f>
        <ns0:v/>
      </ns0:c>
      <ns0:c r="C149" s="9" t="str">
        <ns0:f>IF($F149="","",IF(INDEX('販売記録'!$C$5:$C$1004,$F149)="","",INDEX('販売記録'!$C$5:$C$1004,$F149)))</ns0:f>
        <ns0:v/>
      </ns0:c>
      <ns0:c r="D149" s="8" t="str">
        <ns0:f>IF($F149="","",IF(INDEX('販売記録'!$D$5:$D$1004,$F149)="","",INDEX('販売記録'!$D$5:$D$1004,$F149)))</ns0:f>
        <ns0:v/>
      </ns0:c>
      <ns0:c r="E149" s="12" t="str">
        <ns0:f>IF(OR(A149="",B149=""),"",MAX(0,TODAY()-A149))</ns0:f>
        <ns0:v/>
      </ns0:c>
      <ns0:c r="F149" s="9" t="str">
        <ns0:f>IFERROR(MATCH(ROW()-4,'販売記録'!$L$5:$L$1004,0),"")</ns0:f>
        <ns0:v/>
      </ns0:c>
    </ns0:row>
    <ns0:row r="150">
      <ns0:c r="A150" s="11" t="str">
        <ns0:f>IF($F150="","",IF(INDEX('販売記録'!$K$5:$K$1004,$F150)="","",INDEX('販売記録'!$K$5:$K$1004,$F150)))</ns0:f>
        <ns0:v/>
      </ns0:c>
      <ns0:c r="B150" s="9" t="str">
        <ns0:f>IF($F150="","",IF(INDEX('販売記録'!$B$5:$B$1004,$F150)="","",INDEX('販売記録'!$B$5:$B$1004,$F150)))</ns0:f>
        <ns0:v/>
      </ns0:c>
      <ns0:c r="C150" s="9" t="str">
        <ns0:f>IF($F150="","",IF(INDEX('販売記録'!$C$5:$C$1004,$F150)="","",INDEX('販売記録'!$C$5:$C$1004,$F150)))</ns0:f>
        <ns0:v/>
      </ns0:c>
      <ns0:c r="D150" s="8" t="str">
        <ns0:f>IF($F150="","",IF(INDEX('販売記録'!$D$5:$D$1004,$F150)="","",INDEX('販売記録'!$D$5:$D$1004,$F150)))</ns0:f>
        <ns0:v/>
      </ns0:c>
      <ns0:c r="E150" s="12" t="str">
        <ns0:f>IF(OR(A150="",B150=""),"",MAX(0,TODAY()-A150))</ns0:f>
        <ns0:v/>
      </ns0:c>
      <ns0:c r="F150" s="9" t="str">
        <ns0:f>IFERROR(MATCH(ROW()-4,'販売記録'!$L$5:$L$1004,0),"")</ns0:f>
        <ns0:v/>
      </ns0:c>
    </ns0:row>
    <ns0:row r="151">
      <ns0:c r="A151" s="11" t="str">
        <ns0:f>IF($F151="","",IF(INDEX('販売記録'!$K$5:$K$1004,$F151)="","",INDEX('販売記録'!$K$5:$K$1004,$F151)))</ns0:f>
        <ns0:v/>
      </ns0:c>
      <ns0:c r="B151" s="9" t="str">
        <ns0:f>IF($F151="","",IF(INDEX('販売記録'!$B$5:$B$1004,$F151)="","",INDEX('販売記録'!$B$5:$B$1004,$F151)))</ns0:f>
        <ns0:v/>
      </ns0:c>
      <ns0:c r="C151" s="9" t="str">
        <ns0:f>IF($F151="","",IF(INDEX('販売記録'!$C$5:$C$1004,$F151)="","",INDEX('販売記録'!$C$5:$C$1004,$F151)))</ns0:f>
        <ns0:v/>
      </ns0:c>
      <ns0:c r="D151" s="8" t="str">
        <ns0:f>IF($F151="","",IF(INDEX('販売記録'!$D$5:$D$1004,$F151)="","",INDEX('販売記録'!$D$5:$D$1004,$F151)))</ns0:f>
        <ns0:v/>
      </ns0:c>
      <ns0:c r="E151" s="12" t="str">
        <ns0:f>IF(OR(A151="",B151=""),"",MAX(0,TODAY()-A151))</ns0:f>
        <ns0:v/>
      </ns0:c>
      <ns0:c r="F151" s="9" t="str">
        <ns0:f>IFERROR(MATCH(ROW()-4,'販売記録'!$L$5:$L$1004,0),"")</ns0:f>
        <ns0:v/>
      </ns0:c>
    </ns0:row>
    <ns0:row r="152">
      <ns0:c r="A152" s="11" t="str">
        <ns0:f>IF($F152="","",IF(INDEX('販売記録'!$K$5:$K$1004,$F152)="","",INDEX('販売記録'!$K$5:$K$1004,$F152)))</ns0:f>
        <ns0:v/>
      </ns0:c>
      <ns0:c r="B152" s="9" t="str">
        <ns0:f>IF($F152="","",IF(INDEX('販売記録'!$B$5:$B$1004,$F152)="","",INDEX('販売記録'!$B$5:$B$1004,$F152)))</ns0:f>
        <ns0:v/>
      </ns0:c>
      <ns0:c r="C152" s="9" t="str">
        <ns0:f>IF($F152="","",IF(INDEX('販売記録'!$C$5:$C$1004,$F152)="","",INDEX('販売記録'!$C$5:$C$1004,$F152)))</ns0:f>
        <ns0:v/>
      </ns0:c>
      <ns0:c r="D152" s="8" t="str">
        <ns0:f>IF($F152="","",IF(INDEX('販売記録'!$D$5:$D$1004,$F152)="","",INDEX('販売記録'!$D$5:$D$1004,$F152)))</ns0:f>
        <ns0:v/>
      </ns0:c>
      <ns0:c r="E152" s="12" t="str">
        <ns0:f>IF(OR(A152="",B152=""),"",MAX(0,TODAY()-A152))</ns0:f>
        <ns0:v/>
      </ns0:c>
      <ns0:c r="F152" s="9" t="str">
        <ns0:f>IFERROR(MATCH(ROW()-4,'販売記録'!$L$5:$L$1004,0),"")</ns0:f>
        <ns0:v/>
      </ns0:c>
    </ns0:row>
    <ns0:row r="153">
      <ns0:c r="A153" s="11" t="str">
        <ns0:f>IF($F153="","",IF(INDEX('販売記録'!$K$5:$K$1004,$F153)="","",INDEX('販売記録'!$K$5:$K$1004,$F153)))</ns0:f>
        <ns0:v/>
      </ns0:c>
      <ns0:c r="B153" s="9" t="str">
        <ns0:f>IF($F153="","",IF(INDEX('販売記録'!$B$5:$B$1004,$F153)="","",INDEX('販売記録'!$B$5:$B$1004,$F153)))</ns0:f>
        <ns0:v/>
      </ns0:c>
      <ns0:c r="C153" s="9" t="str">
        <ns0:f>IF($F153="","",IF(INDEX('販売記録'!$C$5:$C$1004,$F153)="","",INDEX('販売記録'!$C$5:$C$1004,$F153)))</ns0:f>
        <ns0:v/>
      </ns0:c>
      <ns0:c r="D153" s="8" t="str">
        <ns0:f>IF($F153="","",IF(INDEX('販売記録'!$D$5:$D$1004,$F153)="","",INDEX('販売記録'!$D$5:$D$1004,$F153)))</ns0:f>
        <ns0:v/>
      </ns0:c>
      <ns0:c r="E153" s="12" t="str">
        <ns0:f>IF(OR(A153="",B153=""),"",MAX(0,TODAY()-A153))</ns0:f>
        <ns0:v/>
      </ns0:c>
      <ns0:c r="F153" s="9" t="str">
        <ns0:f>IFERROR(MATCH(ROW()-4,'販売記録'!$L$5:$L$1004,0),"")</ns0:f>
        <ns0:v/>
      </ns0:c>
    </ns0:row>
    <ns0:row r="154">
      <ns0:c r="A154" s="11" t="str">
        <ns0:f>IF($F154="","",IF(INDEX('販売記録'!$K$5:$K$1004,$F154)="","",INDEX('販売記録'!$K$5:$K$1004,$F154)))</ns0:f>
        <ns0:v/>
      </ns0:c>
      <ns0:c r="B154" s="9" t="str">
        <ns0:f>IF($F154="","",IF(INDEX('販売記録'!$B$5:$B$1004,$F154)="","",INDEX('販売記録'!$B$5:$B$1004,$F154)))</ns0:f>
        <ns0:v/>
      </ns0:c>
      <ns0:c r="C154" s="9" t="str">
        <ns0:f>IF($F154="","",IF(INDEX('販売記録'!$C$5:$C$1004,$F154)="","",INDEX('販売記録'!$C$5:$C$1004,$F154)))</ns0:f>
        <ns0:v/>
      </ns0:c>
      <ns0:c r="D154" s="8" t="str">
        <ns0:f>IF($F154="","",IF(INDEX('販売記録'!$D$5:$D$1004,$F154)="","",INDEX('販売記録'!$D$5:$D$1004,$F154)))</ns0:f>
        <ns0:v/>
      </ns0:c>
      <ns0:c r="E154" s="12" t="str">
        <ns0:f>IF(OR(A154="",B154=""),"",MAX(0,TODAY()-A154))</ns0:f>
        <ns0:v/>
      </ns0:c>
      <ns0:c r="F154" s="9" t="str">
        <ns0:f>IFERROR(MATCH(ROW()-4,'販売記録'!$L$5:$L$1004,0),"")</ns0:f>
        <ns0:v/>
      </ns0:c>
    </ns0:row>
    <ns0:row r="155">
      <ns0:c r="A155" s="11" t="str">
        <ns0:f>IF($F155="","",IF(INDEX('販売記録'!$K$5:$K$1004,$F155)="","",INDEX('販売記録'!$K$5:$K$1004,$F155)))</ns0:f>
        <ns0:v/>
      </ns0:c>
      <ns0:c r="B155" s="9" t="str">
        <ns0:f>IF($F155="","",IF(INDEX('販売記録'!$B$5:$B$1004,$F155)="","",INDEX('販売記録'!$B$5:$B$1004,$F155)))</ns0:f>
        <ns0:v/>
      </ns0:c>
      <ns0:c r="C155" s="9" t="str">
        <ns0:f>IF($F155="","",IF(INDEX('販売記録'!$C$5:$C$1004,$F155)="","",INDEX('販売記録'!$C$5:$C$1004,$F155)))</ns0:f>
        <ns0:v/>
      </ns0:c>
      <ns0:c r="D155" s="8" t="str">
        <ns0:f>IF($F155="","",IF(INDEX('販売記録'!$D$5:$D$1004,$F155)="","",INDEX('販売記録'!$D$5:$D$1004,$F155)))</ns0:f>
        <ns0:v/>
      </ns0:c>
      <ns0:c r="E155" s="12" t="str">
        <ns0:f>IF(OR(A155="",B155=""),"",MAX(0,TODAY()-A155))</ns0:f>
        <ns0:v/>
      </ns0:c>
      <ns0:c r="F155" s="9" t="str">
        <ns0:f>IFERROR(MATCH(ROW()-4,'販売記録'!$L$5:$L$1004,0),"")</ns0:f>
        <ns0:v/>
      </ns0:c>
    </ns0:row>
    <ns0:row r="156">
      <ns0:c r="A156" s="11" t="str">
        <ns0:f>IF($F156="","",IF(INDEX('販売記録'!$K$5:$K$1004,$F156)="","",INDEX('販売記録'!$K$5:$K$1004,$F156)))</ns0:f>
        <ns0:v/>
      </ns0:c>
      <ns0:c r="B156" s="9" t="str">
        <ns0:f>IF($F156="","",IF(INDEX('販売記録'!$B$5:$B$1004,$F156)="","",INDEX('販売記録'!$B$5:$B$1004,$F156)))</ns0:f>
        <ns0:v/>
      </ns0:c>
      <ns0:c r="C156" s="9" t="str">
        <ns0:f>IF($F156="","",IF(INDEX('販売記録'!$C$5:$C$1004,$F156)="","",INDEX('販売記録'!$C$5:$C$1004,$F156)))</ns0:f>
        <ns0:v/>
      </ns0:c>
      <ns0:c r="D156" s="8" t="str">
        <ns0:f>IF($F156="","",IF(INDEX('販売記録'!$D$5:$D$1004,$F156)="","",INDEX('販売記録'!$D$5:$D$1004,$F156)))</ns0:f>
        <ns0:v/>
      </ns0:c>
      <ns0:c r="E156" s="12" t="str">
        <ns0:f>IF(OR(A156="",B156=""),"",MAX(0,TODAY()-A156))</ns0:f>
        <ns0:v/>
      </ns0:c>
      <ns0:c r="F156" s="9" t="str">
        <ns0:f>IFERROR(MATCH(ROW()-4,'販売記録'!$L$5:$L$1004,0),"")</ns0:f>
        <ns0:v/>
      </ns0:c>
    </ns0:row>
    <ns0:row r="157">
      <ns0:c r="A157" s="11" t="str">
        <ns0:f>IF($F157="","",IF(INDEX('販売記録'!$K$5:$K$1004,$F157)="","",INDEX('販売記録'!$K$5:$K$1004,$F157)))</ns0:f>
        <ns0:v/>
      </ns0:c>
      <ns0:c r="B157" s="9" t="str">
        <ns0:f>IF($F157="","",IF(INDEX('販売記録'!$B$5:$B$1004,$F157)="","",INDEX('販売記録'!$B$5:$B$1004,$F157)))</ns0:f>
        <ns0:v/>
      </ns0:c>
      <ns0:c r="C157" s="9" t="str">
        <ns0:f>IF($F157="","",IF(INDEX('販売記録'!$C$5:$C$1004,$F157)="","",INDEX('販売記録'!$C$5:$C$1004,$F157)))</ns0:f>
        <ns0:v/>
      </ns0:c>
      <ns0:c r="D157" s="8" t="str">
        <ns0:f>IF($F157="","",IF(INDEX('販売記録'!$D$5:$D$1004,$F157)="","",INDEX('販売記録'!$D$5:$D$1004,$F157)))</ns0:f>
        <ns0:v/>
      </ns0:c>
      <ns0:c r="E157" s="12" t="str">
        <ns0:f>IF(OR(A157="",B157=""),"",MAX(0,TODAY()-A157))</ns0:f>
        <ns0:v/>
      </ns0:c>
      <ns0:c r="F157" s="9" t="str">
        <ns0:f>IFERROR(MATCH(ROW()-4,'販売記録'!$L$5:$L$1004,0),"")</ns0:f>
        <ns0:v/>
      </ns0:c>
    </ns0:row>
    <ns0:row r="158">
      <ns0:c r="A158" s="11" t="str">
        <ns0:f>IF($F158="","",IF(INDEX('販売記録'!$K$5:$K$1004,$F158)="","",INDEX('販売記録'!$K$5:$K$1004,$F158)))</ns0:f>
        <ns0:v/>
      </ns0:c>
      <ns0:c r="B158" s="9" t="str">
        <ns0:f>IF($F158="","",IF(INDEX('販売記録'!$B$5:$B$1004,$F158)="","",INDEX('販売記録'!$B$5:$B$1004,$F158)))</ns0:f>
        <ns0:v/>
      </ns0:c>
      <ns0:c r="C158" s="9" t="str">
        <ns0:f>IF($F158="","",IF(INDEX('販売記録'!$C$5:$C$1004,$F158)="","",INDEX('販売記録'!$C$5:$C$1004,$F158)))</ns0:f>
        <ns0:v/>
      </ns0:c>
      <ns0:c r="D158" s="8" t="str">
        <ns0:f>IF($F158="","",IF(INDEX('販売記録'!$D$5:$D$1004,$F158)="","",INDEX('販売記録'!$D$5:$D$1004,$F158)))</ns0:f>
        <ns0:v/>
      </ns0:c>
      <ns0:c r="E158" s="12" t="str">
        <ns0:f>IF(OR(A158="",B158=""),"",MAX(0,TODAY()-A158))</ns0:f>
        <ns0:v/>
      </ns0:c>
      <ns0:c r="F158" s="9" t="str">
        <ns0:f>IFERROR(MATCH(ROW()-4,'販売記録'!$L$5:$L$1004,0),"")</ns0:f>
        <ns0:v/>
      </ns0:c>
    </ns0:row>
    <ns0:row r="159">
      <ns0:c r="A159" s="11" t="str">
        <ns0:f>IF($F159="","",IF(INDEX('販売記録'!$K$5:$K$1004,$F159)="","",INDEX('販売記録'!$K$5:$K$1004,$F159)))</ns0:f>
        <ns0:v/>
      </ns0:c>
      <ns0:c r="B159" s="9" t="str">
        <ns0:f>IF($F159="","",IF(INDEX('販売記録'!$B$5:$B$1004,$F159)="","",INDEX('販売記録'!$B$5:$B$1004,$F159)))</ns0:f>
        <ns0:v/>
      </ns0:c>
      <ns0:c r="C159" s="9" t="str">
        <ns0:f>IF($F159="","",IF(INDEX('販売記録'!$C$5:$C$1004,$F159)="","",INDEX('販売記録'!$C$5:$C$1004,$F159)))</ns0:f>
        <ns0:v/>
      </ns0:c>
      <ns0:c r="D159" s="8" t="str">
        <ns0:f>IF($F159="","",IF(INDEX('販売記録'!$D$5:$D$1004,$F159)="","",INDEX('販売記録'!$D$5:$D$1004,$F159)))</ns0:f>
        <ns0:v/>
      </ns0:c>
      <ns0:c r="E159" s="12" t="str">
        <ns0:f>IF(OR(A159="",B159=""),"",MAX(0,TODAY()-A159))</ns0:f>
        <ns0:v/>
      </ns0:c>
      <ns0:c r="F159" s="9" t="str">
        <ns0:f>IFERROR(MATCH(ROW()-4,'販売記録'!$L$5:$L$1004,0),"")</ns0:f>
        <ns0:v/>
      </ns0:c>
    </ns0:row>
    <ns0:row r="160">
      <ns0:c r="A160" s="11" t="str">
        <ns0:f>IF($F160="","",IF(INDEX('販売記録'!$K$5:$K$1004,$F160)="","",INDEX('販売記録'!$K$5:$K$1004,$F160)))</ns0:f>
        <ns0:v/>
      </ns0:c>
      <ns0:c r="B160" s="9" t="str">
        <ns0:f>IF($F160="","",IF(INDEX('販売記録'!$B$5:$B$1004,$F160)="","",INDEX('販売記録'!$B$5:$B$1004,$F160)))</ns0:f>
        <ns0:v/>
      </ns0:c>
      <ns0:c r="C160" s="9" t="str">
        <ns0:f>IF($F160="","",IF(INDEX('販売記録'!$C$5:$C$1004,$F160)="","",INDEX('販売記録'!$C$5:$C$1004,$F160)))</ns0:f>
        <ns0:v/>
      </ns0:c>
      <ns0:c r="D160" s="8" t="str">
        <ns0:f>IF($F160="","",IF(INDEX('販売記録'!$D$5:$D$1004,$F160)="","",INDEX('販売記録'!$D$5:$D$1004,$F160)))</ns0:f>
        <ns0:v/>
      </ns0:c>
      <ns0:c r="E160" s="12" t="str">
        <ns0:f>IF(OR(A160="",B160=""),"",MAX(0,TODAY()-A160))</ns0:f>
        <ns0:v/>
      </ns0:c>
      <ns0:c r="F160" s="9" t="str">
        <ns0:f>IFERROR(MATCH(ROW()-4,'販売記録'!$L$5:$L$1004,0),"")</ns0:f>
        <ns0:v/>
      </ns0:c>
    </ns0:row>
    <ns0:row r="161">
      <ns0:c r="A161" s="11" t="str">
        <ns0:f>IF($F161="","",IF(INDEX('販売記録'!$K$5:$K$1004,$F161)="","",INDEX('販売記録'!$K$5:$K$1004,$F161)))</ns0:f>
        <ns0:v/>
      </ns0:c>
      <ns0:c r="B161" s="9" t="str">
        <ns0:f>IF($F161="","",IF(INDEX('販売記録'!$B$5:$B$1004,$F161)="","",INDEX('販売記録'!$B$5:$B$1004,$F161)))</ns0:f>
        <ns0:v/>
      </ns0:c>
      <ns0:c r="C161" s="9" t="str">
        <ns0:f>IF($F161="","",IF(INDEX('販売記録'!$C$5:$C$1004,$F161)="","",INDEX('販売記録'!$C$5:$C$1004,$F161)))</ns0:f>
        <ns0:v/>
      </ns0:c>
      <ns0:c r="D161" s="8" t="str">
        <ns0:f>IF($F161="","",IF(INDEX('販売記録'!$D$5:$D$1004,$F161)="","",INDEX('販売記録'!$D$5:$D$1004,$F161)))</ns0:f>
        <ns0:v/>
      </ns0:c>
      <ns0:c r="E161" s="12" t="str">
        <ns0:f>IF(OR(A161="",B161=""),"",MAX(0,TODAY()-A161))</ns0:f>
        <ns0:v/>
      </ns0:c>
      <ns0:c r="F161" s="9" t="str">
        <ns0:f>IFERROR(MATCH(ROW()-4,'販売記録'!$L$5:$L$1004,0),"")</ns0:f>
        <ns0:v/>
      </ns0:c>
    </ns0:row>
    <ns0:row r="162">
      <ns0:c r="A162" s="11" t="str">
        <ns0:f>IF($F162="","",IF(INDEX('販売記録'!$K$5:$K$1004,$F162)="","",INDEX('販売記録'!$K$5:$K$1004,$F162)))</ns0:f>
        <ns0:v/>
      </ns0:c>
      <ns0:c r="B162" s="9" t="str">
        <ns0:f>IF($F162="","",IF(INDEX('販売記録'!$B$5:$B$1004,$F162)="","",INDEX('販売記録'!$B$5:$B$1004,$F162)))</ns0:f>
        <ns0:v/>
      </ns0:c>
      <ns0:c r="C162" s="9" t="str">
        <ns0:f>IF($F162="","",IF(INDEX('販売記録'!$C$5:$C$1004,$F162)="","",INDEX('販売記録'!$C$5:$C$1004,$F162)))</ns0:f>
        <ns0:v/>
      </ns0:c>
      <ns0:c r="D162" s="8" t="str">
        <ns0:f>IF($F162="","",IF(INDEX('販売記録'!$D$5:$D$1004,$F162)="","",INDEX('販売記録'!$D$5:$D$1004,$F162)))</ns0:f>
        <ns0:v/>
      </ns0:c>
      <ns0:c r="E162" s="12" t="str">
        <ns0:f>IF(OR(A162="",B162=""),"",MAX(0,TODAY()-A162))</ns0:f>
        <ns0:v/>
      </ns0:c>
      <ns0:c r="F162" s="9" t="str">
        <ns0:f>IFERROR(MATCH(ROW()-4,'販売記録'!$L$5:$L$1004,0),"")</ns0:f>
        <ns0:v/>
      </ns0:c>
    </ns0:row>
    <ns0:row r="163">
      <ns0:c r="A163" s="11" t="str">
        <ns0:f>IF($F163="","",IF(INDEX('販売記録'!$K$5:$K$1004,$F163)="","",INDEX('販売記録'!$K$5:$K$1004,$F163)))</ns0:f>
        <ns0:v/>
      </ns0:c>
      <ns0:c r="B163" s="9" t="str">
        <ns0:f>IF($F163="","",IF(INDEX('販売記録'!$B$5:$B$1004,$F163)="","",INDEX('販売記録'!$B$5:$B$1004,$F163)))</ns0:f>
        <ns0:v/>
      </ns0:c>
      <ns0:c r="C163" s="9" t="str">
        <ns0:f>IF($F163="","",IF(INDEX('販売記録'!$C$5:$C$1004,$F163)="","",INDEX('販売記録'!$C$5:$C$1004,$F163)))</ns0:f>
        <ns0:v/>
      </ns0:c>
      <ns0:c r="D163" s="8" t="str">
        <ns0:f>IF($F163="","",IF(INDEX('販売記録'!$D$5:$D$1004,$F163)="","",INDEX('販売記録'!$D$5:$D$1004,$F163)))</ns0:f>
        <ns0:v/>
      </ns0:c>
      <ns0:c r="E163" s="12" t="str">
        <ns0:f>IF(OR(A163="",B163=""),"",MAX(0,TODAY()-A163))</ns0:f>
        <ns0:v/>
      </ns0:c>
      <ns0:c r="F163" s="9" t="str">
        <ns0:f>IFERROR(MATCH(ROW()-4,'販売記録'!$L$5:$L$1004,0),"")</ns0:f>
        <ns0:v/>
      </ns0:c>
    </ns0:row>
    <ns0:row r="164">
      <ns0:c r="A164" s="11" t="str">
        <ns0:f>IF($F164="","",IF(INDEX('販売記録'!$K$5:$K$1004,$F164)="","",INDEX('販売記録'!$K$5:$K$1004,$F164)))</ns0:f>
        <ns0:v/>
      </ns0:c>
      <ns0:c r="B164" s="9" t="str">
        <ns0:f>IF($F164="","",IF(INDEX('販売記録'!$B$5:$B$1004,$F164)="","",INDEX('販売記録'!$B$5:$B$1004,$F164)))</ns0:f>
        <ns0:v/>
      </ns0:c>
      <ns0:c r="C164" s="9" t="str">
        <ns0:f>IF($F164="","",IF(INDEX('販売記録'!$C$5:$C$1004,$F164)="","",INDEX('販売記録'!$C$5:$C$1004,$F164)))</ns0:f>
        <ns0:v/>
      </ns0:c>
      <ns0:c r="D164" s="8" t="str">
        <ns0:f>IF($F164="","",IF(INDEX('販売記録'!$D$5:$D$1004,$F164)="","",INDEX('販売記録'!$D$5:$D$1004,$F164)))</ns0:f>
        <ns0:v/>
      </ns0:c>
      <ns0:c r="E164" s="12" t="str">
        <ns0:f>IF(OR(A164="",B164=""),"",MAX(0,TODAY()-A164))</ns0:f>
        <ns0:v/>
      </ns0:c>
      <ns0:c r="F164" s="9" t="str">
        <ns0:f>IFERROR(MATCH(ROW()-4,'販売記録'!$L$5:$L$1004,0),"")</ns0:f>
        <ns0:v/>
      </ns0:c>
    </ns0:row>
    <ns0:row r="165">
      <ns0:c r="A165" s="11" t="str">
        <ns0:f>IF($F165="","",IF(INDEX('販売記録'!$K$5:$K$1004,$F165)="","",INDEX('販売記録'!$K$5:$K$1004,$F165)))</ns0:f>
        <ns0:v/>
      </ns0:c>
      <ns0:c r="B165" s="9" t="str">
        <ns0:f>IF($F165="","",IF(INDEX('販売記録'!$B$5:$B$1004,$F165)="","",INDEX('販売記録'!$B$5:$B$1004,$F165)))</ns0:f>
        <ns0:v/>
      </ns0:c>
      <ns0:c r="C165" s="9" t="str">
        <ns0:f>IF($F165="","",IF(INDEX('販売記録'!$C$5:$C$1004,$F165)="","",INDEX('販売記録'!$C$5:$C$1004,$F165)))</ns0:f>
        <ns0:v/>
      </ns0:c>
      <ns0:c r="D165" s="8" t="str">
        <ns0:f>IF($F165="","",IF(INDEX('販売記録'!$D$5:$D$1004,$F165)="","",INDEX('販売記録'!$D$5:$D$1004,$F165)))</ns0:f>
        <ns0:v/>
      </ns0:c>
      <ns0:c r="E165" s="12" t="str">
        <ns0:f>IF(OR(A165="",B165=""),"",MAX(0,TODAY()-A165))</ns0:f>
        <ns0:v/>
      </ns0:c>
      <ns0:c r="F165" s="9" t="str">
        <ns0:f>IFERROR(MATCH(ROW()-4,'販売記録'!$L$5:$L$1004,0),"")</ns0:f>
        <ns0:v/>
      </ns0:c>
    </ns0:row>
    <ns0:row r="166">
      <ns0:c r="A166" s="11" t="str">
        <ns0:f>IF($F166="","",IF(INDEX('販売記録'!$K$5:$K$1004,$F166)="","",INDEX('販売記録'!$K$5:$K$1004,$F166)))</ns0:f>
        <ns0:v/>
      </ns0:c>
      <ns0:c r="B166" s="9" t="str">
        <ns0:f>IF($F166="","",IF(INDEX('販売記録'!$B$5:$B$1004,$F166)="","",INDEX('販売記録'!$B$5:$B$1004,$F166)))</ns0:f>
        <ns0:v/>
      </ns0:c>
      <ns0:c r="C166" s="9" t="str">
        <ns0:f>IF($F166="","",IF(INDEX('販売記録'!$C$5:$C$1004,$F166)="","",INDEX('販売記録'!$C$5:$C$1004,$F166)))</ns0:f>
        <ns0:v/>
      </ns0:c>
      <ns0:c r="D166" s="8" t="str">
        <ns0:f>IF($F166="","",IF(INDEX('販売記録'!$D$5:$D$1004,$F166)="","",INDEX('販売記録'!$D$5:$D$1004,$F166)))</ns0:f>
        <ns0:v/>
      </ns0:c>
      <ns0:c r="E166" s="12" t="str">
        <ns0:f>IF(OR(A166="",B166=""),"",MAX(0,TODAY()-A166))</ns0:f>
        <ns0:v/>
      </ns0:c>
      <ns0:c r="F166" s="9" t="str">
        <ns0:f>IFERROR(MATCH(ROW()-4,'販売記録'!$L$5:$L$1004,0),"")</ns0:f>
        <ns0:v/>
      </ns0:c>
    </ns0:row>
    <ns0:row r="167">
      <ns0:c r="A167" s="11" t="str">
        <ns0:f>IF($F167="","",IF(INDEX('販売記録'!$K$5:$K$1004,$F167)="","",INDEX('販売記録'!$K$5:$K$1004,$F167)))</ns0:f>
        <ns0:v/>
      </ns0:c>
      <ns0:c r="B167" s="9" t="str">
        <ns0:f>IF($F167="","",IF(INDEX('販売記録'!$B$5:$B$1004,$F167)="","",INDEX('販売記録'!$B$5:$B$1004,$F167)))</ns0:f>
        <ns0:v/>
      </ns0:c>
      <ns0:c r="C167" s="9" t="str">
        <ns0:f>IF($F167="","",IF(INDEX('販売記録'!$C$5:$C$1004,$F167)="","",INDEX('販売記録'!$C$5:$C$1004,$F167)))</ns0:f>
        <ns0:v/>
      </ns0:c>
      <ns0:c r="D167" s="8" t="str">
        <ns0:f>IF($F167="","",IF(INDEX('販売記録'!$D$5:$D$1004,$F167)="","",INDEX('販売記録'!$D$5:$D$1004,$F167)))</ns0:f>
        <ns0:v/>
      </ns0:c>
      <ns0:c r="E167" s="12" t="str">
        <ns0:f>IF(OR(A167="",B167=""),"",MAX(0,TODAY()-A167))</ns0:f>
        <ns0:v/>
      </ns0:c>
      <ns0:c r="F167" s="9" t="str">
        <ns0:f>IFERROR(MATCH(ROW()-4,'販売記録'!$L$5:$L$1004,0),"")</ns0:f>
        <ns0:v/>
      </ns0:c>
    </ns0:row>
    <ns0:row r="168">
      <ns0:c r="A168" s="11" t="str">
        <ns0:f>IF($F168="","",IF(INDEX('販売記録'!$K$5:$K$1004,$F168)="","",INDEX('販売記録'!$K$5:$K$1004,$F168)))</ns0:f>
        <ns0:v/>
      </ns0:c>
      <ns0:c r="B168" s="9" t="str">
        <ns0:f>IF($F168="","",IF(INDEX('販売記録'!$B$5:$B$1004,$F168)="","",INDEX('販売記録'!$B$5:$B$1004,$F168)))</ns0:f>
        <ns0:v/>
      </ns0:c>
      <ns0:c r="C168" s="9" t="str">
        <ns0:f>IF($F168="","",IF(INDEX('販売記録'!$C$5:$C$1004,$F168)="","",INDEX('販売記録'!$C$5:$C$1004,$F168)))</ns0:f>
        <ns0:v/>
      </ns0:c>
      <ns0:c r="D168" s="8" t="str">
        <ns0:f>IF($F168="","",IF(INDEX('販売記録'!$D$5:$D$1004,$F168)="","",INDEX('販売記録'!$D$5:$D$1004,$F168)))</ns0:f>
        <ns0:v/>
      </ns0:c>
      <ns0:c r="E168" s="12" t="str">
        <ns0:f>IF(OR(A168="",B168=""),"",MAX(0,TODAY()-A168))</ns0:f>
        <ns0:v/>
      </ns0:c>
      <ns0:c r="F168" s="9" t="str">
        <ns0:f>IFERROR(MATCH(ROW()-4,'販売記録'!$L$5:$L$1004,0),"")</ns0:f>
        <ns0:v/>
      </ns0:c>
    </ns0:row>
    <ns0:row r="169">
      <ns0:c r="A169" s="11" t="str">
        <ns0:f>IF($F169="","",IF(INDEX('販売記録'!$K$5:$K$1004,$F169)="","",INDEX('販売記録'!$K$5:$K$1004,$F169)))</ns0:f>
        <ns0:v/>
      </ns0:c>
      <ns0:c r="B169" s="9" t="str">
        <ns0:f>IF($F169="","",IF(INDEX('販売記録'!$B$5:$B$1004,$F169)="","",INDEX('販売記録'!$B$5:$B$1004,$F169)))</ns0:f>
        <ns0:v/>
      </ns0:c>
      <ns0:c r="C169" s="9" t="str">
        <ns0:f>IF($F169="","",IF(INDEX('販売記録'!$C$5:$C$1004,$F169)="","",INDEX('販売記録'!$C$5:$C$1004,$F169)))</ns0:f>
        <ns0:v/>
      </ns0:c>
      <ns0:c r="D169" s="8" t="str">
        <ns0:f>IF($F169="","",IF(INDEX('販売記録'!$D$5:$D$1004,$F169)="","",INDEX('販売記録'!$D$5:$D$1004,$F169)))</ns0:f>
        <ns0:v/>
      </ns0:c>
      <ns0:c r="E169" s="12" t="str">
        <ns0:f>IF(OR(A169="",B169=""),"",MAX(0,TODAY()-A169))</ns0:f>
        <ns0:v/>
      </ns0:c>
      <ns0:c r="F169" s="9" t="str">
        <ns0:f>IFERROR(MATCH(ROW()-4,'販売記録'!$L$5:$L$1004,0),"")</ns0:f>
        <ns0:v/>
      </ns0:c>
    </ns0:row>
    <ns0:row r="170">
      <ns0:c r="A170" s="11" t="str">
        <ns0:f>IF($F170="","",IF(INDEX('販売記録'!$K$5:$K$1004,$F170)="","",INDEX('販売記録'!$K$5:$K$1004,$F170)))</ns0:f>
        <ns0:v/>
      </ns0:c>
      <ns0:c r="B170" s="9" t="str">
        <ns0:f>IF($F170="","",IF(INDEX('販売記録'!$B$5:$B$1004,$F170)="","",INDEX('販売記録'!$B$5:$B$1004,$F170)))</ns0:f>
        <ns0:v/>
      </ns0:c>
      <ns0:c r="C170" s="9" t="str">
        <ns0:f>IF($F170="","",IF(INDEX('販売記録'!$C$5:$C$1004,$F170)="","",INDEX('販売記録'!$C$5:$C$1004,$F170)))</ns0:f>
        <ns0:v/>
      </ns0:c>
      <ns0:c r="D170" s="8" t="str">
        <ns0:f>IF($F170="","",IF(INDEX('販売記録'!$D$5:$D$1004,$F170)="","",INDEX('販売記録'!$D$5:$D$1004,$F170)))</ns0:f>
        <ns0:v/>
      </ns0:c>
      <ns0:c r="E170" s="12" t="str">
        <ns0:f>IF(OR(A170="",B170=""),"",MAX(0,TODAY()-A170))</ns0:f>
        <ns0:v/>
      </ns0:c>
      <ns0:c r="F170" s="9" t="str">
        <ns0:f>IFERROR(MATCH(ROW()-4,'販売記録'!$L$5:$L$1004,0),"")</ns0:f>
        <ns0:v/>
      </ns0:c>
    </ns0:row>
    <ns0:row r="171">
      <ns0:c r="A171" s="11" t="str">
        <ns0:f>IF($F171="","",IF(INDEX('販売記録'!$K$5:$K$1004,$F171)="","",INDEX('販売記録'!$K$5:$K$1004,$F171)))</ns0:f>
        <ns0:v/>
      </ns0:c>
      <ns0:c r="B171" s="9" t="str">
        <ns0:f>IF($F171="","",IF(INDEX('販売記録'!$B$5:$B$1004,$F171)="","",INDEX('販売記録'!$B$5:$B$1004,$F171)))</ns0:f>
        <ns0:v/>
      </ns0:c>
      <ns0:c r="C171" s="9" t="str">
        <ns0:f>IF($F171="","",IF(INDEX('販売記録'!$C$5:$C$1004,$F171)="","",INDEX('販売記録'!$C$5:$C$1004,$F171)))</ns0:f>
        <ns0:v/>
      </ns0:c>
      <ns0:c r="D171" s="8" t="str">
        <ns0:f>IF($F171="","",IF(INDEX('販売記録'!$D$5:$D$1004,$F171)="","",INDEX('販売記録'!$D$5:$D$1004,$F171)))</ns0:f>
        <ns0:v/>
      </ns0:c>
      <ns0:c r="E171" s="12" t="str">
        <ns0:f>IF(OR(A171="",B171=""),"",MAX(0,TODAY()-A171))</ns0:f>
        <ns0:v/>
      </ns0:c>
      <ns0:c r="F171" s="9" t="str">
        <ns0:f>IFERROR(MATCH(ROW()-4,'販売記録'!$L$5:$L$1004,0),"")</ns0:f>
        <ns0:v/>
      </ns0:c>
    </ns0:row>
    <ns0:row r="172">
      <ns0:c r="A172" s="11" t="str">
        <ns0:f>IF($F172="","",IF(INDEX('販売記録'!$K$5:$K$1004,$F172)="","",INDEX('販売記録'!$K$5:$K$1004,$F172)))</ns0:f>
        <ns0:v/>
      </ns0:c>
      <ns0:c r="B172" s="9" t="str">
        <ns0:f>IF($F172="","",IF(INDEX('販売記録'!$B$5:$B$1004,$F172)="","",INDEX('販売記録'!$B$5:$B$1004,$F172)))</ns0:f>
        <ns0:v/>
      </ns0:c>
      <ns0:c r="C172" s="9" t="str">
        <ns0:f>IF($F172="","",IF(INDEX('販売記録'!$C$5:$C$1004,$F172)="","",INDEX('販売記録'!$C$5:$C$1004,$F172)))</ns0:f>
        <ns0:v/>
      </ns0:c>
      <ns0:c r="D172" s="8" t="str">
        <ns0:f>IF($F172="","",IF(INDEX('販売記録'!$D$5:$D$1004,$F172)="","",INDEX('販売記録'!$D$5:$D$1004,$F172)))</ns0:f>
        <ns0:v/>
      </ns0:c>
      <ns0:c r="E172" s="12" t="str">
        <ns0:f>IF(OR(A172="",B172=""),"",MAX(0,TODAY()-A172))</ns0:f>
        <ns0:v/>
      </ns0:c>
      <ns0:c r="F172" s="9" t="str">
        <ns0:f>IFERROR(MATCH(ROW()-4,'販売記録'!$L$5:$L$1004,0),"")</ns0:f>
        <ns0:v/>
      </ns0:c>
    </ns0:row>
    <ns0:row r="173">
      <ns0:c r="A173" s="11" t="str">
        <ns0:f>IF($F173="","",IF(INDEX('販売記録'!$K$5:$K$1004,$F173)="","",INDEX('販売記録'!$K$5:$K$1004,$F173)))</ns0:f>
        <ns0:v/>
      </ns0:c>
      <ns0:c r="B173" s="9" t="str">
        <ns0:f>IF($F173="","",IF(INDEX('販売記録'!$B$5:$B$1004,$F173)="","",INDEX('販売記録'!$B$5:$B$1004,$F173)))</ns0:f>
        <ns0:v/>
      </ns0:c>
      <ns0:c r="C173" s="9" t="str">
        <ns0:f>IF($F173="","",IF(INDEX('販売記録'!$C$5:$C$1004,$F173)="","",INDEX('販売記録'!$C$5:$C$1004,$F173)))</ns0:f>
        <ns0:v/>
      </ns0:c>
      <ns0:c r="D173" s="8" t="str">
        <ns0:f>IF($F173="","",IF(INDEX('販売記録'!$D$5:$D$1004,$F173)="","",INDEX('販売記録'!$D$5:$D$1004,$F173)))</ns0:f>
        <ns0:v/>
      </ns0:c>
      <ns0:c r="E173" s="12" t="str">
        <ns0:f>IF(OR(A173="",B173=""),"",MAX(0,TODAY()-A173))</ns0:f>
        <ns0:v/>
      </ns0:c>
      <ns0:c r="F173" s="9" t="str">
        <ns0:f>IFERROR(MATCH(ROW()-4,'販売記録'!$L$5:$L$1004,0),"")</ns0:f>
        <ns0:v/>
      </ns0:c>
    </ns0:row>
    <ns0:row r="174">
      <ns0:c r="A174" s="11" t="str">
        <ns0:f>IF($F174="","",IF(INDEX('販売記録'!$K$5:$K$1004,$F174)="","",INDEX('販売記録'!$K$5:$K$1004,$F174)))</ns0:f>
        <ns0:v/>
      </ns0:c>
      <ns0:c r="B174" s="9" t="str">
        <ns0:f>IF($F174="","",IF(INDEX('販売記録'!$B$5:$B$1004,$F174)="","",INDEX('販売記録'!$B$5:$B$1004,$F174)))</ns0:f>
        <ns0:v/>
      </ns0:c>
      <ns0:c r="C174" s="9" t="str">
        <ns0:f>IF($F174="","",IF(INDEX('販売記録'!$C$5:$C$1004,$F174)="","",INDEX('販売記録'!$C$5:$C$1004,$F174)))</ns0:f>
        <ns0:v/>
      </ns0:c>
      <ns0:c r="D174" s="8" t="str">
        <ns0:f>IF($F174="","",IF(INDEX('販売記録'!$D$5:$D$1004,$F174)="","",INDEX('販売記録'!$D$5:$D$1004,$F174)))</ns0:f>
        <ns0:v/>
      </ns0:c>
      <ns0:c r="E174" s="12" t="str">
        <ns0:f>IF(OR(A174="",B174=""),"",MAX(0,TODAY()-A174))</ns0:f>
        <ns0:v/>
      </ns0:c>
      <ns0:c r="F174" s="9" t="str">
        <ns0:f>IFERROR(MATCH(ROW()-4,'販売記録'!$L$5:$L$1004,0),"")</ns0:f>
        <ns0:v/>
      </ns0:c>
    </ns0:row>
    <ns0:row r="175">
      <ns0:c r="A175" s="11" t="str">
        <ns0:f>IF($F175="","",IF(INDEX('販売記録'!$K$5:$K$1004,$F175)="","",INDEX('販売記録'!$K$5:$K$1004,$F175)))</ns0:f>
        <ns0:v/>
      </ns0:c>
      <ns0:c r="B175" s="9" t="str">
        <ns0:f>IF($F175="","",IF(INDEX('販売記録'!$B$5:$B$1004,$F175)="","",INDEX('販売記録'!$B$5:$B$1004,$F175)))</ns0:f>
        <ns0:v/>
      </ns0:c>
      <ns0:c r="C175" s="9" t="str">
        <ns0:f>IF($F175="","",IF(INDEX('販売記録'!$C$5:$C$1004,$F175)="","",INDEX('販売記録'!$C$5:$C$1004,$F175)))</ns0:f>
        <ns0:v/>
      </ns0:c>
      <ns0:c r="D175" s="8" t="str">
        <ns0:f>IF($F175="","",IF(INDEX('販売記録'!$D$5:$D$1004,$F175)="","",INDEX('販売記録'!$D$5:$D$1004,$F175)))</ns0:f>
        <ns0:v/>
      </ns0:c>
      <ns0:c r="E175" s="12" t="str">
        <ns0:f>IF(OR(A175="",B175=""),"",MAX(0,TODAY()-A175))</ns0:f>
        <ns0:v/>
      </ns0:c>
      <ns0:c r="F175" s="9" t="str">
        <ns0:f>IFERROR(MATCH(ROW()-4,'販売記録'!$L$5:$L$1004,0),"")</ns0:f>
        <ns0:v/>
      </ns0:c>
    </ns0:row>
    <ns0:row r="176">
      <ns0:c r="A176" s="11" t="str">
        <ns0:f>IF($F176="","",IF(INDEX('販売記録'!$K$5:$K$1004,$F176)="","",INDEX('販売記録'!$K$5:$K$1004,$F176)))</ns0:f>
        <ns0:v/>
      </ns0:c>
      <ns0:c r="B176" s="9" t="str">
        <ns0:f>IF($F176="","",IF(INDEX('販売記録'!$B$5:$B$1004,$F176)="","",INDEX('販売記録'!$B$5:$B$1004,$F176)))</ns0:f>
        <ns0:v/>
      </ns0:c>
      <ns0:c r="C176" s="9" t="str">
        <ns0:f>IF($F176="","",IF(INDEX('販売記録'!$C$5:$C$1004,$F176)="","",INDEX('販売記録'!$C$5:$C$1004,$F176)))</ns0:f>
        <ns0:v/>
      </ns0:c>
      <ns0:c r="D176" s="8" t="str">
        <ns0:f>IF($F176="","",IF(INDEX('販売記録'!$D$5:$D$1004,$F176)="","",INDEX('販売記録'!$D$5:$D$1004,$F176)))</ns0:f>
        <ns0:v/>
      </ns0:c>
      <ns0:c r="E176" s="12" t="str">
        <ns0:f>IF(OR(A176="",B176=""),"",MAX(0,TODAY()-A176))</ns0:f>
        <ns0:v/>
      </ns0:c>
      <ns0:c r="F176" s="9" t="str">
        <ns0:f>IFERROR(MATCH(ROW()-4,'販売記録'!$L$5:$L$1004,0),"")</ns0:f>
        <ns0:v/>
      </ns0:c>
    </ns0:row>
    <ns0:row r="177">
      <ns0:c r="A177" s="11" t="str">
        <ns0:f>IF($F177="","",IF(INDEX('販売記録'!$K$5:$K$1004,$F177)="","",INDEX('販売記録'!$K$5:$K$1004,$F177)))</ns0:f>
        <ns0:v/>
      </ns0:c>
      <ns0:c r="B177" s="9" t="str">
        <ns0:f>IF($F177="","",IF(INDEX('販売記録'!$B$5:$B$1004,$F177)="","",INDEX('販売記録'!$B$5:$B$1004,$F177)))</ns0:f>
        <ns0:v/>
      </ns0:c>
      <ns0:c r="C177" s="9" t="str">
        <ns0:f>IF($F177="","",IF(INDEX('販売記録'!$C$5:$C$1004,$F177)="","",INDEX('販売記録'!$C$5:$C$1004,$F177)))</ns0:f>
        <ns0:v/>
      </ns0:c>
      <ns0:c r="D177" s="8" t="str">
        <ns0:f>IF($F177="","",IF(INDEX('販売記録'!$D$5:$D$1004,$F177)="","",INDEX('販売記録'!$D$5:$D$1004,$F177)))</ns0:f>
        <ns0:v/>
      </ns0:c>
      <ns0:c r="E177" s="12" t="str">
        <ns0:f>IF(OR(A177="",B177=""),"",MAX(0,TODAY()-A177))</ns0:f>
        <ns0:v/>
      </ns0:c>
      <ns0:c r="F177" s="9" t="str">
        <ns0:f>IFERROR(MATCH(ROW()-4,'販売記録'!$L$5:$L$1004,0),"")</ns0:f>
        <ns0:v/>
      </ns0:c>
    </ns0:row>
    <ns0:row r="178">
      <ns0:c r="A178" s="11" t="str">
        <ns0:f>IF($F178="","",IF(INDEX('販売記録'!$K$5:$K$1004,$F178)="","",INDEX('販売記録'!$K$5:$K$1004,$F178)))</ns0:f>
        <ns0:v/>
      </ns0:c>
      <ns0:c r="B178" s="9" t="str">
        <ns0:f>IF($F178="","",IF(INDEX('販売記録'!$B$5:$B$1004,$F178)="","",INDEX('販売記録'!$B$5:$B$1004,$F178)))</ns0:f>
        <ns0:v/>
      </ns0:c>
      <ns0:c r="C178" s="9" t="str">
        <ns0:f>IF($F178="","",IF(INDEX('販売記録'!$C$5:$C$1004,$F178)="","",INDEX('販売記録'!$C$5:$C$1004,$F178)))</ns0:f>
        <ns0:v/>
      </ns0:c>
      <ns0:c r="D178" s="8" t="str">
        <ns0:f>IF($F178="","",IF(INDEX('販売記録'!$D$5:$D$1004,$F178)="","",INDEX('販売記録'!$D$5:$D$1004,$F178)))</ns0:f>
        <ns0:v/>
      </ns0:c>
      <ns0:c r="E178" s="12" t="str">
        <ns0:f>IF(OR(A178="",B178=""),"",MAX(0,TODAY()-A178))</ns0:f>
        <ns0:v/>
      </ns0:c>
      <ns0:c r="F178" s="9" t="str">
        <ns0:f>IFERROR(MATCH(ROW()-4,'販売記録'!$L$5:$L$1004,0),"")</ns0:f>
        <ns0:v/>
      </ns0:c>
    </ns0:row>
    <ns0:row r="179">
      <ns0:c r="A179" s="11" t="str">
        <ns0:f>IF($F179="","",IF(INDEX('販売記録'!$K$5:$K$1004,$F179)="","",INDEX('販売記録'!$K$5:$K$1004,$F179)))</ns0:f>
        <ns0:v/>
      </ns0:c>
      <ns0:c r="B179" s="9" t="str">
        <ns0:f>IF($F179="","",IF(INDEX('販売記録'!$B$5:$B$1004,$F179)="","",INDEX('販売記録'!$B$5:$B$1004,$F179)))</ns0:f>
        <ns0:v/>
      </ns0:c>
      <ns0:c r="C179" s="9" t="str">
        <ns0:f>IF($F179="","",IF(INDEX('販売記録'!$C$5:$C$1004,$F179)="","",INDEX('販売記録'!$C$5:$C$1004,$F179)))</ns0:f>
        <ns0:v/>
      </ns0:c>
      <ns0:c r="D179" s="8" t="str">
        <ns0:f>IF($F179="","",IF(INDEX('販売記録'!$D$5:$D$1004,$F179)="","",INDEX('販売記録'!$D$5:$D$1004,$F179)))</ns0:f>
        <ns0:v/>
      </ns0:c>
      <ns0:c r="E179" s="12" t="str">
        <ns0:f>IF(OR(A179="",B179=""),"",MAX(0,TODAY()-A179))</ns0:f>
        <ns0:v/>
      </ns0:c>
      <ns0:c r="F179" s="9" t="str">
        <ns0:f>IFERROR(MATCH(ROW()-4,'販売記録'!$L$5:$L$1004,0),"")</ns0:f>
        <ns0:v/>
      </ns0:c>
    </ns0:row>
    <ns0:row r="180">
      <ns0:c r="A180" s="11" t="str">
        <ns0:f>IF($F180="","",IF(INDEX('販売記録'!$K$5:$K$1004,$F180)="","",INDEX('販売記録'!$K$5:$K$1004,$F180)))</ns0:f>
        <ns0:v/>
      </ns0:c>
      <ns0:c r="B180" s="9" t="str">
        <ns0:f>IF($F180="","",IF(INDEX('販売記録'!$B$5:$B$1004,$F180)="","",INDEX('販売記録'!$B$5:$B$1004,$F180)))</ns0:f>
        <ns0:v/>
      </ns0:c>
      <ns0:c r="C180" s="9" t="str">
        <ns0:f>IF($F180="","",IF(INDEX('販売記録'!$C$5:$C$1004,$F180)="","",INDEX('販売記録'!$C$5:$C$1004,$F180)))</ns0:f>
        <ns0:v/>
      </ns0:c>
      <ns0:c r="D180" s="8" t="str">
        <ns0:f>IF($F180="","",IF(INDEX('販売記録'!$D$5:$D$1004,$F180)="","",INDEX('販売記録'!$D$5:$D$1004,$F180)))</ns0:f>
        <ns0:v/>
      </ns0:c>
      <ns0:c r="E180" s="12" t="str">
        <ns0:f>IF(OR(A180="",B180=""),"",MAX(0,TODAY()-A180))</ns0:f>
        <ns0:v/>
      </ns0:c>
      <ns0:c r="F180" s="9" t="str">
        <ns0:f>IFERROR(MATCH(ROW()-4,'販売記録'!$L$5:$L$1004,0),"")</ns0:f>
        <ns0:v/>
      </ns0:c>
    </ns0:row>
    <ns0:row r="181">
      <ns0:c r="A181" s="11" t="str">
        <ns0:f>IF($F181="","",IF(INDEX('販売記録'!$K$5:$K$1004,$F181)="","",INDEX('販売記録'!$K$5:$K$1004,$F181)))</ns0:f>
        <ns0:v/>
      </ns0:c>
      <ns0:c r="B181" s="9" t="str">
        <ns0:f>IF($F181="","",IF(INDEX('販売記録'!$B$5:$B$1004,$F181)="","",INDEX('販売記録'!$B$5:$B$1004,$F181)))</ns0:f>
        <ns0:v/>
      </ns0:c>
      <ns0:c r="C181" s="9" t="str">
        <ns0:f>IF($F181="","",IF(INDEX('販売記録'!$C$5:$C$1004,$F181)="","",INDEX('販売記録'!$C$5:$C$1004,$F181)))</ns0:f>
        <ns0:v/>
      </ns0:c>
      <ns0:c r="D181" s="8" t="str">
        <ns0:f>IF($F181="","",IF(INDEX('販売記録'!$D$5:$D$1004,$F181)="","",INDEX('販売記録'!$D$5:$D$1004,$F181)))</ns0:f>
        <ns0:v/>
      </ns0:c>
      <ns0:c r="E181" s="12" t="str">
        <ns0:f>IF(OR(A181="",B181=""),"",MAX(0,TODAY()-A181))</ns0:f>
        <ns0:v/>
      </ns0:c>
      <ns0:c r="F181" s="9" t="str">
        <ns0:f>IFERROR(MATCH(ROW()-4,'販売記録'!$L$5:$L$1004,0),"")</ns0:f>
        <ns0:v/>
      </ns0:c>
    </ns0:row>
    <ns0:row r="182">
      <ns0:c r="A182" s="11" t="str">
        <ns0:f>IF($F182="","",IF(INDEX('販売記録'!$K$5:$K$1004,$F182)="","",INDEX('販売記録'!$K$5:$K$1004,$F182)))</ns0:f>
        <ns0:v/>
      </ns0:c>
      <ns0:c r="B182" s="9" t="str">
        <ns0:f>IF($F182="","",IF(INDEX('販売記録'!$B$5:$B$1004,$F182)="","",INDEX('販売記録'!$B$5:$B$1004,$F182)))</ns0:f>
        <ns0:v/>
      </ns0:c>
      <ns0:c r="C182" s="9" t="str">
        <ns0:f>IF($F182="","",IF(INDEX('販売記録'!$C$5:$C$1004,$F182)="","",INDEX('販売記録'!$C$5:$C$1004,$F182)))</ns0:f>
        <ns0:v/>
      </ns0:c>
      <ns0:c r="D182" s="8" t="str">
        <ns0:f>IF($F182="","",IF(INDEX('販売記録'!$D$5:$D$1004,$F182)="","",INDEX('販売記録'!$D$5:$D$1004,$F182)))</ns0:f>
        <ns0:v/>
      </ns0:c>
      <ns0:c r="E182" s="12" t="str">
        <ns0:f>IF(OR(A182="",B182=""),"",MAX(0,TODAY()-A182))</ns0:f>
        <ns0:v/>
      </ns0:c>
      <ns0:c r="F182" s="9" t="str">
        <ns0:f>IFERROR(MATCH(ROW()-4,'販売記録'!$L$5:$L$1004,0),"")</ns0:f>
        <ns0:v/>
      </ns0:c>
    </ns0:row>
    <ns0:row r="183">
      <ns0:c r="A183" s="11" t="str">
        <ns0:f>IF($F183="","",IF(INDEX('販売記録'!$K$5:$K$1004,$F183)="","",INDEX('販売記録'!$K$5:$K$1004,$F183)))</ns0:f>
        <ns0:v/>
      </ns0:c>
      <ns0:c r="B183" s="9" t="str">
        <ns0:f>IF($F183="","",IF(INDEX('販売記録'!$B$5:$B$1004,$F183)="","",INDEX('販売記録'!$B$5:$B$1004,$F183)))</ns0:f>
        <ns0:v/>
      </ns0:c>
      <ns0:c r="C183" s="9" t="str">
        <ns0:f>IF($F183="","",IF(INDEX('販売記録'!$C$5:$C$1004,$F183)="","",INDEX('販売記録'!$C$5:$C$1004,$F183)))</ns0:f>
        <ns0:v/>
      </ns0:c>
      <ns0:c r="D183" s="8" t="str">
        <ns0:f>IF($F183="","",IF(INDEX('販売記録'!$D$5:$D$1004,$F183)="","",INDEX('販売記録'!$D$5:$D$1004,$F183)))</ns0:f>
        <ns0:v/>
      </ns0:c>
      <ns0:c r="E183" s="12" t="str">
        <ns0:f>IF(OR(A183="",B183=""),"",MAX(0,TODAY()-A183))</ns0:f>
        <ns0:v/>
      </ns0:c>
      <ns0:c r="F183" s="9" t="str">
        <ns0:f>IFERROR(MATCH(ROW()-4,'販売記録'!$L$5:$L$1004,0),"")</ns0:f>
        <ns0:v/>
      </ns0:c>
    </ns0:row>
    <ns0:row r="184">
      <ns0:c r="A184" s="11" t="str">
        <ns0:f>IF($F184="","",IF(INDEX('販売記録'!$K$5:$K$1004,$F184)="","",INDEX('販売記録'!$K$5:$K$1004,$F184)))</ns0:f>
        <ns0:v/>
      </ns0:c>
      <ns0:c r="B184" s="9" t="str">
        <ns0:f>IF($F184="","",IF(INDEX('販売記録'!$B$5:$B$1004,$F184)="","",INDEX('販売記録'!$B$5:$B$1004,$F184)))</ns0:f>
        <ns0:v/>
      </ns0:c>
      <ns0:c r="C184" s="9" t="str">
        <ns0:f>IF($F184="","",IF(INDEX('販売記録'!$C$5:$C$1004,$F184)="","",INDEX('販売記録'!$C$5:$C$1004,$F184)))</ns0:f>
        <ns0:v/>
      </ns0:c>
      <ns0:c r="D184" s="8" t="str">
        <ns0:f>IF($F184="","",IF(INDEX('販売記録'!$D$5:$D$1004,$F184)="","",INDEX('販売記録'!$D$5:$D$1004,$F184)))</ns0:f>
        <ns0:v/>
      </ns0:c>
      <ns0:c r="E184" s="12" t="str">
        <ns0:f>IF(OR(A184="",B184=""),"",MAX(0,TODAY()-A184))</ns0:f>
        <ns0:v/>
      </ns0:c>
      <ns0:c r="F184" s="9" t="str">
        <ns0:f>IFERROR(MATCH(ROW()-4,'販売記録'!$L$5:$L$1004,0),"")</ns0:f>
        <ns0:v/>
      </ns0:c>
    </ns0:row>
    <ns0:row r="185">
      <ns0:c r="A185" s="11" t="str">
        <ns0:f>IF($F185="","",IF(INDEX('販売記録'!$K$5:$K$1004,$F185)="","",INDEX('販売記録'!$K$5:$K$1004,$F185)))</ns0:f>
        <ns0:v/>
      </ns0:c>
      <ns0:c r="B185" s="9" t="str">
        <ns0:f>IF($F185="","",IF(INDEX('販売記録'!$B$5:$B$1004,$F185)="","",INDEX('販売記録'!$B$5:$B$1004,$F185)))</ns0:f>
        <ns0:v/>
      </ns0:c>
      <ns0:c r="C185" s="9" t="str">
        <ns0:f>IF($F185="","",IF(INDEX('販売記録'!$C$5:$C$1004,$F185)="","",INDEX('販売記録'!$C$5:$C$1004,$F185)))</ns0:f>
        <ns0:v/>
      </ns0:c>
      <ns0:c r="D185" s="8" t="str">
        <ns0:f>IF($F185="","",IF(INDEX('販売記録'!$D$5:$D$1004,$F185)="","",INDEX('販売記録'!$D$5:$D$1004,$F185)))</ns0:f>
        <ns0:v/>
      </ns0:c>
      <ns0:c r="E185" s="12" t="str">
        <ns0:f>IF(OR(A185="",B185=""),"",MAX(0,TODAY()-A185))</ns0:f>
        <ns0:v/>
      </ns0:c>
      <ns0:c r="F185" s="9" t="str">
        <ns0:f>IFERROR(MATCH(ROW()-4,'販売記録'!$L$5:$L$1004,0),"")</ns0:f>
        <ns0:v/>
      </ns0:c>
    </ns0:row>
    <ns0:row r="186">
      <ns0:c r="A186" s="11" t="str">
        <ns0:f>IF($F186="","",IF(INDEX('販売記録'!$K$5:$K$1004,$F186)="","",INDEX('販売記録'!$K$5:$K$1004,$F186)))</ns0:f>
        <ns0:v/>
      </ns0:c>
      <ns0:c r="B186" s="9" t="str">
        <ns0:f>IF($F186="","",IF(INDEX('販売記録'!$B$5:$B$1004,$F186)="","",INDEX('販売記録'!$B$5:$B$1004,$F186)))</ns0:f>
        <ns0:v/>
      </ns0:c>
      <ns0:c r="C186" s="9" t="str">
        <ns0:f>IF($F186="","",IF(INDEX('販売記録'!$C$5:$C$1004,$F186)="","",INDEX('販売記録'!$C$5:$C$1004,$F186)))</ns0:f>
        <ns0:v/>
      </ns0:c>
      <ns0:c r="D186" s="8" t="str">
        <ns0:f>IF($F186="","",IF(INDEX('販売記録'!$D$5:$D$1004,$F186)="","",INDEX('販売記録'!$D$5:$D$1004,$F186)))</ns0:f>
        <ns0:v/>
      </ns0:c>
      <ns0:c r="E186" s="12" t="str">
        <ns0:f>IF(OR(A186="",B186=""),"",MAX(0,TODAY()-A186))</ns0:f>
        <ns0:v/>
      </ns0:c>
      <ns0:c r="F186" s="9" t="str">
        <ns0:f>IFERROR(MATCH(ROW()-4,'販売記録'!$L$5:$L$1004,0),"")</ns0:f>
        <ns0:v/>
      </ns0:c>
    </ns0:row>
    <ns0:row r="187">
      <ns0:c r="A187" s="11" t="str">
        <ns0:f>IF($F187="","",IF(INDEX('販売記録'!$K$5:$K$1004,$F187)="","",INDEX('販売記録'!$K$5:$K$1004,$F187)))</ns0:f>
        <ns0:v/>
      </ns0:c>
      <ns0:c r="B187" s="9" t="str">
        <ns0:f>IF($F187="","",IF(INDEX('販売記録'!$B$5:$B$1004,$F187)="","",INDEX('販売記録'!$B$5:$B$1004,$F187)))</ns0:f>
        <ns0:v/>
      </ns0:c>
      <ns0:c r="C187" s="9" t="str">
        <ns0:f>IF($F187="","",IF(INDEX('販売記録'!$C$5:$C$1004,$F187)="","",INDEX('販売記録'!$C$5:$C$1004,$F187)))</ns0:f>
        <ns0:v/>
      </ns0:c>
      <ns0:c r="D187" s="8" t="str">
        <ns0:f>IF($F187="","",IF(INDEX('販売記録'!$D$5:$D$1004,$F187)="","",INDEX('販売記録'!$D$5:$D$1004,$F187)))</ns0:f>
        <ns0:v/>
      </ns0:c>
      <ns0:c r="E187" s="12" t="str">
        <ns0:f>IF(OR(A187="",B187=""),"",MAX(0,TODAY()-A187))</ns0:f>
        <ns0:v/>
      </ns0:c>
      <ns0:c r="F187" s="9" t="str">
        <ns0:f>IFERROR(MATCH(ROW()-4,'販売記録'!$L$5:$L$1004,0),"")</ns0:f>
        <ns0:v/>
      </ns0:c>
    </ns0:row>
    <ns0:row r="188">
      <ns0:c r="A188" s="11" t="str">
        <ns0:f>IF($F188="","",IF(INDEX('販売記録'!$K$5:$K$1004,$F188)="","",INDEX('販売記録'!$K$5:$K$1004,$F188)))</ns0:f>
        <ns0:v/>
      </ns0:c>
      <ns0:c r="B188" s="9" t="str">
        <ns0:f>IF($F188="","",IF(INDEX('販売記録'!$B$5:$B$1004,$F188)="","",INDEX('販売記録'!$B$5:$B$1004,$F188)))</ns0:f>
        <ns0:v/>
      </ns0:c>
      <ns0:c r="C188" s="9" t="str">
        <ns0:f>IF($F188="","",IF(INDEX('販売記録'!$C$5:$C$1004,$F188)="","",INDEX('販売記録'!$C$5:$C$1004,$F188)))</ns0:f>
        <ns0:v/>
      </ns0:c>
      <ns0:c r="D188" s="8" t="str">
        <ns0:f>IF($F188="","",IF(INDEX('販売記録'!$D$5:$D$1004,$F188)="","",INDEX('販売記録'!$D$5:$D$1004,$F188)))</ns0:f>
        <ns0:v/>
      </ns0:c>
      <ns0:c r="E188" s="12" t="str">
        <ns0:f>IF(OR(A188="",B188=""),"",MAX(0,TODAY()-A188))</ns0:f>
        <ns0:v/>
      </ns0:c>
      <ns0:c r="F188" s="9" t="str">
        <ns0:f>IFERROR(MATCH(ROW()-4,'販売記録'!$L$5:$L$1004,0),"")</ns0:f>
        <ns0:v/>
      </ns0:c>
    </ns0:row>
    <ns0:row r="189">
      <ns0:c r="A189" s="11" t="str">
        <ns0:f>IF($F189="","",IF(INDEX('販売記録'!$K$5:$K$1004,$F189)="","",INDEX('販売記録'!$K$5:$K$1004,$F189)))</ns0:f>
        <ns0:v/>
      </ns0:c>
      <ns0:c r="B189" s="9" t="str">
        <ns0:f>IF($F189="","",IF(INDEX('販売記録'!$B$5:$B$1004,$F189)="","",INDEX('販売記録'!$B$5:$B$1004,$F189)))</ns0:f>
        <ns0:v/>
      </ns0:c>
      <ns0:c r="C189" s="9" t="str">
        <ns0:f>IF($F189="","",IF(INDEX('販売記録'!$C$5:$C$1004,$F189)="","",INDEX('販売記録'!$C$5:$C$1004,$F189)))</ns0:f>
        <ns0:v/>
      </ns0:c>
      <ns0:c r="D189" s="8" t="str">
        <ns0:f>IF($F189="","",IF(INDEX('販売記録'!$D$5:$D$1004,$F189)="","",INDEX('販売記録'!$D$5:$D$1004,$F189)))</ns0:f>
        <ns0:v/>
      </ns0:c>
      <ns0:c r="E189" s="12" t="str">
        <ns0:f>IF(OR(A189="",B189=""),"",MAX(0,TODAY()-A189))</ns0:f>
        <ns0:v/>
      </ns0:c>
      <ns0:c r="F189" s="9" t="str">
        <ns0:f>IFERROR(MATCH(ROW()-4,'販売記録'!$L$5:$L$1004,0),"")</ns0:f>
        <ns0:v/>
      </ns0:c>
    </ns0:row>
    <ns0:row r="190">
      <ns0:c r="A190" s="11" t="str">
        <ns0:f>IF($F190="","",IF(INDEX('販売記録'!$K$5:$K$1004,$F190)="","",INDEX('販売記録'!$K$5:$K$1004,$F190)))</ns0:f>
        <ns0:v/>
      </ns0:c>
      <ns0:c r="B190" s="9" t="str">
        <ns0:f>IF($F190="","",IF(INDEX('販売記録'!$B$5:$B$1004,$F190)="","",INDEX('販売記録'!$B$5:$B$1004,$F190)))</ns0:f>
        <ns0:v/>
      </ns0:c>
      <ns0:c r="C190" s="9" t="str">
        <ns0:f>IF($F190="","",IF(INDEX('販売記録'!$C$5:$C$1004,$F190)="","",INDEX('販売記録'!$C$5:$C$1004,$F190)))</ns0:f>
        <ns0:v/>
      </ns0:c>
      <ns0:c r="D190" s="8" t="str">
        <ns0:f>IF($F190="","",IF(INDEX('販売記録'!$D$5:$D$1004,$F190)="","",INDEX('販売記録'!$D$5:$D$1004,$F190)))</ns0:f>
        <ns0:v/>
      </ns0:c>
      <ns0:c r="E190" s="12" t="str">
        <ns0:f>IF(OR(A190="",B190=""),"",MAX(0,TODAY()-A190))</ns0:f>
        <ns0:v/>
      </ns0:c>
      <ns0:c r="F190" s="9" t="str">
        <ns0:f>IFERROR(MATCH(ROW()-4,'販売記録'!$L$5:$L$1004,0),"")</ns0:f>
        <ns0:v/>
      </ns0:c>
    </ns0:row>
    <ns0:row r="191">
      <ns0:c r="A191" s="11" t="str">
        <ns0:f>IF($F191="","",IF(INDEX('販売記録'!$K$5:$K$1004,$F191)="","",INDEX('販売記録'!$K$5:$K$1004,$F191)))</ns0:f>
        <ns0:v/>
      </ns0:c>
      <ns0:c r="B191" s="9" t="str">
        <ns0:f>IF($F191="","",IF(INDEX('販売記録'!$B$5:$B$1004,$F191)="","",INDEX('販売記録'!$B$5:$B$1004,$F191)))</ns0:f>
        <ns0:v/>
      </ns0:c>
      <ns0:c r="C191" s="9" t="str">
        <ns0:f>IF($F191="","",IF(INDEX('販売記録'!$C$5:$C$1004,$F191)="","",INDEX('販売記録'!$C$5:$C$1004,$F191)))</ns0:f>
        <ns0:v/>
      </ns0:c>
      <ns0:c r="D191" s="8" t="str">
        <ns0:f>IF($F191="","",IF(INDEX('販売記録'!$D$5:$D$1004,$F191)="","",INDEX('販売記録'!$D$5:$D$1004,$F191)))</ns0:f>
        <ns0:v/>
      </ns0:c>
      <ns0:c r="E191" s="12" t="str">
        <ns0:f>IF(OR(A191="",B191=""),"",MAX(0,TODAY()-A191))</ns0:f>
        <ns0:v/>
      </ns0:c>
      <ns0:c r="F191" s="9" t="str">
        <ns0:f>IFERROR(MATCH(ROW()-4,'販売記録'!$L$5:$L$1004,0),"")</ns0:f>
        <ns0:v/>
      </ns0:c>
    </ns0:row>
    <ns0:row r="192">
      <ns0:c r="A192" s="11" t="str">
        <ns0:f>IF($F192="","",IF(INDEX('販売記録'!$K$5:$K$1004,$F192)="","",INDEX('販売記録'!$K$5:$K$1004,$F192)))</ns0:f>
        <ns0:v/>
      </ns0:c>
      <ns0:c r="B192" s="9" t="str">
        <ns0:f>IF($F192="","",IF(INDEX('販売記録'!$B$5:$B$1004,$F192)="","",INDEX('販売記録'!$B$5:$B$1004,$F192)))</ns0:f>
        <ns0:v/>
      </ns0:c>
      <ns0:c r="C192" s="9" t="str">
        <ns0:f>IF($F192="","",IF(INDEX('販売記録'!$C$5:$C$1004,$F192)="","",INDEX('販売記録'!$C$5:$C$1004,$F192)))</ns0:f>
        <ns0:v/>
      </ns0:c>
      <ns0:c r="D192" s="8" t="str">
        <ns0:f>IF($F192="","",IF(INDEX('販売記録'!$D$5:$D$1004,$F192)="","",INDEX('販売記録'!$D$5:$D$1004,$F192)))</ns0:f>
        <ns0:v/>
      </ns0:c>
      <ns0:c r="E192" s="12" t="str">
        <ns0:f>IF(OR(A192="",B192=""),"",MAX(0,TODAY()-A192))</ns0:f>
        <ns0:v/>
      </ns0:c>
      <ns0:c r="F192" s="9" t="str">
        <ns0:f>IFERROR(MATCH(ROW()-4,'販売記録'!$L$5:$L$1004,0),"")</ns0:f>
        <ns0:v/>
      </ns0:c>
    </ns0:row>
    <ns0:row r="193">
      <ns0:c r="A193" s="11" t="str">
        <ns0:f>IF($F193="","",IF(INDEX('販売記録'!$K$5:$K$1004,$F193)="","",INDEX('販売記録'!$K$5:$K$1004,$F193)))</ns0:f>
        <ns0:v/>
      </ns0:c>
      <ns0:c r="B193" s="9" t="str">
        <ns0:f>IF($F193="","",IF(INDEX('販売記録'!$B$5:$B$1004,$F193)="","",INDEX('販売記録'!$B$5:$B$1004,$F193)))</ns0:f>
        <ns0:v/>
      </ns0:c>
      <ns0:c r="C193" s="9" t="str">
        <ns0:f>IF($F193="","",IF(INDEX('販売記録'!$C$5:$C$1004,$F193)="","",INDEX('販売記録'!$C$5:$C$1004,$F193)))</ns0:f>
        <ns0:v/>
      </ns0:c>
      <ns0:c r="D193" s="8" t="str">
        <ns0:f>IF($F193="","",IF(INDEX('販売記録'!$D$5:$D$1004,$F193)="","",INDEX('販売記録'!$D$5:$D$1004,$F193)))</ns0:f>
        <ns0:v/>
      </ns0:c>
      <ns0:c r="E193" s="12" t="str">
        <ns0:f>IF(OR(A193="",B193=""),"",MAX(0,TODAY()-A193))</ns0:f>
        <ns0:v/>
      </ns0:c>
      <ns0:c r="F193" s="9" t="str">
        <ns0:f>IFERROR(MATCH(ROW()-4,'販売記録'!$L$5:$L$1004,0),"")</ns0:f>
        <ns0:v/>
      </ns0:c>
    </ns0:row>
    <ns0:row r="194">
      <ns0:c r="A194" s="11" t="str">
        <ns0:f>IF($F194="","",IF(INDEX('販売記録'!$K$5:$K$1004,$F194)="","",INDEX('販売記録'!$K$5:$K$1004,$F194)))</ns0:f>
        <ns0:v/>
      </ns0:c>
      <ns0:c r="B194" s="9" t="str">
        <ns0:f>IF($F194="","",IF(INDEX('販売記録'!$B$5:$B$1004,$F194)="","",INDEX('販売記録'!$B$5:$B$1004,$F194)))</ns0:f>
        <ns0:v/>
      </ns0:c>
      <ns0:c r="C194" s="9" t="str">
        <ns0:f>IF($F194="","",IF(INDEX('販売記録'!$C$5:$C$1004,$F194)="","",INDEX('販売記録'!$C$5:$C$1004,$F194)))</ns0:f>
        <ns0:v/>
      </ns0:c>
      <ns0:c r="D194" s="8" t="str">
        <ns0:f>IF($F194="","",IF(INDEX('販売記録'!$D$5:$D$1004,$F194)="","",INDEX('販売記録'!$D$5:$D$1004,$F194)))</ns0:f>
        <ns0:v/>
      </ns0:c>
      <ns0:c r="E194" s="12" t="str">
        <ns0:f>IF(OR(A194="",B194=""),"",MAX(0,TODAY()-A194))</ns0:f>
        <ns0:v/>
      </ns0:c>
      <ns0:c r="F194" s="9" t="str">
        <ns0:f>IFERROR(MATCH(ROW()-4,'販売記録'!$L$5:$L$1004,0),"")</ns0:f>
        <ns0:v/>
      </ns0:c>
    </ns0:row>
    <ns0:row r="195">
      <ns0:c r="A195" s="11" t="str">
        <ns0:f>IF($F195="","",IF(INDEX('販売記録'!$K$5:$K$1004,$F195)="","",INDEX('販売記録'!$K$5:$K$1004,$F195)))</ns0:f>
        <ns0:v/>
      </ns0:c>
      <ns0:c r="B195" s="9" t="str">
        <ns0:f>IF($F195="","",IF(INDEX('販売記録'!$B$5:$B$1004,$F195)="","",INDEX('販売記録'!$B$5:$B$1004,$F195)))</ns0:f>
        <ns0:v/>
      </ns0:c>
      <ns0:c r="C195" s="9" t="str">
        <ns0:f>IF($F195="","",IF(INDEX('販売記録'!$C$5:$C$1004,$F195)="","",INDEX('販売記録'!$C$5:$C$1004,$F195)))</ns0:f>
        <ns0:v/>
      </ns0:c>
      <ns0:c r="D195" s="8" t="str">
        <ns0:f>IF($F195="","",IF(INDEX('販売記録'!$D$5:$D$1004,$F195)="","",INDEX('販売記録'!$D$5:$D$1004,$F195)))</ns0:f>
        <ns0:v/>
      </ns0:c>
      <ns0:c r="E195" s="12" t="str">
        <ns0:f>IF(OR(A195="",B195=""),"",MAX(0,TODAY()-A195))</ns0:f>
        <ns0:v/>
      </ns0:c>
      <ns0:c r="F195" s="9" t="str">
        <ns0:f>IFERROR(MATCH(ROW()-4,'販売記録'!$L$5:$L$1004,0),"")</ns0:f>
        <ns0:v/>
      </ns0:c>
    </ns0:row>
    <ns0:row r="196">
      <ns0:c r="A196" s="11" t="str">
        <ns0:f>IF($F196="","",IF(INDEX('販売記録'!$K$5:$K$1004,$F196)="","",INDEX('販売記録'!$K$5:$K$1004,$F196)))</ns0:f>
        <ns0:v/>
      </ns0:c>
      <ns0:c r="B196" s="9" t="str">
        <ns0:f>IF($F196="","",IF(INDEX('販売記録'!$B$5:$B$1004,$F196)="","",INDEX('販売記録'!$B$5:$B$1004,$F196)))</ns0:f>
        <ns0:v/>
      </ns0:c>
      <ns0:c r="C196" s="9" t="str">
        <ns0:f>IF($F196="","",IF(INDEX('販売記録'!$C$5:$C$1004,$F196)="","",INDEX('販売記録'!$C$5:$C$1004,$F196)))</ns0:f>
        <ns0:v/>
      </ns0:c>
      <ns0:c r="D196" s="8" t="str">
        <ns0:f>IF($F196="","",IF(INDEX('販売記録'!$D$5:$D$1004,$F196)="","",INDEX('販売記録'!$D$5:$D$1004,$F196)))</ns0:f>
        <ns0:v/>
      </ns0:c>
      <ns0:c r="E196" s="12" t="str">
        <ns0:f>IF(OR(A196="",B196=""),"",MAX(0,TODAY()-A196))</ns0:f>
        <ns0:v/>
      </ns0:c>
      <ns0:c r="F196" s="9" t="str">
        <ns0:f>IFERROR(MATCH(ROW()-4,'販売記録'!$L$5:$L$1004,0),"")</ns0:f>
        <ns0:v/>
      </ns0:c>
    </ns0:row>
    <ns0:row r="197">
      <ns0:c r="A197" s="11" t="str">
        <ns0:f>IF($F197="","",IF(INDEX('販売記録'!$K$5:$K$1004,$F197)="","",INDEX('販売記録'!$K$5:$K$1004,$F197)))</ns0:f>
        <ns0:v/>
      </ns0:c>
      <ns0:c r="B197" s="9" t="str">
        <ns0:f>IF($F197="","",IF(INDEX('販売記録'!$B$5:$B$1004,$F197)="","",INDEX('販売記録'!$B$5:$B$1004,$F197)))</ns0:f>
        <ns0:v/>
      </ns0:c>
      <ns0:c r="C197" s="9" t="str">
        <ns0:f>IF($F197="","",IF(INDEX('販売記録'!$C$5:$C$1004,$F197)="","",INDEX('販売記録'!$C$5:$C$1004,$F197)))</ns0:f>
        <ns0:v/>
      </ns0:c>
      <ns0:c r="D197" s="8" t="str">
        <ns0:f>IF($F197="","",IF(INDEX('販売記録'!$D$5:$D$1004,$F197)="","",INDEX('販売記録'!$D$5:$D$1004,$F197)))</ns0:f>
        <ns0:v/>
      </ns0:c>
      <ns0:c r="E197" s="12" t="str">
        <ns0:f>IF(OR(A197="",B197=""),"",MAX(0,TODAY()-A197))</ns0:f>
        <ns0:v/>
      </ns0:c>
      <ns0:c r="F197" s="9" t="str">
        <ns0:f>IFERROR(MATCH(ROW()-4,'販売記録'!$L$5:$L$1004,0),"")</ns0:f>
        <ns0:v/>
      </ns0:c>
    </ns0:row>
    <ns0:row r="198">
      <ns0:c r="A198" s="11" t="str">
        <ns0:f>IF($F198="","",IF(INDEX('販売記録'!$K$5:$K$1004,$F198)="","",INDEX('販売記録'!$K$5:$K$1004,$F198)))</ns0:f>
        <ns0:v/>
      </ns0:c>
      <ns0:c r="B198" s="9" t="str">
        <ns0:f>IF($F198="","",IF(INDEX('販売記録'!$B$5:$B$1004,$F198)="","",INDEX('販売記録'!$B$5:$B$1004,$F198)))</ns0:f>
        <ns0:v/>
      </ns0:c>
      <ns0:c r="C198" s="9" t="str">
        <ns0:f>IF($F198="","",IF(INDEX('販売記録'!$C$5:$C$1004,$F198)="","",INDEX('販売記録'!$C$5:$C$1004,$F198)))</ns0:f>
        <ns0:v/>
      </ns0:c>
      <ns0:c r="D198" s="8" t="str">
        <ns0:f>IF($F198="","",IF(INDEX('販売記録'!$D$5:$D$1004,$F198)="","",INDEX('販売記録'!$D$5:$D$1004,$F198)))</ns0:f>
        <ns0:v/>
      </ns0:c>
      <ns0:c r="E198" s="12" t="str">
        <ns0:f>IF(OR(A198="",B198=""),"",MAX(0,TODAY()-A198))</ns0:f>
        <ns0:v/>
      </ns0:c>
      <ns0:c r="F198" s="9" t="str">
        <ns0:f>IFERROR(MATCH(ROW()-4,'販売記録'!$L$5:$L$1004,0),"")</ns0:f>
        <ns0:v/>
      </ns0:c>
    </ns0:row>
    <ns0:row r="199">
      <ns0:c r="A199" s="11" t="str">
        <ns0:f>IF($F199="","",IF(INDEX('販売記録'!$K$5:$K$1004,$F199)="","",INDEX('販売記録'!$K$5:$K$1004,$F199)))</ns0:f>
        <ns0:v/>
      </ns0:c>
      <ns0:c r="B199" s="9" t="str">
        <ns0:f>IF($F199="","",IF(INDEX('販売記録'!$B$5:$B$1004,$F199)="","",INDEX('販売記録'!$B$5:$B$1004,$F199)))</ns0:f>
        <ns0:v/>
      </ns0:c>
      <ns0:c r="C199" s="9" t="str">
        <ns0:f>IF($F199="","",IF(INDEX('販売記録'!$C$5:$C$1004,$F199)="","",INDEX('販売記録'!$C$5:$C$1004,$F199)))</ns0:f>
        <ns0:v/>
      </ns0:c>
      <ns0:c r="D199" s="8" t="str">
        <ns0:f>IF($F199="","",IF(INDEX('販売記録'!$D$5:$D$1004,$F199)="","",INDEX('販売記録'!$D$5:$D$1004,$F199)))</ns0:f>
        <ns0:v/>
      </ns0:c>
      <ns0:c r="E199" s="12" t="str">
        <ns0:f>IF(OR(A199="",B199=""),"",MAX(0,TODAY()-A199))</ns0:f>
        <ns0:v/>
      </ns0:c>
      <ns0:c r="F199" s="9" t="str">
        <ns0:f>IFERROR(MATCH(ROW()-4,'販売記録'!$L$5:$L$1004,0),"")</ns0:f>
        <ns0:v/>
      </ns0:c>
    </ns0:row>
    <ns0:row r="200">
      <ns0:c r="A200" s="11" t="str">
        <ns0:f>IF($F200="","",IF(INDEX('販売記録'!$K$5:$K$1004,$F200)="","",INDEX('販売記録'!$K$5:$K$1004,$F200)))</ns0:f>
        <ns0:v/>
      </ns0:c>
      <ns0:c r="B200" s="9" t="str">
        <ns0:f>IF($F200="","",IF(INDEX('販売記録'!$B$5:$B$1004,$F200)="","",INDEX('販売記録'!$B$5:$B$1004,$F200)))</ns0:f>
        <ns0:v/>
      </ns0:c>
      <ns0:c r="C200" s="9" t="str">
        <ns0:f>IF($F200="","",IF(INDEX('販売記録'!$C$5:$C$1004,$F200)="","",INDEX('販売記録'!$C$5:$C$1004,$F200)))</ns0:f>
        <ns0:v/>
      </ns0:c>
      <ns0:c r="D200" s="8" t="str">
        <ns0:f>IF($F200="","",IF(INDEX('販売記録'!$D$5:$D$1004,$F200)="","",INDEX('販売記録'!$D$5:$D$1004,$F200)))</ns0:f>
        <ns0:v/>
      </ns0:c>
      <ns0:c r="E200" s="12" t="str">
        <ns0:f>IF(OR(A200="",B200=""),"",MAX(0,TODAY()-A200))</ns0:f>
        <ns0:v/>
      </ns0:c>
      <ns0:c r="F200" s="9" t="str">
        <ns0:f>IFERROR(MATCH(ROW()-4,'販売記録'!$L$5:$L$1004,0),"")</ns0:f>
        <ns0:v/>
      </ns0:c>
    </ns0:row>
    <ns0:row r="201">
      <ns0:c r="A201" s="11" t="str">
        <ns0:f>IF($F201="","",IF(INDEX('販売記録'!$K$5:$K$1004,$F201)="","",INDEX('販売記録'!$K$5:$K$1004,$F201)))</ns0:f>
        <ns0:v/>
      </ns0:c>
      <ns0:c r="B201" s="9" t="str">
        <ns0:f>IF($F201="","",IF(INDEX('販売記録'!$B$5:$B$1004,$F201)="","",INDEX('販売記録'!$B$5:$B$1004,$F201)))</ns0:f>
        <ns0:v/>
      </ns0:c>
      <ns0:c r="C201" s="9" t="str">
        <ns0:f>IF($F201="","",IF(INDEX('販売記録'!$C$5:$C$1004,$F201)="","",INDEX('販売記録'!$C$5:$C$1004,$F201)))</ns0:f>
        <ns0:v/>
      </ns0:c>
      <ns0:c r="D201" s="8" t="str">
        <ns0:f>IF($F201="","",IF(INDEX('販売記録'!$D$5:$D$1004,$F201)="","",INDEX('販売記録'!$D$5:$D$1004,$F201)))</ns0:f>
        <ns0:v/>
      </ns0:c>
      <ns0:c r="E201" s="12" t="str">
        <ns0:f>IF(OR(A201="",B201=""),"",MAX(0,TODAY()-A201))</ns0:f>
        <ns0:v/>
      </ns0:c>
      <ns0:c r="F201" s="9" t="str">
        <ns0:f>IFERROR(MATCH(ROW()-4,'販売記録'!$L$5:$L$1004,0),"")</ns0:f>
        <ns0:v/>
      </ns0:c>
    </ns0:row>
    <ns0:row r="202">
      <ns0:c r="A202" s="11" t="str">
        <ns0:f>IF($F202="","",IF(INDEX('販売記録'!$K$5:$K$1004,$F202)="","",INDEX('販売記録'!$K$5:$K$1004,$F202)))</ns0:f>
        <ns0:v/>
      </ns0:c>
      <ns0:c r="B202" s="9" t="str">
        <ns0:f>IF($F202="","",IF(INDEX('販売記録'!$B$5:$B$1004,$F202)="","",INDEX('販売記録'!$B$5:$B$1004,$F202)))</ns0:f>
        <ns0:v/>
      </ns0:c>
      <ns0:c r="C202" s="9" t="str">
        <ns0:f>IF($F202="","",IF(INDEX('販売記録'!$C$5:$C$1004,$F202)="","",INDEX('販売記録'!$C$5:$C$1004,$F202)))</ns0:f>
        <ns0:v/>
      </ns0:c>
      <ns0:c r="D202" s="8" t="str">
        <ns0:f>IF($F202="","",IF(INDEX('販売記録'!$D$5:$D$1004,$F202)="","",INDEX('販売記録'!$D$5:$D$1004,$F202)))</ns0:f>
        <ns0:v/>
      </ns0:c>
      <ns0:c r="E202" s="12" t="str">
        <ns0:f>IF(OR(A202="",B202=""),"",MAX(0,TODAY()-A202))</ns0:f>
        <ns0:v/>
      </ns0:c>
      <ns0:c r="F202" s="9" t="str">
        <ns0:f>IFERROR(MATCH(ROW()-4,'販売記録'!$L$5:$L$1004,0),"")</ns0:f>
        <ns0:v/>
      </ns0:c>
    </ns0:row>
    <ns0:row r="203">
      <ns0:c r="A203" s="11" t="str">
        <ns0:f>IF($F203="","",IF(INDEX('販売記録'!$K$5:$K$1004,$F203)="","",INDEX('販売記録'!$K$5:$K$1004,$F203)))</ns0:f>
        <ns0:v/>
      </ns0:c>
      <ns0:c r="B203" s="9" t="str">
        <ns0:f>IF($F203="","",IF(INDEX('販売記録'!$B$5:$B$1004,$F203)="","",INDEX('販売記録'!$B$5:$B$1004,$F203)))</ns0:f>
        <ns0:v/>
      </ns0:c>
      <ns0:c r="C203" s="9" t="str">
        <ns0:f>IF($F203="","",IF(INDEX('販売記録'!$C$5:$C$1004,$F203)="","",INDEX('販売記録'!$C$5:$C$1004,$F203)))</ns0:f>
        <ns0:v/>
      </ns0:c>
      <ns0:c r="D203" s="8" t="str">
        <ns0:f>IF($F203="","",IF(INDEX('販売記録'!$D$5:$D$1004,$F203)="","",INDEX('販売記録'!$D$5:$D$1004,$F203)))</ns0:f>
        <ns0:v/>
      </ns0:c>
      <ns0:c r="E203" s="12" t="str">
        <ns0:f>IF(OR(A203="",B203=""),"",MAX(0,TODAY()-A203))</ns0:f>
        <ns0:v/>
      </ns0:c>
      <ns0:c r="F203" s="9" t="str">
        <ns0:f>IFERROR(MATCH(ROW()-4,'販売記録'!$L$5:$L$1004,0),"")</ns0:f>
        <ns0:v/>
      </ns0:c>
    </ns0:row>
    <ns0:row r="204">
      <ns0:c r="A204" s="11" t="str">
        <ns0:f>IF($F204="","",IF(INDEX('販売記録'!$K$5:$K$1004,$F204)="","",INDEX('販売記録'!$K$5:$K$1004,$F204)))</ns0:f>
        <ns0:v/>
      </ns0:c>
      <ns0:c r="B204" s="9" t="str">
        <ns0:f>IF($F204="","",IF(INDEX('販売記録'!$B$5:$B$1004,$F204)="","",INDEX('販売記録'!$B$5:$B$1004,$F204)))</ns0:f>
        <ns0:v/>
      </ns0:c>
      <ns0:c r="C204" s="9" t="str">
        <ns0:f>IF($F204="","",IF(INDEX('販売記録'!$C$5:$C$1004,$F204)="","",INDEX('販売記録'!$C$5:$C$1004,$F204)))</ns0:f>
        <ns0:v/>
      </ns0:c>
      <ns0:c r="D204" s="8" t="str">
        <ns0:f>IF($F204="","",IF(INDEX('販売記録'!$D$5:$D$1004,$F204)="","",INDEX('販売記録'!$D$5:$D$1004,$F204)))</ns0:f>
        <ns0:v/>
      </ns0:c>
      <ns0:c r="E204" s="12" t="str">
        <ns0:f>IF(OR(A204="",B204=""),"",MAX(0,TODAY()-A204))</ns0:f>
        <ns0:v/>
      </ns0:c>
      <ns0:c r="F204" s="9" t="str">
        <ns0:f>IFERROR(MATCH(ROW()-4,'販売記録'!$L$5:$L$1004,0),"")</ns0:f>
        <ns0:v/>
      </ns0:c>
    </ns0:row>
    <ns0:row r="205">
      <ns0:c r="A205" s="11" t="str">
        <ns0:f>IF($F205="","",IF(INDEX('販売記録'!$K$5:$K$1004,$F205)="","",INDEX('販売記録'!$K$5:$K$1004,$F205)))</ns0:f>
        <ns0:v/>
      </ns0:c>
      <ns0:c r="B205" s="9" t="str">
        <ns0:f>IF($F205="","",IF(INDEX('販売記録'!$B$5:$B$1004,$F205)="","",INDEX('販売記録'!$B$5:$B$1004,$F205)))</ns0:f>
        <ns0:v/>
      </ns0:c>
      <ns0:c r="C205" s="9" t="str">
        <ns0:f>IF($F205="","",IF(INDEX('販売記録'!$C$5:$C$1004,$F205)="","",INDEX('販売記録'!$C$5:$C$1004,$F205)))</ns0:f>
        <ns0:v/>
      </ns0:c>
      <ns0:c r="D205" s="8" t="str">
        <ns0:f>IF($F205="","",IF(INDEX('販売記録'!$D$5:$D$1004,$F205)="","",INDEX('販売記録'!$D$5:$D$1004,$F205)))</ns0:f>
        <ns0:v/>
      </ns0:c>
      <ns0:c r="E205" s="12" t="str">
        <ns0:f>IF(OR(A205="",B205=""),"",MAX(0,TODAY()-A205))</ns0:f>
        <ns0:v/>
      </ns0:c>
      <ns0:c r="F205" s="9" t="str">
        <ns0:f>IFERROR(MATCH(ROW()-4,'販売記録'!$L$5:$L$1004,0),"")</ns0:f>
        <ns0:v/>
      </ns0:c>
    </ns0:row>
    <ns0:row r="206">
      <ns0:c r="A206" s="11" t="str">
        <ns0:f>IF($F206="","",IF(INDEX('販売記録'!$K$5:$K$1004,$F206)="","",INDEX('販売記録'!$K$5:$K$1004,$F206)))</ns0:f>
        <ns0:v/>
      </ns0:c>
      <ns0:c r="B206" s="9" t="str">
        <ns0:f>IF($F206="","",IF(INDEX('販売記録'!$B$5:$B$1004,$F206)="","",INDEX('販売記録'!$B$5:$B$1004,$F206)))</ns0:f>
        <ns0:v/>
      </ns0:c>
      <ns0:c r="C206" s="9" t="str">
        <ns0:f>IF($F206="","",IF(INDEX('販売記録'!$C$5:$C$1004,$F206)="","",INDEX('販売記録'!$C$5:$C$1004,$F206)))</ns0:f>
        <ns0:v/>
      </ns0:c>
      <ns0:c r="D206" s="8" t="str">
        <ns0:f>IF($F206="","",IF(INDEX('販売記録'!$D$5:$D$1004,$F206)="","",INDEX('販売記録'!$D$5:$D$1004,$F206)))</ns0:f>
        <ns0:v/>
      </ns0:c>
      <ns0:c r="E206" s="12" t="str">
        <ns0:f>IF(OR(A206="",B206=""),"",MAX(0,TODAY()-A206))</ns0:f>
        <ns0:v/>
      </ns0:c>
      <ns0:c r="F206" s="9" t="str">
        <ns0:f>IFERROR(MATCH(ROW()-4,'販売記録'!$L$5:$L$1004,0),"")</ns0:f>
        <ns0:v/>
      </ns0:c>
    </ns0:row>
    <ns0:row r="207">
      <ns0:c r="A207" s="11" t="str">
        <ns0:f>IF($F207="","",IF(INDEX('販売記録'!$K$5:$K$1004,$F207)="","",INDEX('販売記録'!$K$5:$K$1004,$F207)))</ns0:f>
        <ns0:v/>
      </ns0:c>
      <ns0:c r="B207" s="9" t="str">
        <ns0:f>IF($F207="","",IF(INDEX('販売記録'!$B$5:$B$1004,$F207)="","",INDEX('販売記録'!$B$5:$B$1004,$F207)))</ns0:f>
        <ns0:v/>
      </ns0:c>
      <ns0:c r="C207" s="9" t="str">
        <ns0:f>IF($F207="","",IF(INDEX('販売記録'!$C$5:$C$1004,$F207)="","",INDEX('販売記録'!$C$5:$C$1004,$F207)))</ns0:f>
        <ns0:v/>
      </ns0:c>
      <ns0:c r="D207" s="8" t="str">
        <ns0:f>IF($F207="","",IF(INDEX('販売記録'!$D$5:$D$1004,$F207)="","",INDEX('販売記録'!$D$5:$D$1004,$F207)))</ns0:f>
        <ns0:v/>
      </ns0:c>
      <ns0:c r="E207" s="12" t="str">
        <ns0:f>IF(OR(A207="",B207=""),"",MAX(0,TODAY()-A207))</ns0:f>
        <ns0:v/>
      </ns0:c>
      <ns0:c r="F207" s="9" t="str">
        <ns0:f>IFERROR(MATCH(ROW()-4,'販売記録'!$L$5:$L$1004,0),"")</ns0:f>
        <ns0:v/>
      </ns0:c>
    </ns0:row>
    <ns0:row r="208">
      <ns0:c r="A208" s="11" t="str">
        <ns0:f>IF($F208="","",IF(INDEX('販売記録'!$K$5:$K$1004,$F208)="","",INDEX('販売記録'!$K$5:$K$1004,$F208)))</ns0:f>
        <ns0:v/>
      </ns0:c>
      <ns0:c r="B208" s="9" t="str">
        <ns0:f>IF($F208="","",IF(INDEX('販売記録'!$B$5:$B$1004,$F208)="","",INDEX('販売記録'!$B$5:$B$1004,$F208)))</ns0:f>
        <ns0:v/>
      </ns0:c>
      <ns0:c r="C208" s="9" t="str">
        <ns0:f>IF($F208="","",IF(INDEX('販売記録'!$C$5:$C$1004,$F208)="","",INDEX('販売記録'!$C$5:$C$1004,$F208)))</ns0:f>
        <ns0:v/>
      </ns0:c>
      <ns0:c r="D208" s="8" t="str">
        <ns0:f>IF($F208="","",IF(INDEX('販売記録'!$D$5:$D$1004,$F208)="","",INDEX('販売記録'!$D$5:$D$1004,$F208)))</ns0:f>
        <ns0:v/>
      </ns0:c>
      <ns0:c r="E208" s="12" t="str">
        <ns0:f>IF(OR(A208="",B208=""),"",MAX(0,TODAY()-A208))</ns0:f>
        <ns0:v/>
      </ns0:c>
      <ns0:c r="F208" s="9" t="str">
        <ns0:f>IFERROR(MATCH(ROW()-4,'販売記録'!$L$5:$L$1004,0),"")</ns0:f>
        <ns0:v/>
      </ns0:c>
    </ns0:row>
    <ns0:row r="209">
      <ns0:c r="A209" s="11" t="str">
        <ns0:f>IF($F209="","",IF(INDEX('販売記録'!$K$5:$K$1004,$F209)="","",INDEX('販売記録'!$K$5:$K$1004,$F209)))</ns0:f>
        <ns0:v/>
      </ns0:c>
      <ns0:c r="B209" s="9" t="str">
        <ns0:f>IF($F209="","",IF(INDEX('販売記録'!$B$5:$B$1004,$F209)="","",INDEX('販売記録'!$B$5:$B$1004,$F209)))</ns0:f>
        <ns0:v/>
      </ns0:c>
      <ns0:c r="C209" s="9" t="str">
        <ns0:f>IF($F209="","",IF(INDEX('販売記録'!$C$5:$C$1004,$F209)="","",INDEX('販売記録'!$C$5:$C$1004,$F209)))</ns0:f>
        <ns0:v/>
      </ns0:c>
      <ns0:c r="D209" s="8" t="str">
        <ns0:f>IF($F209="","",IF(INDEX('販売記録'!$D$5:$D$1004,$F209)="","",INDEX('販売記録'!$D$5:$D$1004,$F209)))</ns0:f>
        <ns0:v/>
      </ns0:c>
      <ns0:c r="E209" s="12" t="str">
        <ns0:f>IF(OR(A209="",B209=""),"",MAX(0,TODAY()-A209))</ns0:f>
        <ns0:v/>
      </ns0:c>
      <ns0:c r="F209" s="9" t="str">
        <ns0:f>IFERROR(MATCH(ROW()-4,'販売記録'!$L$5:$L$1004,0),"")</ns0:f>
        <ns0:v/>
      </ns0:c>
    </ns0:row>
    <ns0:row r="210">
      <ns0:c r="A210" s="11" t="str">
        <ns0:f>IF($F210="","",IF(INDEX('販売記録'!$K$5:$K$1004,$F210)="","",INDEX('販売記録'!$K$5:$K$1004,$F210)))</ns0:f>
        <ns0:v/>
      </ns0:c>
      <ns0:c r="B210" s="9" t="str">
        <ns0:f>IF($F210="","",IF(INDEX('販売記録'!$B$5:$B$1004,$F210)="","",INDEX('販売記録'!$B$5:$B$1004,$F210)))</ns0:f>
        <ns0:v/>
      </ns0:c>
      <ns0:c r="C210" s="9" t="str">
        <ns0:f>IF($F210="","",IF(INDEX('販売記録'!$C$5:$C$1004,$F210)="","",INDEX('販売記録'!$C$5:$C$1004,$F210)))</ns0:f>
        <ns0:v/>
      </ns0:c>
      <ns0:c r="D210" s="8" t="str">
        <ns0:f>IF($F210="","",IF(INDEX('販売記録'!$D$5:$D$1004,$F210)="","",INDEX('販売記録'!$D$5:$D$1004,$F210)))</ns0:f>
        <ns0:v/>
      </ns0:c>
      <ns0:c r="E210" s="12" t="str">
        <ns0:f>IF(OR(A210="",B210=""),"",MAX(0,TODAY()-A210))</ns0:f>
        <ns0:v/>
      </ns0:c>
      <ns0:c r="F210" s="9" t="str">
        <ns0:f>IFERROR(MATCH(ROW()-4,'販売記録'!$L$5:$L$1004,0),"")</ns0:f>
        <ns0:v/>
      </ns0:c>
    </ns0:row>
    <ns0:row r="211">
      <ns0:c r="A211" s="11" t="str">
        <ns0:f>IF($F211="","",IF(INDEX('販売記録'!$K$5:$K$1004,$F211)="","",INDEX('販売記録'!$K$5:$K$1004,$F211)))</ns0:f>
        <ns0:v/>
      </ns0:c>
      <ns0:c r="B211" s="9" t="str">
        <ns0:f>IF($F211="","",IF(INDEX('販売記録'!$B$5:$B$1004,$F211)="","",INDEX('販売記録'!$B$5:$B$1004,$F211)))</ns0:f>
        <ns0:v/>
      </ns0:c>
      <ns0:c r="C211" s="9" t="str">
        <ns0:f>IF($F211="","",IF(INDEX('販売記録'!$C$5:$C$1004,$F211)="","",INDEX('販売記録'!$C$5:$C$1004,$F211)))</ns0:f>
        <ns0:v/>
      </ns0:c>
      <ns0:c r="D211" s="8" t="str">
        <ns0:f>IF($F211="","",IF(INDEX('販売記録'!$D$5:$D$1004,$F211)="","",INDEX('販売記録'!$D$5:$D$1004,$F211)))</ns0:f>
        <ns0:v/>
      </ns0:c>
      <ns0:c r="E211" s="12" t="str">
        <ns0:f>IF(OR(A211="",B211=""),"",MAX(0,TODAY()-A211))</ns0:f>
        <ns0:v/>
      </ns0:c>
      <ns0:c r="F211" s="9" t="str">
        <ns0:f>IFERROR(MATCH(ROW()-4,'販売記録'!$L$5:$L$1004,0),"")</ns0:f>
        <ns0:v/>
      </ns0:c>
    </ns0:row>
    <ns0:row r="212">
      <ns0:c r="A212" s="11" t="str">
        <ns0:f>IF($F212="","",IF(INDEX('販売記録'!$K$5:$K$1004,$F212)="","",INDEX('販売記録'!$K$5:$K$1004,$F212)))</ns0:f>
        <ns0:v/>
      </ns0:c>
      <ns0:c r="B212" s="9" t="str">
        <ns0:f>IF($F212="","",IF(INDEX('販売記録'!$B$5:$B$1004,$F212)="","",INDEX('販売記録'!$B$5:$B$1004,$F212)))</ns0:f>
        <ns0:v/>
      </ns0:c>
      <ns0:c r="C212" s="9" t="str">
        <ns0:f>IF($F212="","",IF(INDEX('販売記録'!$C$5:$C$1004,$F212)="","",INDEX('販売記録'!$C$5:$C$1004,$F212)))</ns0:f>
        <ns0:v/>
      </ns0:c>
      <ns0:c r="D212" s="8" t="str">
        <ns0:f>IF($F212="","",IF(INDEX('販売記録'!$D$5:$D$1004,$F212)="","",INDEX('販売記録'!$D$5:$D$1004,$F212)))</ns0:f>
        <ns0:v/>
      </ns0:c>
      <ns0:c r="E212" s="12" t="str">
        <ns0:f>IF(OR(A212="",B212=""),"",MAX(0,TODAY()-A212))</ns0:f>
        <ns0:v/>
      </ns0:c>
      <ns0:c r="F212" s="9" t="str">
        <ns0:f>IFERROR(MATCH(ROW()-4,'販売記録'!$L$5:$L$1004,0),"")</ns0:f>
        <ns0:v/>
      </ns0:c>
    </ns0:row>
    <ns0:row r="213">
      <ns0:c r="A213" s="11" t="str">
        <ns0:f>IF($F213="","",IF(INDEX('販売記録'!$K$5:$K$1004,$F213)="","",INDEX('販売記録'!$K$5:$K$1004,$F213)))</ns0:f>
        <ns0:v/>
      </ns0:c>
      <ns0:c r="B213" s="9" t="str">
        <ns0:f>IF($F213="","",IF(INDEX('販売記録'!$B$5:$B$1004,$F213)="","",INDEX('販売記録'!$B$5:$B$1004,$F213)))</ns0:f>
        <ns0:v/>
      </ns0:c>
      <ns0:c r="C213" s="9" t="str">
        <ns0:f>IF($F213="","",IF(INDEX('販売記録'!$C$5:$C$1004,$F213)="","",INDEX('販売記録'!$C$5:$C$1004,$F213)))</ns0:f>
        <ns0:v/>
      </ns0:c>
      <ns0:c r="D213" s="8" t="str">
        <ns0:f>IF($F213="","",IF(INDEX('販売記録'!$D$5:$D$1004,$F213)="","",INDEX('販売記録'!$D$5:$D$1004,$F213)))</ns0:f>
        <ns0:v/>
      </ns0:c>
      <ns0:c r="E213" s="12" t="str">
        <ns0:f>IF(OR(A213="",B213=""),"",MAX(0,TODAY()-A213))</ns0:f>
        <ns0:v/>
      </ns0:c>
      <ns0:c r="F213" s="9" t="str">
        <ns0:f>IFERROR(MATCH(ROW()-4,'販売記録'!$L$5:$L$1004,0),"")</ns0:f>
        <ns0:v/>
      </ns0:c>
    </ns0:row>
    <ns0:row r="214">
      <ns0:c r="A214" s="11" t="str">
        <ns0:f>IF($F214="","",IF(INDEX('販売記録'!$K$5:$K$1004,$F214)="","",INDEX('販売記録'!$K$5:$K$1004,$F214)))</ns0:f>
        <ns0:v/>
      </ns0:c>
      <ns0:c r="B214" s="9" t="str">
        <ns0:f>IF($F214="","",IF(INDEX('販売記録'!$B$5:$B$1004,$F214)="","",INDEX('販売記録'!$B$5:$B$1004,$F214)))</ns0:f>
        <ns0:v/>
      </ns0:c>
      <ns0:c r="C214" s="9" t="str">
        <ns0:f>IF($F214="","",IF(INDEX('販売記録'!$C$5:$C$1004,$F214)="","",INDEX('販売記録'!$C$5:$C$1004,$F214)))</ns0:f>
        <ns0:v/>
      </ns0:c>
      <ns0:c r="D214" s="8" t="str">
        <ns0:f>IF($F214="","",IF(INDEX('販売記録'!$D$5:$D$1004,$F214)="","",INDEX('販売記録'!$D$5:$D$1004,$F214)))</ns0:f>
        <ns0:v/>
      </ns0:c>
      <ns0:c r="E214" s="12" t="str">
        <ns0:f>IF(OR(A214="",B214=""),"",MAX(0,TODAY()-A214))</ns0:f>
        <ns0:v/>
      </ns0:c>
      <ns0:c r="F214" s="9" t="str">
        <ns0:f>IFERROR(MATCH(ROW()-4,'販売記録'!$L$5:$L$1004,0),"")</ns0:f>
        <ns0:v/>
      </ns0:c>
    </ns0:row>
    <ns0:row r="215">
      <ns0:c r="A215" s="11" t="str">
        <ns0:f>IF($F215="","",IF(INDEX('販売記録'!$K$5:$K$1004,$F215)="","",INDEX('販売記録'!$K$5:$K$1004,$F215)))</ns0:f>
        <ns0:v/>
      </ns0:c>
      <ns0:c r="B215" s="9" t="str">
        <ns0:f>IF($F215="","",IF(INDEX('販売記録'!$B$5:$B$1004,$F215)="","",INDEX('販売記録'!$B$5:$B$1004,$F215)))</ns0:f>
        <ns0:v/>
      </ns0:c>
      <ns0:c r="C215" s="9" t="str">
        <ns0:f>IF($F215="","",IF(INDEX('販売記録'!$C$5:$C$1004,$F215)="","",INDEX('販売記録'!$C$5:$C$1004,$F215)))</ns0:f>
        <ns0:v/>
      </ns0:c>
      <ns0:c r="D215" s="8" t="str">
        <ns0:f>IF($F215="","",IF(INDEX('販売記録'!$D$5:$D$1004,$F215)="","",INDEX('販売記録'!$D$5:$D$1004,$F215)))</ns0:f>
        <ns0:v/>
      </ns0:c>
      <ns0:c r="E215" s="12" t="str">
        <ns0:f>IF(OR(A215="",B215=""),"",MAX(0,TODAY()-A215))</ns0:f>
        <ns0:v/>
      </ns0:c>
      <ns0:c r="F215" s="9" t="str">
        <ns0:f>IFERROR(MATCH(ROW()-4,'販売記録'!$L$5:$L$1004,0),"")</ns0:f>
        <ns0:v/>
      </ns0:c>
    </ns0:row>
    <ns0:row r="216">
      <ns0:c r="A216" s="11" t="str">
        <ns0:f>IF($F216="","",IF(INDEX('販売記録'!$K$5:$K$1004,$F216)="","",INDEX('販売記録'!$K$5:$K$1004,$F216)))</ns0:f>
        <ns0:v/>
      </ns0:c>
      <ns0:c r="B216" s="9" t="str">
        <ns0:f>IF($F216="","",IF(INDEX('販売記録'!$B$5:$B$1004,$F216)="","",INDEX('販売記録'!$B$5:$B$1004,$F216)))</ns0:f>
        <ns0:v/>
      </ns0:c>
      <ns0:c r="C216" s="9" t="str">
        <ns0:f>IF($F216="","",IF(INDEX('販売記録'!$C$5:$C$1004,$F216)="","",INDEX('販売記録'!$C$5:$C$1004,$F216)))</ns0:f>
        <ns0:v/>
      </ns0:c>
      <ns0:c r="D216" s="8" t="str">
        <ns0:f>IF($F216="","",IF(INDEX('販売記録'!$D$5:$D$1004,$F216)="","",INDEX('販売記録'!$D$5:$D$1004,$F216)))</ns0:f>
        <ns0:v/>
      </ns0:c>
      <ns0:c r="E216" s="12" t="str">
        <ns0:f>IF(OR(A216="",B216=""),"",MAX(0,TODAY()-A216))</ns0:f>
        <ns0:v/>
      </ns0:c>
      <ns0:c r="F216" s="9" t="str">
        <ns0:f>IFERROR(MATCH(ROW()-4,'販売記録'!$L$5:$L$1004,0),"")</ns0:f>
        <ns0:v/>
      </ns0:c>
    </ns0:row>
    <ns0:row r="217">
      <ns0:c r="A217" s="11" t="str">
        <ns0:f>IF($F217="","",IF(INDEX('販売記録'!$K$5:$K$1004,$F217)="","",INDEX('販売記録'!$K$5:$K$1004,$F217)))</ns0:f>
        <ns0:v/>
      </ns0:c>
      <ns0:c r="B217" s="9" t="str">
        <ns0:f>IF($F217="","",IF(INDEX('販売記録'!$B$5:$B$1004,$F217)="","",INDEX('販売記録'!$B$5:$B$1004,$F217)))</ns0:f>
        <ns0:v/>
      </ns0:c>
      <ns0:c r="C217" s="9" t="str">
        <ns0:f>IF($F217="","",IF(INDEX('販売記録'!$C$5:$C$1004,$F217)="","",INDEX('販売記録'!$C$5:$C$1004,$F217)))</ns0:f>
        <ns0:v/>
      </ns0:c>
      <ns0:c r="D217" s="8" t="str">
        <ns0:f>IF($F217="","",IF(INDEX('販売記録'!$D$5:$D$1004,$F217)="","",INDEX('販売記録'!$D$5:$D$1004,$F217)))</ns0:f>
        <ns0:v/>
      </ns0:c>
      <ns0:c r="E217" s="12" t="str">
        <ns0:f>IF(OR(A217="",B217=""),"",MAX(0,TODAY()-A217))</ns0:f>
        <ns0:v/>
      </ns0:c>
      <ns0:c r="F217" s="9" t="str">
        <ns0:f>IFERROR(MATCH(ROW()-4,'販売記録'!$L$5:$L$1004,0),"")</ns0:f>
        <ns0:v/>
      </ns0:c>
    </ns0:row>
    <ns0:row r="218">
      <ns0:c r="A218" s="11" t="str">
        <ns0:f>IF($F218="","",IF(INDEX('販売記録'!$K$5:$K$1004,$F218)="","",INDEX('販売記録'!$K$5:$K$1004,$F218)))</ns0:f>
        <ns0:v/>
      </ns0:c>
      <ns0:c r="B218" s="9" t="str">
        <ns0:f>IF($F218="","",IF(INDEX('販売記録'!$B$5:$B$1004,$F218)="","",INDEX('販売記録'!$B$5:$B$1004,$F218)))</ns0:f>
        <ns0:v/>
      </ns0:c>
      <ns0:c r="C218" s="9" t="str">
        <ns0:f>IF($F218="","",IF(INDEX('販売記録'!$C$5:$C$1004,$F218)="","",INDEX('販売記録'!$C$5:$C$1004,$F218)))</ns0:f>
        <ns0:v/>
      </ns0:c>
      <ns0:c r="D218" s="8" t="str">
        <ns0:f>IF($F218="","",IF(INDEX('販売記録'!$D$5:$D$1004,$F218)="","",INDEX('販売記録'!$D$5:$D$1004,$F218)))</ns0:f>
        <ns0:v/>
      </ns0:c>
      <ns0:c r="E218" s="12" t="str">
        <ns0:f>IF(OR(A218="",B218=""),"",MAX(0,TODAY()-A218))</ns0:f>
        <ns0:v/>
      </ns0:c>
      <ns0:c r="F218" s="9" t="str">
        <ns0:f>IFERROR(MATCH(ROW()-4,'販売記録'!$L$5:$L$1004,0),"")</ns0:f>
        <ns0:v/>
      </ns0:c>
    </ns0:row>
    <ns0:row r="219">
      <ns0:c r="A219" s="11" t="str">
        <ns0:f>IF($F219="","",IF(INDEX('販売記録'!$K$5:$K$1004,$F219)="","",INDEX('販売記録'!$K$5:$K$1004,$F219)))</ns0:f>
        <ns0:v/>
      </ns0:c>
      <ns0:c r="B219" s="9" t="str">
        <ns0:f>IF($F219="","",IF(INDEX('販売記録'!$B$5:$B$1004,$F219)="","",INDEX('販売記録'!$B$5:$B$1004,$F219)))</ns0:f>
        <ns0:v/>
      </ns0:c>
      <ns0:c r="C219" s="9" t="str">
        <ns0:f>IF($F219="","",IF(INDEX('販売記録'!$C$5:$C$1004,$F219)="","",INDEX('販売記録'!$C$5:$C$1004,$F219)))</ns0:f>
        <ns0:v/>
      </ns0:c>
      <ns0:c r="D219" s="8" t="str">
        <ns0:f>IF($F219="","",IF(INDEX('販売記録'!$D$5:$D$1004,$F219)="","",INDEX('販売記録'!$D$5:$D$1004,$F219)))</ns0:f>
        <ns0:v/>
      </ns0:c>
      <ns0:c r="E219" s="12" t="str">
        <ns0:f>IF(OR(A219="",B219=""),"",MAX(0,TODAY()-A219))</ns0:f>
        <ns0:v/>
      </ns0:c>
      <ns0:c r="F219" s="9" t="str">
        <ns0:f>IFERROR(MATCH(ROW()-4,'販売記録'!$L$5:$L$1004,0),"")</ns0:f>
        <ns0:v/>
      </ns0:c>
    </ns0:row>
    <ns0:row r="220">
      <ns0:c r="A220" s="11" t="str">
        <ns0:f>IF($F220="","",IF(INDEX('販売記録'!$K$5:$K$1004,$F220)="","",INDEX('販売記録'!$K$5:$K$1004,$F220)))</ns0:f>
        <ns0:v/>
      </ns0:c>
      <ns0:c r="B220" s="9" t="str">
        <ns0:f>IF($F220="","",IF(INDEX('販売記録'!$B$5:$B$1004,$F220)="","",INDEX('販売記録'!$B$5:$B$1004,$F220)))</ns0:f>
        <ns0:v/>
      </ns0:c>
      <ns0:c r="C220" s="9" t="str">
        <ns0:f>IF($F220="","",IF(INDEX('販売記録'!$C$5:$C$1004,$F220)="","",INDEX('販売記録'!$C$5:$C$1004,$F220)))</ns0:f>
        <ns0:v/>
      </ns0:c>
      <ns0:c r="D220" s="8" t="str">
        <ns0:f>IF($F220="","",IF(INDEX('販売記録'!$D$5:$D$1004,$F220)="","",INDEX('販売記録'!$D$5:$D$1004,$F220)))</ns0:f>
        <ns0:v/>
      </ns0:c>
      <ns0:c r="E220" s="12" t="str">
        <ns0:f>IF(OR(A220="",B220=""),"",MAX(0,TODAY()-A220))</ns0:f>
        <ns0:v/>
      </ns0:c>
      <ns0:c r="F220" s="9" t="str">
        <ns0:f>IFERROR(MATCH(ROW()-4,'販売記録'!$L$5:$L$1004,0),"")</ns0:f>
        <ns0:v/>
      </ns0:c>
    </ns0:row>
    <ns0:row r="221">
      <ns0:c r="A221" s="11" t="str">
        <ns0:f>IF($F221="","",IF(INDEX('販売記録'!$K$5:$K$1004,$F221)="","",INDEX('販売記録'!$K$5:$K$1004,$F221)))</ns0:f>
        <ns0:v/>
      </ns0:c>
      <ns0:c r="B221" s="9" t="str">
        <ns0:f>IF($F221="","",IF(INDEX('販売記録'!$B$5:$B$1004,$F221)="","",INDEX('販売記録'!$B$5:$B$1004,$F221)))</ns0:f>
        <ns0:v/>
      </ns0:c>
      <ns0:c r="C221" s="9" t="str">
        <ns0:f>IF($F221="","",IF(INDEX('販売記録'!$C$5:$C$1004,$F221)="","",INDEX('販売記録'!$C$5:$C$1004,$F221)))</ns0:f>
        <ns0:v/>
      </ns0:c>
      <ns0:c r="D221" s="8" t="str">
        <ns0:f>IF($F221="","",IF(INDEX('販売記録'!$D$5:$D$1004,$F221)="","",INDEX('販売記録'!$D$5:$D$1004,$F221)))</ns0:f>
        <ns0:v/>
      </ns0:c>
      <ns0:c r="E221" s="12" t="str">
        <ns0:f>IF(OR(A221="",B221=""),"",MAX(0,TODAY()-A221))</ns0:f>
        <ns0:v/>
      </ns0:c>
      <ns0:c r="F221" s="9" t="str">
        <ns0:f>IFERROR(MATCH(ROW()-4,'販売記録'!$L$5:$L$1004,0),"")</ns0:f>
        <ns0:v/>
      </ns0:c>
    </ns0:row>
    <ns0:row r="222">
      <ns0:c r="A222" s="11" t="str">
        <ns0:f>IF($F222="","",IF(INDEX('販売記録'!$K$5:$K$1004,$F222)="","",INDEX('販売記録'!$K$5:$K$1004,$F222)))</ns0:f>
        <ns0:v/>
      </ns0:c>
      <ns0:c r="B222" s="9" t="str">
        <ns0:f>IF($F222="","",IF(INDEX('販売記録'!$B$5:$B$1004,$F222)="","",INDEX('販売記録'!$B$5:$B$1004,$F222)))</ns0:f>
        <ns0:v/>
      </ns0:c>
      <ns0:c r="C222" s="9" t="str">
        <ns0:f>IF($F222="","",IF(INDEX('販売記録'!$C$5:$C$1004,$F222)="","",INDEX('販売記録'!$C$5:$C$1004,$F222)))</ns0:f>
        <ns0:v/>
      </ns0:c>
      <ns0:c r="D222" s="8" t="str">
        <ns0:f>IF($F222="","",IF(INDEX('販売記録'!$D$5:$D$1004,$F222)="","",INDEX('販売記録'!$D$5:$D$1004,$F222)))</ns0:f>
        <ns0:v/>
      </ns0:c>
      <ns0:c r="E222" s="12" t="str">
        <ns0:f>IF(OR(A222="",B222=""),"",MAX(0,TODAY()-A222))</ns0:f>
        <ns0:v/>
      </ns0:c>
      <ns0:c r="F222" s="9" t="str">
        <ns0:f>IFERROR(MATCH(ROW()-4,'販売記録'!$L$5:$L$1004,0),"")</ns0:f>
        <ns0:v/>
      </ns0:c>
    </ns0:row>
    <ns0:row r="223">
      <ns0:c r="A223" s="11" t="str">
        <ns0:f>IF($F223="","",IF(INDEX('販売記録'!$K$5:$K$1004,$F223)="","",INDEX('販売記録'!$K$5:$K$1004,$F223)))</ns0:f>
        <ns0:v/>
      </ns0:c>
      <ns0:c r="B223" s="9" t="str">
        <ns0:f>IF($F223="","",IF(INDEX('販売記録'!$B$5:$B$1004,$F223)="","",INDEX('販売記録'!$B$5:$B$1004,$F223)))</ns0:f>
        <ns0:v/>
      </ns0:c>
      <ns0:c r="C223" s="9" t="str">
        <ns0:f>IF($F223="","",IF(INDEX('販売記録'!$C$5:$C$1004,$F223)="","",INDEX('販売記録'!$C$5:$C$1004,$F223)))</ns0:f>
        <ns0:v/>
      </ns0:c>
      <ns0:c r="D223" s="8" t="str">
        <ns0:f>IF($F223="","",IF(INDEX('販売記録'!$D$5:$D$1004,$F223)="","",INDEX('販売記録'!$D$5:$D$1004,$F223)))</ns0:f>
        <ns0:v/>
      </ns0:c>
      <ns0:c r="E223" s="12" t="str">
        <ns0:f>IF(OR(A223="",B223=""),"",MAX(0,TODAY()-A223))</ns0:f>
        <ns0:v/>
      </ns0:c>
      <ns0:c r="F223" s="9" t="str">
        <ns0:f>IFERROR(MATCH(ROW()-4,'販売記録'!$L$5:$L$1004,0),"")</ns0:f>
        <ns0:v/>
      </ns0:c>
    </ns0:row>
    <ns0:row r="224">
      <ns0:c r="A224" s="11" t="str">
        <ns0:f>IF($F224="","",IF(INDEX('販売記録'!$K$5:$K$1004,$F224)="","",INDEX('販売記録'!$K$5:$K$1004,$F224)))</ns0:f>
        <ns0:v/>
      </ns0:c>
      <ns0:c r="B224" s="9" t="str">
        <ns0:f>IF($F224="","",IF(INDEX('販売記録'!$B$5:$B$1004,$F224)="","",INDEX('販売記録'!$B$5:$B$1004,$F224)))</ns0:f>
        <ns0:v/>
      </ns0:c>
      <ns0:c r="C224" s="9" t="str">
        <ns0:f>IF($F224="","",IF(INDEX('販売記録'!$C$5:$C$1004,$F224)="","",INDEX('販売記録'!$C$5:$C$1004,$F224)))</ns0:f>
        <ns0:v/>
      </ns0:c>
      <ns0:c r="D224" s="8" t="str">
        <ns0:f>IF($F224="","",IF(INDEX('販売記録'!$D$5:$D$1004,$F224)="","",INDEX('販売記録'!$D$5:$D$1004,$F224)))</ns0:f>
        <ns0:v/>
      </ns0:c>
      <ns0:c r="E224" s="12" t="str">
        <ns0:f>IF(OR(A224="",B224=""),"",MAX(0,TODAY()-A224))</ns0:f>
        <ns0:v/>
      </ns0:c>
      <ns0:c r="F224" s="9" t="str">
        <ns0:f>IFERROR(MATCH(ROW()-4,'販売記録'!$L$5:$L$1004,0),"")</ns0:f>
        <ns0:v/>
      </ns0:c>
    </ns0:row>
    <ns0:row r="225">
      <ns0:c r="A225" s="11" t="str">
        <ns0:f>IF($F225="","",IF(INDEX('販売記録'!$K$5:$K$1004,$F225)="","",INDEX('販売記録'!$K$5:$K$1004,$F225)))</ns0:f>
        <ns0:v/>
      </ns0:c>
      <ns0:c r="B225" s="9" t="str">
        <ns0:f>IF($F225="","",IF(INDEX('販売記録'!$B$5:$B$1004,$F225)="","",INDEX('販売記録'!$B$5:$B$1004,$F225)))</ns0:f>
        <ns0:v/>
      </ns0:c>
      <ns0:c r="C225" s="9" t="str">
        <ns0:f>IF($F225="","",IF(INDEX('販売記録'!$C$5:$C$1004,$F225)="","",INDEX('販売記録'!$C$5:$C$1004,$F225)))</ns0:f>
        <ns0:v/>
      </ns0:c>
      <ns0:c r="D225" s="8" t="str">
        <ns0:f>IF($F225="","",IF(INDEX('販売記録'!$D$5:$D$1004,$F225)="","",INDEX('販売記録'!$D$5:$D$1004,$F225)))</ns0:f>
        <ns0:v/>
      </ns0:c>
      <ns0:c r="E225" s="12" t="str">
        <ns0:f>IF(OR(A225="",B225=""),"",MAX(0,TODAY()-A225))</ns0:f>
        <ns0:v/>
      </ns0:c>
      <ns0:c r="F225" s="9" t="str">
        <ns0:f>IFERROR(MATCH(ROW()-4,'販売記録'!$L$5:$L$1004,0),"")</ns0:f>
        <ns0:v/>
      </ns0:c>
    </ns0:row>
    <ns0:row r="226">
      <ns0:c r="A226" s="11" t="str">
        <ns0:f>IF($F226="","",IF(INDEX('販売記録'!$K$5:$K$1004,$F226)="","",INDEX('販売記録'!$K$5:$K$1004,$F226)))</ns0:f>
        <ns0:v/>
      </ns0:c>
      <ns0:c r="B226" s="9" t="str">
        <ns0:f>IF($F226="","",IF(INDEX('販売記録'!$B$5:$B$1004,$F226)="","",INDEX('販売記録'!$B$5:$B$1004,$F226)))</ns0:f>
        <ns0:v/>
      </ns0:c>
      <ns0:c r="C226" s="9" t="str">
        <ns0:f>IF($F226="","",IF(INDEX('販売記録'!$C$5:$C$1004,$F226)="","",INDEX('販売記録'!$C$5:$C$1004,$F226)))</ns0:f>
        <ns0:v/>
      </ns0:c>
      <ns0:c r="D226" s="8" t="str">
        <ns0:f>IF($F226="","",IF(INDEX('販売記録'!$D$5:$D$1004,$F226)="","",INDEX('販売記録'!$D$5:$D$1004,$F226)))</ns0:f>
        <ns0:v/>
      </ns0:c>
      <ns0:c r="E226" s="12" t="str">
        <ns0:f>IF(OR(A226="",B226=""),"",MAX(0,TODAY()-A226))</ns0:f>
        <ns0:v/>
      </ns0:c>
      <ns0:c r="F226" s="9" t="str">
        <ns0:f>IFERROR(MATCH(ROW()-4,'販売記録'!$L$5:$L$1004,0),"")</ns0:f>
        <ns0:v/>
      </ns0:c>
    </ns0:row>
    <ns0:row r="227">
      <ns0:c r="A227" s="11" t="str">
        <ns0:f>IF($F227="","",IF(INDEX('販売記録'!$K$5:$K$1004,$F227)="","",INDEX('販売記録'!$K$5:$K$1004,$F227)))</ns0:f>
        <ns0:v/>
      </ns0:c>
      <ns0:c r="B227" s="9" t="str">
        <ns0:f>IF($F227="","",IF(INDEX('販売記録'!$B$5:$B$1004,$F227)="","",INDEX('販売記録'!$B$5:$B$1004,$F227)))</ns0:f>
        <ns0:v/>
      </ns0:c>
      <ns0:c r="C227" s="9" t="str">
        <ns0:f>IF($F227="","",IF(INDEX('販売記録'!$C$5:$C$1004,$F227)="","",INDEX('販売記録'!$C$5:$C$1004,$F227)))</ns0:f>
        <ns0:v/>
      </ns0:c>
      <ns0:c r="D227" s="8" t="str">
        <ns0:f>IF($F227="","",IF(INDEX('販売記録'!$D$5:$D$1004,$F227)="","",INDEX('販売記録'!$D$5:$D$1004,$F227)))</ns0:f>
        <ns0:v/>
      </ns0:c>
      <ns0:c r="E227" s="12" t="str">
        <ns0:f>IF(OR(A227="",B227=""),"",MAX(0,TODAY()-A227))</ns0:f>
        <ns0:v/>
      </ns0:c>
      <ns0:c r="F227" s="9" t="str">
        <ns0:f>IFERROR(MATCH(ROW()-4,'販売記録'!$L$5:$L$1004,0),"")</ns0:f>
        <ns0:v/>
      </ns0:c>
    </ns0:row>
    <ns0:row r="228">
      <ns0:c r="A228" s="11" t="str">
        <ns0:f>IF($F228="","",IF(INDEX('販売記録'!$K$5:$K$1004,$F228)="","",INDEX('販売記録'!$K$5:$K$1004,$F228)))</ns0:f>
        <ns0:v/>
      </ns0:c>
      <ns0:c r="B228" s="9" t="str">
        <ns0:f>IF($F228="","",IF(INDEX('販売記録'!$B$5:$B$1004,$F228)="","",INDEX('販売記録'!$B$5:$B$1004,$F228)))</ns0:f>
        <ns0:v/>
      </ns0:c>
      <ns0:c r="C228" s="9" t="str">
        <ns0:f>IF($F228="","",IF(INDEX('販売記録'!$C$5:$C$1004,$F228)="","",INDEX('販売記録'!$C$5:$C$1004,$F228)))</ns0:f>
        <ns0:v/>
      </ns0:c>
      <ns0:c r="D228" s="8" t="str">
        <ns0:f>IF($F228="","",IF(INDEX('販売記録'!$D$5:$D$1004,$F228)="","",INDEX('販売記録'!$D$5:$D$1004,$F228)))</ns0:f>
        <ns0:v/>
      </ns0:c>
      <ns0:c r="E228" s="12" t="str">
        <ns0:f>IF(OR(A228="",B228=""),"",MAX(0,TODAY()-A228))</ns0:f>
        <ns0:v/>
      </ns0:c>
      <ns0:c r="F228" s="9" t="str">
        <ns0:f>IFERROR(MATCH(ROW()-4,'販売記録'!$L$5:$L$1004,0),"")</ns0:f>
        <ns0:v/>
      </ns0:c>
    </ns0:row>
    <ns0:row r="229">
      <ns0:c r="A229" s="11" t="str">
        <ns0:f>IF($F229="","",IF(INDEX('販売記録'!$K$5:$K$1004,$F229)="","",INDEX('販売記録'!$K$5:$K$1004,$F229)))</ns0:f>
        <ns0:v/>
      </ns0:c>
      <ns0:c r="B229" s="9" t="str">
        <ns0:f>IF($F229="","",IF(INDEX('販売記録'!$B$5:$B$1004,$F229)="","",INDEX('販売記録'!$B$5:$B$1004,$F229)))</ns0:f>
        <ns0:v/>
      </ns0:c>
      <ns0:c r="C229" s="9" t="str">
        <ns0:f>IF($F229="","",IF(INDEX('販売記録'!$C$5:$C$1004,$F229)="","",INDEX('販売記録'!$C$5:$C$1004,$F229)))</ns0:f>
        <ns0:v/>
      </ns0:c>
      <ns0:c r="D229" s="8" t="str">
        <ns0:f>IF($F229="","",IF(INDEX('販売記録'!$D$5:$D$1004,$F229)="","",INDEX('販売記録'!$D$5:$D$1004,$F229)))</ns0:f>
        <ns0:v/>
      </ns0:c>
      <ns0:c r="E229" s="12" t="str">
        <ns0:f>IF(OR(A229="",B229=""),"",MAX(0,TODAY()-A229))</ns0:f>
        <ns0:v/>
      </ns0:c>
      <ns0:c r="F229" s="9" t="str">
        <ns0:f>IFERROR(MATCH(ROW()-4,'販売記録'!$L$5:$L$1004,0),"")</ns0:f>
        <ns0:v/>
      </ns0:c>
    </ns0:row>
    <ns0:row r="230">
      <ns0:c r="A230" s="11" t="str">
        <ns0:f>IF($F230="","",IF(INDEX('販売記録'!$K$5:$K$1004,$F230)="","",INDEX('販売記録'!$K$5:$K$1004,$F230)))</ns0:f>
        <ns0:v/>
      </ns0:c>
      <ns0:c r="B230" s="9" t="str">
        <ns0:f>IF($F230="","",IF(INDEX('販売記録'!$B$5:$B$1004,$F230)="","",INDEX('販売記録'!$B$5:$B$1004,$F230)))</ns0:f>
        <ns0:v/>
      </ns0:c>
      <ns0:c r="C230" s="9" t="str">
        <ns0:f>IF($F230="","",IF(INDEX('販売記録'!$C$5:$C$1004,$F230)="","",INDEX('販売記録'!$C$5:$C$1004,$F230)))</ns0:f>
        <ns0:v/>
      </ns0:c>
      <ns0:c r="D230" s="8" t="str">
        <ns0:f>IF($F230="","",IF(INDEX('販売記録'!$D$5:$D$1004,$F230)="","",INDEX('販売記録'!$D$5:$D$1004,$F230)))</ns0:f>
        <ns0:v/>
      </ns0:c>
      <ns0:c r="E230" s="12" t="str">
        <ns0:f>IF(OR(A230="",B230=""),"",MAX(0,TODAY()-A230))</ns0:f>
        <ns0:v/>
      </ns0:c>
      <ns0:c r="F230" s="9" t="str">
        <ns0:f>IFERROR(MATCH(ROW()-4,'販売記録'!$L$5:$L$1004,0),"")</ns0:f>
        <ns0:v/>
      </ns0:c>
    </ns0:row>
    <ns0:row r="231">
      <ns0:c r="A231" s="11" t="str">
        <ns0:f>IF($F231="","",IF(INDEX('販売記録'!$K$5:$K$1004,$F231)="","",INDEX('販売記録'!$K$5:$K$1004,$F231)))</ns0:f>
        <ns0:v/>
      </ns0:c>
      <ns0:c r="B231" s="9" t="str">
        <ns0:f>IF($F231="","",IF(INDEX('販売記録'!$B$5:$B$1004,$F231)="","",INDEX('販売記録'!$B$5:$B$1004,$F231)))</ns0:f>
        <ns0:v/>
      </ns0:c>
      <ns0:c r="C231" s="9" t="str">
        <ns0:f>IF($F231="","",IF(INDEX('販売記録'!$C$5:$C$1004,$F231)="","",INDEX('販売記録'!$C$5:$C$1004,$F231)))</ns0:f>
        <ns0:v/>
      </ns0:c>
      <ns0:c r="D231" s="8" t="str">
        <ns0:f>IF($F231="","",IF(INDEX('販売記録'!$D$5:$D$1004,$F231)="","",INDEX('販売記録'!$D$5:$D$1004,$F231)))</ns0:f>
        <ns0:v/>
      </ns0:c>
      <ns0:c r="E231" s="12" t="str">
        <ns0:f>IF(OR(A231="",B231=""),"",MAX(0,TODAY()-A231))</ns0:f>
        <ns0:v/>
      </ns0:c>
      <ns0:c r="F231" s="9" t="str">
        <ns0:f>IFERROR(MATCH(ROW()-4,'販売記録'!$L$5:$L$1004,0),"")</ns0:f>
        <ns0:v/>
      </ns0:c>
    </ns0:row>
    <ns0:row r="232">
      <ns0:c r="A232" s="11" t="str">
        <ns0:f>IF($F232="","",IF(INDEX('販売記録'!$K$5:$K$1004,$F232)="","",INDEX('販売記録'!$K$5:$K$1004,$F232)))</ns0:f>
        <ns0:v/>
      </ns0:c>
      <ns0:c r="B232" s="9" t="str">
        <ns0:f>IF($F232="","",IF(INDEX('販売記録'!$B$5:$B$1004,$F232)="","",INDEX('販売記録'!$B$5:$B$1004,$F232)))</ns0:f>
        <ns0:v/>
      </ns0:c>
      <ns0:c r="C232" s="9" t="str">
        <ns0:f>IF($F232="","",IF(INDEX('販売記録'!$C$5:$C$1004,$F232)="","",INDEX('販売記録'!$C$5:$C$1004,$F232)))</ns0:f>
        <ns0:v/>
      </ns0:c>
      <ns0:c r="D232" s="8" t="str">
        <ns0:f>IF($F232="","",IF(INDEX('販売記録'!$D$5:$D$1004,$F232)="","",INDEX('販売記録'!$D$5:$D$1004,$F232)))</ns0:f>
        <ns0:v/>
      </ns0:c>
      <ns0:c r="E232" s="12" t="str">
        <ns0:f>IF(OR(A232="",B232=""),"",MAX(0,TODAY()-A232))</ns0:f>
        <ns0:v/>
      </ns0:c>
      <ns0:c r="F232" s="9" t="str">
        <ns0:f>IFERROR(MATCH(ROW()-4,'販売記録'!$L$5:$L$1004,0),"")</ns0:f>
        <ns0:v/>
      </ns0:c>
    </ns0:row>
    <ns0:row r="233">
      <ns0:c r="A233" s="11" t="str">
        <ns0:f>IF($F233="","",IF(INDEX('販売記録'!$K$5:$K$1004,$F233)="","",INDEX('販売記録'!$K$5:$K$1004,$F233)))</ns0:f>
        <ns0:v/>
      </ns0:c>
      <ns0:c r="B233" s="9" t="str">
        <ns0:f>IF($F233="","",IF(INDEX('販売記録'!$B$5:$B$1004,$F233)="","",INDEX('販売記録'!$B$5:$B$1004,$F233)))</ns0:f>
        <ns0:v/>
      </ns0:c>
      <ns0:c r="C233" s="9" t="str">
        <ns0:f>IF($F233="","",IF(INDEX('販売記録'!$C$5:$C$1004,$F233)="","",INDEX('販売記録'!$C$5:$C$1004,$F233)))</ns0:f>
        <ns0:v/>
      </ns0:c>
      <ns0:c r="D233" s="8" t="str">
        <ns0:f>IF($F233="","",IF(INDEX('販売記録'!$D$5:$D$1004,$F233)="","",INDEX('販売記録'!$D$5:$D$1004,$F233)))</ns0:f>
        <ns0:v/>
      </ns0:c>
      <ns0:c r="E233" s="12" t="str">
        <ns0:f>IF(OR(A233="",B233=""),"",MAX(0,TODAY()-A233))</ns0:f>
        <ns0:v/>
      </ns0:c>
      <ns0:c r="F233" s="9" t="str">
        <ns0:f>IFERROR(MATCH(ROW()-4,'販売記録'!$L$5:$L$1004,0),"")</ns0:f>
        <ns0:v/>
      </ns0:c>
    </ns0:row>
    <ns0:row r="234">
      <ns0:c r="A234" s="11" t="str">
        <ns0:f>IF($F234="","",IF(INDEX('販売記録'!$K$5:$K$1004,$F234)="","",INDEX('販売記録'!$K$5:$K$1004,$F234)))</ns0:f>
        <ns0:v/>
      </ns0:c>
      <ns0:c r="B234" s="9" t="str">
        <ns0:f>IF($F234="","",IF(INDEX('販売記録'!$B$5:$B$1004,$F234)="","",INDEX('販売記録'!$B$5:$B$1004,$F234)))</ns0:f>
        <ns0:v/>
      </ns0:c>
      <ns0:c r="C234" s="9" t="str">
        <ns0:f>IF($F234="","",IF(INDEX('販売記録'!$C$5:$C$1004,$F234)="","",INDEX('販売記録'!$C$5:$C$1004,$F234)))</ns0:f>
        <ns0:v/>
      </ns0:c>
      <ns0:c r="D234" s="8" t="str">
        <ns0:f>IF($F234="","",IF(INDEX('販売記録'!$D$5:$D$1004,$F234)="","",INDEX('販売記録'!$D$5:$D$1004,$F234)))</ns0:f>
        <ns0:v/>
      </ns0:c>
      <ns0:c r="E234" s="12" t="str">
        <ns0:f>IF(OR(A234="",B234=""),"",MAX(0,TODAY()-A234))</ns0:f>
        <ns0:v/>
      </ns0:c>
      <ns0:c r="F234" s="9" t="str">
        <ns0:f>IFERROR(MATCH(ROW()-4,'販売記録'!$L$5:$L$1004,0),"")</ns0:f>
        <ns0:v/>
      </ns0:c>
    </ns0:row>
    <ns0:row r="235">
      <ns0:c r="A235" s="11" t="str">
        <ns0:f>IF($F235="","",IF(INDEX('販売記録'!$K$5:$K$1004,$F235)="","",INDEX('販売記録'!$K$5:$K$1004,$F235)))</ns0:f>
        <ns0:v/>
      </ns0:c>
      <ns0:c r="B235" s="9" t="str">
        <ns0:f>IF($F235="","",IF(INDEX('販売記録'!$B$5:$B$1004,$F235)="","",INDEX('販売記録'!$B$5:$B$1004,$F235)))</ns0:f>
        <ns0:v/>
      </ns0:c>
      <ns0:c r="C235" s="9" t="str">
        <ns0:f>IF($F235="","",IF(INDEX('販売記録'!$C$5:$C$1004,$F235)="","",INDEX('販売記録'!$C$5:$C$1004,$F235)))</ns0:f>
        <ns0:v/>
      </ns0:c>
      <ns0:c r="D235" s="8" t="str">
        <ns0:f>IF($F235="","",IF(INDEX('販売記録'!$D$5:$D$1004,$F235)="","",INDEX('販売記録'!$D$5:$D$1004,$F235)))</ns0:f>
        <ns0:v/>
      </ns0:c>
      <ns0:c r="E235" s="12" t="str">
        <ns0:f>IF(OR(A235="",B235=""),"",MAX(0,TODAY()-A235))</ns0:f>
        <ns0:v/>
      </ns0:c>
      <ns0:c r="F235" s="9" t="str">
        <ns0:f>IFERROR(MATCH(ROW()-4,'販売記録'!$L$5:$L$1004,0),"")</ns0:f>
        <ns0:v/>
      </ns0:c>
    </ns0:row>
    <ns0:row r="236">
      <ns0:c r="A236" s="11" t="str">
        <ns0:f>IF($F236="","",IF(INDEX('販売記録'!$K$5:$K$1004,$F236)="","",INDEX('販売記録'!$K$5:$K$1004,$F236)))</ns0:f>
        <ns0:v/>
      </ns0:c>
      <ns0:c r="B236" s="9" t="str">
        <ns0:f>IF($F236="","",IF(INDEX('販売記録'!$B$5:$B$1004,$F236)="","",INDEX('販売記録'!$B$5:$B$1004,$F236)))</ns0:f>
        <ns0:v/>
      </ns0:c>
      <ns0:c r="C236" s="9" t="str">
        <ns0:f>IF($F236="","",IF(INDEX('販売記録'!$C$5:$C$1004,$F236)="","",INDEX('販売記録'!$C$5:$C$1004,$F236)))</ns0:f>
        <ns0:v/>
      </ns0:c>
      <ns0:c r="D236" s="8" t="str">
        <ns0:f>IF($F236="","",IF(INDEX('販売記録'!$D$5:$D$1004,$F236)="","",INDEX('販売記録'!$D$5:$D$1004,$F236)))</ns0:f>
        <ns0:v/>
      </ns0:c>
      <ns0:c r="E236" s="12" t="str">
        <ns0:f>IF(OR(A236="",B236=""),"",MAX(0,TODAY()-A236))</ns0:f>
        <ns0:v/>
      </ns0:c>
      <ns0:c r="F236" s="9" t="str">
        <ns0:f>IFERROR(MATCH(ROW()-4,'販売記録'!$L$5:$L$1004,0),"")</ns0:f>
        <ns0:v/>
      </ns0:c>
    </ns0:row>
    <ns0:row r="237">
      <ns0:c r="A237" s="11" t="str">
        <ns0:f>IF($F237="","",IF(INDEX('販売記録'!$K$5:$K$1004,$F237)="","",INDEX('販売記録'!$K$5:$K$1004,$F237)))</ns0:f>
        <ns0:v/>
      </ns0:c>
      <ns0:c r="B237" s="9" t="str">
        <ns0:f>IF($F237="","",IF(INDEX('販売記録'!$B$5:$B$1004,$F237)="","",INDEX('販売記録'!$B$5:$B$1004,$F237)))</ns0:f>
        <ns0:v/>
      </ns0:c>
      <ns0:c r="C237" s="9" t="str">
        <ns0:f>IF($F237="","",IF(INDEX('販売記録'!$C$5:$C$1004,$F237)="","",INDEX('販売記録'!$C$5:$C$1004,$F237)))</ns0:f>
        <ns0:v/>
      </ns0:c>
      <ns0:c r="D237" s="8" t="str">
        <ns0:f>IF($F237="","",IF(INDEX('販売記録'!$D$5:$D$1004,$F237)="","",INDEX('販売記録'!$D$5:$D$1004,$F237)))</ns0:f>
        <ns0:v/>
      </ns0:c>
      <ns0:c r="E237" s="12" t="str">
        <ns0:f>IF(OR(A237="",B237=""),"",MAX(0,TODAY()-A237))</ns0:f>
        <ns0:v/>
      </ns0:c>
      <ns0:c r="F237" s="9" t="str">
        <ns0:f>IFERROR(MATCH(ROW()-4,'販売記録'!$L$5:$L$1004,0),"")</ns0:f>
        <ns0:v/>
      </ns0:c>
    </ns0:row>
    <ns0:row r="238">
      <ns0:c r="A238" s="11" t="str">
        <ns0:f>IF($F238="","",IF(INDEX('販売記録'!$K$5:$K$1004,$F238)="","",INDEX('販売記録'!$K$5:$K$1004,$F238)))</ns0:f>
        <ns0:v/>
      </ns0:c>
      <ns0:c r="B238" s="9" t="str">
        <ns0:f>IF($F238="","",IF(INDEX('販売記録'!$B$5:$B$1004,$F238)="","",INDEX('販売記録'!$B$5:$B$1004,$F238)))</ns0:f>
        <ns0:v/>
      </ns0:c>
      <ns0:c r="C238" s="9" t="str">
        <ns0:f>IF($F238="","",IF(INDEX('販売記録'!$C$5:$C$1004,$F238)="","",INDEX('販売記録'!$C$5:$C$1004,$F238)))</ns0:f>
        <ns0:v/>
      </ns0:c>
      <ns0:c r="D238" s="8" t="str">
        <ns0:f>IF($F238="","",IF(INDEX('販売記録'!$D$5:$D$1004,$F238)="","",INDEX('販売記録'!$D$5:$D$1004,$F238)))</ns0:f>
        <ns0:v/>
      </ns0:c>
      <ns0:c r="E238" s="12" t="str">
        <ns0:f>IF(OR(A238="",B238=""),"",MAX(0,TODAY()-A238))</ns0:f>
        <ns0:v/>
      </ns0:c>
      <ns0:c r="F238" s="9" t="str">
        <ns0:f>IFERROR(MATCH(ROW()-4,'販売記録'!$L$5:$L$1004,0),"")</ns0:f>
        <ns0:v/>
      </ns0:c>
    </ns0:row>
    <ns0:row r="239">
      <ns0:c r="A239" s="11" t="str">
        <ns0:f>IF($F239="","",IF(INDEX('販売記録'!$K$5:$K$1004,$F239)="","",INDEX('販売記録'!$K$5:$K$1004,$F239)))</ns0:f>
        <ns0:v/>
      </ns0:c>
      <ns0:c r="B239" s="9" t="str">
        <ns0:f>IF($F239="","",IF(INDEX('販売記録'!$B$5:$B$1004,$F239)="","",INDEX('販売記録'!$B$5:$B$1004,$F239)))</ns0:f>
        <ns0:v/>
      </ns0:c>
      <ns0:c r="C239" s="9" t="str">
        <ns0:f>IF($F239="","",IF(INDEX('販売記録'!$C$5:$C$1004,$F239)="","",INDEX('販売記録'!$C$5:$C$1004,$F239)))</ns0:f>
        <ns0:v/>
      </ns0:c>
      <ns0:c r="D239" s="8" t="str">
        <ns0:f>IF($F239="","",IF(INDEX('販売記録'!$D$5:$D$1004,$F239)="","",INDEX('販売記録'!$D$5:$D$1004,$F239)))</ns0:f>
        <ns0:v/>
      </ns0:c>
      <ns0:c r="E239" s="12" t="str">
        <ns0:f>IF(OR(A239="",B239=""),"",MAX(0,TODAY()-A239))</ns0:f>
        <ns0:v/>
      </ns0:c>
      <ns0:c r="F239" s="9" t="str">
        <ns0:f>IFERROR(MATCH(ROW()-4,'販売記録'!$L$5:$L$1004,0),"")</ns0:f>
        <ns0:v/>
      </ns0:c>
    </ns0:row>
    <ns0:row r="240">
      <ns0:c r="A240" s="11" t="str">
        <ns0:f>IF($F240="","",IF(INDEX('販売記録'!$K$5:$K$1004,$F240)="","",INDEX('販売記録'!$K$5:$K$1004,$F240)))</ns0:f>
        <ns0:v/>
      </ns0:c>
      <ns0:c r="B240" s="9" t="str">
        <ns0:f>IF($F240="","",IF(INDEX('販売記録'!$B$5:$B$1004,$F240)="","",INDEX('販売記録'!$B$5:$B$1004,$F240)))</ns0:f>
        <ns0:v/>
      </ns0:c>
      <ns0:c r="C240" s="9" t="str">
        <ns0:f>IF($F240="","",IF(INDEX('販売記録'!$C$5:$C$1004,$F240)="","",INDEX('販売記録'!$C$5:$C$1004,$F240)))</ns0:f>
        <ns0:v/>
      </ns0:c>
      <ns0:c r="D240" s="8" t="str">
        <ns0:f>IF($F240="","",IF(INDEX('販売記録'!$D$5:$D$1004,$F240)="","",INDEX('販売記録'!$D$5:$D$1004,$F240)))</ns0:f>
        <ns0:v/>
      </ns0:c>
      <ns0:c r="E240" s="12" t="str">
        <ns0:f>IF(OR(A240="",B240=""),"",MAX(0,TODAY()-A240))</ns0:f>
        <ns0:v/>
      </ns0:c>
      <ns0:c r="F240" s="9" t="str">
        <ns0:f>IFERROR(MATCH(ROW()-4,'販売記録'!$L$5:$L$1004,0),"")</ns0:f>
        <ns0:v/>
      </ns0:c>
    </ns0:row>
    <ns0:row r="241">
      <ns0:c r="A241" s="11" t="str">
        <ns0:f>IF($F241="","",IF(INDEX('販売記録'!$K$5:$K$1004,$F241)="","",INDEX('販売記録'!$K$5:$K$1004,$F241)))</ns0:f>
        <ns0:v/>
      </ns0:c>
      <ns0:c r="B241" s="9" t="str">
        <ns0:f>IF($F241="","",IF(INDEX('販売記録'!$B$5:$B$1004,$F241)="","",INDEX('販売記録'!$B$5:$B$1004,$F241)))</ns0:f>
        <ns0:v/>
      </ns0:c>
      <ns0:c r="C241" s="9" t="str">
        <ns0:f>IF($F241="","",IF(INDEX('販売記録'!$C$5:$C$1004,$F241)="","",INDEX('販売記録'!$C$5:$C$1004,$F241)))</ns0:f>
        <ns0:v/>
      </ns0:c>
      <ns0:c r="D241" s="8" t="str">
        <ns0:f>IF($F241="","",IF(INDEX('販売記録'!$D$5:$D$1004,$F241)="","",INDEX('販売記録'!$D$5:$D$1004,$F241)))</ns0:f>
        <ns0:v/>
      </ns0:c>
      <ns0:c r="E241" s="12" t="str">
        <ns0:f>IF(OR(A241="",B241=""),"",MAX(0,TODAY()-A241))</ns0:f>
        <ns0:v/>
      </ns0:c>
      <ns0:c r="F241" s="9" t="str">
        <ns0:f>IFERROR(MATCH(ROW()-4,'販売記録'!$L$5:$L$1004,0),"")</ns0:f>
        <ns0:v/>
      </ns0:c>
    </ns0:row>
    <ns0:row r="242">
      <ns0:c r="A242" s="11" t="str">
        <ns0:f>IF($F242="","",IF(INDEX('販売記録'!$K$5:$K$1004,$F242)="","",INDEX('販売記録'!$K$5:$K$1004,$F242)))</ns0:f>
        <ns0:v/>
      </ns0:c>
      <ns0:c r="B242" s="9" t="str">
        <ns0:f>IF($F242="","",IF(INDEX('販売記録'!$B$5:$B$1004,$F242)="","",INDEX('販売記録'!$B$5:$B$1004,$F242)))</ns0:f>
        <ns0:v/>
      </ns0:c>
      <ns0:c r="C242" s="9" t="str">
        <ns0:f>IF($F242="","",IF(INDEX('販売記録'!$C$5:$C$1004,$F242)="","",INDEX('販売記録'!$C$5:$C$1004,$F242)))</ns0:f>
        <ns0:v/>
      </ns0:c>
      <ns0:c r="D242" s="8" t="str">
        <ns0:f>IF($F242="","",IF(INDEX('販売記録'!$D$5:$D$1004,$F242)="","",INDEX('販売記録'!$D$5:$D$1004,$F242)))</ns0:f>
        <ns0:v/>
      </ns0:c>
      <ns0:c r="E242" s="12" t="str">
        <ns0:f>IF(OR(A242="",B242=""),"",MAX(0,TODAY()-A242))</ns0:f>
        <ns0:v/>
      </ns0:c>
      <ns0:c r="F242" s="9" t="str">
        <ns0:f>IFERROR(MATCH(ROW()-4,'販売記録'!$L$5:$L$1004,0),"")</ns0:f>
        <ns0:v/>
      </ns0:c>
    </ns0:row>
    <ns0:row r="243">
      <ns0:c r="A243" s="11" t="str">
        <ns0:f>IF($F243="","",IF(INDEX('販売記録'!$K$5:$K$1004,$F243)="","",INDEX('販売記録'!$K$5:$K$1004,$F243)))</ns0:f>
        <ns0:v/>
      </ns0:c>
      <ns0:c r="B243" s="9" t="str">
        <ns0:f>IF($F243="","",IF(INDEX('販売記録'!$B$5:$B$1004,$F243)="","",INDEX('販売記録'!$B$5:$B$1004,$F243)))</ns0:f>
        <ns0:v/>
      </ns0:c>
      <ns0:c r="C243" s="9" t="str">
        <ns0:f>IF($F243="","",IF(INDEX('販売記録'!$C$5:$C$1004,$F243)="","",INDEX('販売記録'!$C$5:$C$1004,$F243)))</ns0:f>
        <ns0:v/>
      </ns0:c>
      <ns0:c r="D243" s="8" t="str">
        <ns0:f>IF($F243="","",IF(INDEX('販売記録'!$D$5:$D$1004,$F243)="","",INDEX('販売記録'!$D$5:$D$1004,$F243)))</ns0:f>
        <ns0:v/>
      </ns0:c>
      <ns0:c r="E243" s="12" t="str">
        <ns0:f>IF(OR(A243="",B243=""),"",MAX(0,TODAY()-A243))</ns0:f>
        <ns0:v/>
      </ns0:c>
      <ns0:c r="F243" s="9" t="str">
        <ns0:f>IFERROR(MATCH(ROW()-4,'販売記録'!$L$5:$L$1004,0),"")</ns0:f>
        <ns0:v/>
      </ns0:c>
    </ns0:row>
    <ns0:row r="244">
      <ns0:c r="A244" s="11" t="str">
        <ns0:f>IF($F244="","",IF(INDEX('販売記録'!$K$5:$K$1004,$F244)="","",INDEX('販売記録'!$K$5:$K$1004,$F244)))</ns0:f>
        <ns0:v/>
      </ns0:c>
      <ns0:c r="B244" s="9" t="str">
        <ns0:f>IF($F244="","",IF(INDEX('販売記録'!$B$5:$B$1004,$F244)="","",INDEX('販売記録'!$B$5:$B$1004,$F244)))</ns0:f>
        <ns0:v/>
      </ns0:c>
      <ns0:c r="C244" s="9" t="str">
        <ns0:f>IF($F244="","",IF(INDEX('販売記録'!$C$5:$C$1004,$F244)="","",INDEX('販売記録'!$C$5:$C$1004,$F244)))</ns0:f>
        <ns0:v/>
      </ns0:c>
      <ns0:c r="D244" s="8" t="str">
        <ns0:f>IF($F244="","",IF(INDEX('販売記録'!$D$5:$D$1004,$F244)="","",INDEX('販売記録'!$D$5:$D$1004,$F244)))</ns0:f>
        <ns0:v/>
      </ns0:c>
      <ns0:c r="E244" s="12" t="str">
        <ns0:f>IF(OR(A244="",B244=""),"",MAX(0,TODAY()-A244))</ns0:f>
        <ns0:v/>
      </ns0:c>
      <ns0:c r="F244" s="9" t="str">
        <ns0:f>IFERROR(MATCH(ROW()-4,'販売記録'!$L$5:$L$1004,0),"")</ns0:f>
        <ns0:v/>
      </ns0:c>
    </ns0:row>
    <ns0:row r="245">
      <ns0:c r="A245" s="11" t="str">
        <ns0:f>IF($F245="","",IF(INDEX('販売記録'!$K$5:$K$1004,$F245)="","",INDEX('販売記録'!$K$5:$K$1004,$F245)))</ns0:f>
        <ns0:v/>
      </ns0:c>
      <ns0:c r="B245" s="9" t="str">
        <ns0:f>IF($F245="","",IF(INDEX('販売記録'!$B$5:$B$1004,$F245)="","",INDEX('販売記録'!$B$5:$B$1004,$F245)))</ns0:f>
        <ns0:v/>
      </ns0:c>
      <ns0:c r="C245" s="9" t="str">
        <ns0:f>IF($F245="","",IF(INDEX('販売記録'!$C$5:$C$1004,$F245)="","",INDEX('販売記録'!$C$5:$C$1004,$F245)))</ns0:f>
        <ns0:v/>
      </ns0:c>
      <ns0:c r="D245" s="8" t="str">
        <ns0:f>IF($F245="","",IF(INDEX('販売記録'!$D$5:$D$1004,$F245)="","",INDEX('販売記録'!$D$5:$D$1004,$F245)))</ns0:f>
        <ns0:v/>
      </ns0:c>
      <ns0:c r="E245" s="12" t="str">
        <ns0:f>IF(OR(A245="",B245=""),"",MAX(0,TODAY()-A245))</ns0:f>
        <ns0:v/>
      </ns0:c>
      <ns0:c r="F245" s="9" t="str">
        <ns0:f>IFERROR(MATCH(ROW()-4,'販売記録'!$L$5:$L$1004,0),"")</ns0:f>
        <ns0:v/>
      </ns0:c>
    </ns0:row>
    <ns0:row r="246">
      <ns0:c r="A246" s="11" t="str">
        <ns0:f>IF($F246="","",IF(INDEX('販売記録'!$K$5:$K$1004,$F246)="","",INDEX('販売記録'!$K$5:$K$1004,$F246)))</ns0:f>
        <ns0:v/>
      </ns0:c>
      <ns0:c r="B246" s="9" t="str">
        <ns0:f>IF($F246="","",IF(INDEX('販売記録'!$B$5:$B$1004,$F246)="","",INDEX('販売記録'!$B$5:$B$1004,$F246)))</ns0:f>
        <ns0:v/>
      </ns0:c>
      <ns0:c r="C246" s="9" t="str">
        <ns0:f>IF($F246="","",IF(INDEX('販売記録'!$C$5:$C$1004,$F246)="","",INDEX('販売記録'!$C$5:$C$1004,$F246)))</ns0:f>
        <ns0:v/>
      </ns0:c>
      <ns0:c r="D246" s="8" t="str">
        <ns0:f>IF($F246="","",IF(INDEX('販売記録'!$D$5:$D$1004,$F246)="","",INDEX('販売記録'!$D$5:$D$1004,$F246)))</ns0:f>
        <ns0:v/>
      </ns0:c>
      <ns0:c r="E246" s="12" t="str">
        <ns0:f>IF(OR(A246="",B246=""),"",MAX(0,TODAY()-A246))</ns0:f>
        <ns0:v/>
      </ns0:c>
      <ns0:c r="F246" s="9" t="str">
        <ns0:f>IFERROR(MATCH(ROW()-4,'販売記録'!$L$5:$L$1004,0),"")</ns0:f>
        <ns0:v/>
      </ns0:c>
    </ns0:row>
    <ns0:row r="247">
      <ns0:c r="A247" s="11" t="str">
        <ns0:f>IF($F247="","",IF(INDEX('販売記録'!$K$5:$K$1004,$F247)="","",INDEX('販売記録'!$K$5:$K$1004,$F247)))</ns0:f>
        <ns0:v/>
      </ns0:c>
      <ns0:c r="B247" s="9" t="str">
        <ns0:f>IF($F247="","",IF(INDEX('販売記録'!$B$5:$B$1004,$F247)="","",INDEX('販売記録'!$B$5:$B$1004,$F247)))</ns0:f>
        <ns0:v/>
      </ns0:c>
      <ns0:c r="C247" s="9" t="str">
        <ns0:f>IF($F247="","",IF(INDEX('販売記録'!$C$5:$C$1004,$F247)="","",INDEX('販売記録'!$C$5:$C$1004,$F247)))</ns0:f>
        <ns0:v/>
      </ns0:c>
      <ns0:c r="D247" s="8" t="str">
        <ns0:f>IF($F247="","",IF(INDEX('販売記録'!$D$5:$D$1004,$F247)="","",INDEX('販売記録'!$D$5:$D$1004,$F247)))</ns0:f>
        <ns0:v/>
      </ns0:c>
      <ns0:c r="E247" s="12" t="str">
        <ns0:f>IF(OR(A247="",B247=""),"",MAX(0,TODAY()-A247))</ns0:f>
        <ns0:v/>
      </ns0:c>
      <ns0:c r="F247" s="9" t="str">
        <ns0:f>IFERROR(MATCH(ROW()-4,'販売記録'!$L$5:$L$1004,0),"")</ns0:f>
        <ns0:v/>
      </ns0:c>
    </ns0:row>
    <ns0:row r="248">
      <ns0:c r="A248" s="11" t="str">
        <ns0:f>IF($F248="","",IF(INDEX('販売記録'!$K$5:$K$1004,$F248)="","",INDEX('販売記録'!$K$5:$K$1004,$F248)))</ns0:f>
        <ns0:v/>
      </ns0:c>
      <ns0:c r="B248" s="9" t="str">
        <ns0:f>IF($F248="","",IF(INDEX('販売記録'!$B$5:$B$1004,$F248)="","",INDEX('販売記録'!$B$5:$B$1004,$F248)))</ns0:f>
        <ns0:v/>
      </ns0:c>
      <ns0:c r="C248" s="9" t="str">
        <ns0:f>IF($F248="","",IF(INDEX('販売記録'!$C$5:$C$1004,$F248)="","",INDEX('販売記録'!$C$5:$C$1004,$F248)))</ns0:f>
        <ns0:v/>
      </ns0:c>
      <ns0:c r="D248" s="8" t="str">
        <ns0:f>IF($F248="","",IF(INDEX('販売記録'!$D$5:$D$1004,$F248)="","",INDEX('販売記録'!$D$5:$D$1004,$F248)))</ns0:f>
        <ns0:v/>
      </ns0:c>
      <ns0:c r="E248" s="12" t="str">
        <ns0:f>IF(OR(A248="",B248=""),"",MAX(0,TODAY()-A248))</ns0:f>
        <ns0:v/>
      </ns0:c>
      <ns0:c r="F248" s="9" t="str">
        <ns0:f>IFERROR(MATCH(ROW()-4,'販売記録'!$L$5:$L$1004,0),"")</ns0:f>
        <ns0:v/>
      </ns0:c>
    </ns0:row>
    <ns0:row r="249">
      <ns0:c r="A249" s="11" t="str">
        <ns0:f>IF($F249="","",IF(INDEX('販売記録'!$K$5:$K$1004,$F249)="","",INDEX('販売記録'!$K$5:$K$1004,$F249)))</ns0:f>
        <ns0:v/>
      </ns0:c>
      <ns0:c r="B249" s="9" t="str">
        <ns0:f>IF($F249="","",IF(INDEX('販売記録'!$B$5:$B$1004,$F249)="","",INDEX('販売記録'!$B$5:$B$1004,$F249)))</ns0:f>
        <ns0:v/>
      </ns0:c>
      <ns0:c r="C249" s="9" t="str">
        <ns0:f>IF($F249="","",IF(INDEX('販売記録'!$C$5:$C$1004,$F249)="","",INDEX('販売記録'!$C$5:$C$1004,$F249)))</ns0:f>
        <ns0:v/>
      </ns0:c>
      <ns0:c r="D249" s="8" t="str">
        <ns0:f>IF($F249="","",IF(INDEX('販売記録'!$D$5:$D$1004,$F249)="","",INDEX('販売記録'!$D$5:$D$1004,$F249)))</ns0:f>
        <ns0:v/>
      </ns0:c>
      <ns0:c r="E249" s="12" t="str">
        <ns0:f>IF(OR(A249="",B249=""),"",MAX(0,TODAY()-A249))</ns0:f>
        <ns0:v/>
      </ns0:c>
      <ns0:c r="F249" s="9" t="str">
        <ns0:f>IFERROR(MATCH(ROW()-4,'販売記録'!$L$5:$L$1004,0),"")</ns0:f>
        <ns0:v/>
      </ns0:c>
    </ns0:row>
    <ns0:row r="250">
      <ns0:c r="A250" s="11" t="str">
        <ns0:f>IF($F250="","",IF(INDEX('販売記録'!$K$5:$K$1004,$F250)="","",INDEX('販売記録'!$K$5:$K$1004,$F250)))</ns0:f>
        <ns0:v/>
      </ns0:c>
      <ns0:c r="B250" s="9" t="str">
        <ns0:f>IF($F250="","",IF(INDEX('販売記録'!$B$5:$B$1004,$F250)="","",INDEX('販売記録'!$B$5:$B$1004,$F250)))</ns0:f>
        <ns0:v/>
      </ns0:c>
      <ns0:c r="C250" s="9" t="str">
        <ns0:f>IF($F250="","",IF(INDEX('販売記録'!$C$5:$C$1004,$F250)="","",INDEX('販売記録'!$C$5:$C$1004,$F250)))</ns0:f>
        <ns0:v/>
      </ns0:c>
      <ns0:c r="D250" s="8" t="str">
        <ns0:f>IF($F250="","",IF(INDEX('販売記録'!$D$5:$D$1004,$F250)="","",INDEX('販売記録'!$D$5:$D$1004,$F250)))</ns0:f>
        <ns0:v/>
      </ns0:c>
      <ns0:c r="E250" s="12" t="str">
        <ns0:f>IF(OR(A250="",B250=""),"",MAX(0,TODAY()-A250))</ns0:f>
        <ns0:v/>
      </ns0:c>
      <ns0:c r="F250" s="9" t="str">
        <ns0:f>IFERROR(MATCH(ROW()-4,'販売記録'!$L$5:$L$1004,0),"")</ns0:f>
        <ns0:v/>
      </ns0:c>
    </ns0:row>
    <ns0:row r="251">
      <ns0:c r="A251" s="11" t="str">
        <ns0:f>IF($F251="","",IF(INDEX('販売記録'!$K$5:$K$1004,$F251)="","",INDEX('販売記録'!$K$5:$K$1004,$F251)))</ns0:f>
        <ns0:v/>
      </ns0:c>
      <ns0:c r="B251" s="9" t="str">
        <ns0:f>IF($F251="","",IF(INDEX('販売記録'!$B$5:$B$1004,$F251)="","",INDEX('販売記録'!$B$5:$B$1004,$F251)))</ns0:f>
        <ns0:v/>
      </ns0:c>
      <ns0:c r="C251" s="9" t="str">
        <ns0:f>IF($F251="","",IF(INDEX('販売記録'!$C$5:$C$1004,$F251)="","",INDEX('販売記録'!$C$5:$C$1004,$F251)))</ns0:f>
        <ns0:v/>
      </ns0:c>
      <ns0:c r="D251" s="8" t="str">
        <ns0:f>IF($F251="","",IF(INDEX('販売記録'!$D$5:$D$1004,$F251)="","",INDEX('販売記録'!$D$5:$D$1004,$F251)))</ns0:f>
        <ns0:v/>
      </ns0:c>
      <ns0:c r="E251" s="12" t="str">
        <ns0:f>IF(OR(A251="",B251=""),"",MAX(0,TODAY()-A251))</ns0:f>
        <ns0:v/>
      </ns0:c>
      <ns0:c r="F251" s="9" t="str">
        <ns0:f>IFERROR(MATCH(ROW()-4,'販売記録'!$L$5:$L$1004,0),"")</ns0:f>
        <ns0:v/>
      </ns0:c>
    </ns0:row>
    <ns0:row r="252">
      <ns0:c r="A252" s="11" t="str">
        <ns0:f>IF($F252="","",IF(INDEX('販売記録'!$K$5:$K$1004,$F252)="","",INDEX('販売記録'!$K$5:$K$1004,$F252)))</ns0:f>
        <ns0:v/>
      </ns0:c>
      <ns0:c r="B252" s="9" t="str">
        <ns0:f>IF($F252="","",IF(INDEX('販売記録'!$B$5:$B$1004,$F252)="","",INDEX('販売記録'!$B$5:$B$1004,$F252)))</ns0:f>
        <ns0:v/>
      </ns0:c>
      <ns0:c r="C252" s="9" t="str">
        <ns0:f>IF($F252="","",IF(INDEX('販売記録'!$C$5:$C$1004,$F252)="","",INDEX('販売記録'!$C$5:$C$1004,$F252)))</ns0:f>
        <ns0:v/>
      </ns0:c>
      <ns0:c r="D252" s="8" t="str">
        <ns0:f>IF($F252="","",IF(INDEX('販売記録'!$D$5:$D$1004,$F252)="","",INDEX('販売記録'!$D$5:$D$1004,$F252)))</ns0:f>
        <ns0:v/>
      </ns0:c>
      <ns0:c r="E252" s="12" t="str">
        <ns0:f>IF(OR(A252="",B252=""),"",MAX(0,TODAY()-A252))</ns0:f>
        <ns0:v/>
      </ns0:c>
      <ns0:c r="F252" s="9" t="str">
        <ns0:f>IFERROR(MATCH(ROW()-4,'販売記録'!$L$5:$L$1004,0),"")</ns0:f>
        <ns0:v/>
      </ns0:c>
    </ns0:row>
    <ns0:row r="253">
      <ns0:c r="A253" s="11" t="str">
        <ns0:f>IF($F253="","",IF(INDEX('販売記録'!$K$5:$K$1004,$F253)="","",INDEX('販売記録'!$K$5:$K$1004,$F253)))</ns0:f>
        <ns0:v/>
      </ns0:c>
      <ns0:c r="B253" s="9" t="str">
        <ns0:f>IF($F253="","",IF(INDEX('販売記録'!$B$5:$B$1004,$F253)="","",INDEX('販売記録'!$B$5:$B$1004,$F253)))</ns0:f>
        <ns0:v/>
      </ns0:c>
      <ns0:c r="C253" s="9" t="str">
        <ns0:f>IF($F253="","",IF(INDEX('販売記録'!$C$5:$C$1004,$F253)="","",INDEX('販売記録'!$C$5:$C$1004,$F253)))</ns0:f>
        <ns0:v/>
      </ns0:c>
      <ns0:c r="D253" s="8" t="str">
        <ns0:f>IF($F253="","",IF(INDEX('販売記録'!$D$5:$D$1004,$F253)="","",INDEX('販売記録'!$D$5:$D$1004,$F253)))</ns0:f>
        <ns0:v/>
      </ns0:c>
      <ns0:c r="E253" s="12" t="str">
        <ns0:f>IF(OR(A253="",B253=""),"",MAX(0,TODAY()-A253))</ns0:f>
        <ns0:v/>
      </ns0:c>
      <ns0:c r="F253" s="9" t="str">
        <ns0:f>IFERROR(MATCH(ROW()-4,'販売記録'!$L$5:$L$1004,0),"")</ns0:f>
        <ns0:v/>
      </ns0:c>
    </ns0:row>
    <ns0:row r="254">
      <ns0:c r="A254" s="11" t="str">
        <ns0:f>IF($F254="","",IF(INDEX('販売記録'!$K$5:$K$1004,$F254)="","",INDEX('販売記録'!$K$5:$K$1004,$F254)))</ns0:f>
        <ns0:v/>
      </ns0:c>
      <ns0:c r="B254" s="9" t="str">
        <ns0:f>IF($F254="","",IF(INDEX('販売記録'!$B$5:$B$1004,$F254)="","",INDEX('販売記録'!$B$5:$B$1004,$F254)))</ns0:f>
        <ns0:v/>
      </ns0:c>
      <ns0:c r="C254" s="9" t="str">
        <ns0:f>IF($F254="","",IF(INDEX('販売記録'!$C$5:$C$1004,$F254)="","",INDEX('販売記録'!$C$5:$C$1004,$F254)))</ns0:f>
        <ns0:v/>
      </ns0:c>
      <ns0:c r="D254" s="8" t="str">
        <ns0:f>IF($F254="","",IF(INDEX('販売記録'!$D$5:$D$1004,$F254)="","",INDEX('販売記録'!$D$5:$D$1004,$F254)))</ns0:f>
        <ns0:v/>
      </ns0:c>
      <ns0:c r="E254" s="12" t="str">
        <ns0:f>IF(OR(A254="",B254=""),"",MAX(0,TODAY()-A254))</ns0:f>
        <ns0:v/>
      </ns0:c>
      <ns0:c r="F254" s="9" t="str">
        <ns0:f>IFERROR(MATCH(ROW()-4,'販売記録'!$L$5:$L$1004,0),"")</ns0:f>
        <ns0:v/>
      </ns0:c>
    </ns0:row>
    <ns0:row r="255">
      <ns0:c r="A255" s="11" t="str">
        <ns0:f>IF($F255="","",IF(INDEX('販売記録'!$K$5:$K$1004,$F255)="","",INDEX('販売記録'!$K$5:$K$1004,$F255)))</ns0:f>
        <ns0:v/>
      </ns0:c>
      <ns0:c r="B255" s="9" t="str">
        <ns0:f>IF($F255="","",IF(INDEX('販売記録'!$B$5:$B$1004,$F255)="","",INDEX('販売記録'!$B$5:$B$1004,$F255)))</ns0:f>
        <ns0:v/>
      </ns0:c>
      <ns0:c r="C255" s="9" t="str">
        <ns0:f>IF($F255="","",IF(INDEX('販売記録'!$C$5:$C$1004,$F255)="","",INDEX('販売記録'!$C$5:$C$1004,$F255)))</ns0:f>
        <ns0:v/>
      </ns0:c>
      <ns0:c r="D255" s="8" t="str">
        <ns0:f>IF($F255="","",IF(INDEX('販売記録'!$D$5:$D$1004,$F255)="","",INDEX('販売記録'!$D$5:$D$1004,$F255)))</ns0:f>
        <ns0:v/>
      </ns0:c>
      <ns0:c r="E255" s="12" t="str">
        <ns0:f>IF(OR(A255="",B255=""),"",MAX(0,TODAY()-A255))</ns0:f>
        <ns0:v/>
      </ns0:c>
      <ns0:c r="F255" s="9" t="str">
        <ns0:f>IFERROR(MATCH(ROW()-4,'販売記録'!$L$5:$L$1004,0),"")</ns0:f>
        <ns0:v/>
      </ns0:c>
    </ns0:row>
    <ns0:row r="256">
      <ns0:c r="A256" s="11" t="str">
        <ns0:f>IF($F256="","",IF(INDEX('販売記録'!$K$5:$K$1004,$F256)="","",INDEX('販売記録'!$K$5:$K$1004,$F256)))</ns0:f>
        <ns0:v/>
      </ns0:c>
      <ns0:c r="B256" s="9" t="str">
        <ns0:f>IF($F256="","",IF(INDEX('販売記録'!$B$5:$B$1004,$F256)="","",INDEX('販売記録'!$B$5:$B$1004,$F256)))</ns0:f>
        <ns0:v/>
      </ns0:c>
      <ns0:c r="C256" s="9" t="str">
        <ns0:f>IF($F256="","",IF(INDEX('販売記録'!$C$5:$C$1004,$F256)="","",INDEX('販売記録'!$C$5:$C$1004,$F256)))</ns0:f>
        <ns0:v/>
      </ns0:c>
      <ns0:c r="D256" s="8" t="str">
        <ns0:f>IF($F256="","",IF(INDEX('販売記録'!$D$5:$D$1004,$F256)="","",INDEX('販売記録'!$D$5:$D$1004,$F256)))</ns0:f>
        <ns0:v/>
      </ns0:c>
      <ns0:c r="E256" s="12" t="str">
        <ns0:f>IF(OR(A256="",B256=""),"",MAX(0,TODAY()-A256))</ns0:f>
        <ns0:v/>
      </ns0:c>
      <ns0:c r="F256" s="9" t="str">
        <ns0:f>IFERROR(MATCH(ROW()-4,'販売記録'!$L$5:$L$1004,0),"")</ns0:f>
        <ns0:v/>
      </ns0:c>
    </ns0:row>
    <ns0:row r="257">
      <ns0:c r="A257" s="11" t="str">
        <ns0:f>IF($F257="","",IF(INDEX('販売記録'!$K$5:$K$1004,$F257)="","",INDEX('販売記録'!$K$5:$K$1004,$F257)))</ns0:f>
        <ns0:v/>
      </ns0:c>
      <ns0:c r="B257" s="9" t="str">
        <ns0:f>IF($F257="","",IF(INDEX('販売記録'!$B$5:$B$1004,$F257)="","",INDEX('販売記録'!$B$5:$B$1004,$F257)))</ns0:f>
        <ns0:v/>
      </ns0:c>
      <ns0:c r="C257" s="9" t="str">
        <ns0:f>IF($F257="","",IF(INDEX('販売記録'!$C$5:$C$1004,$F257)="","",INDEX('販売記録'!$C$5:$C$1004,$F257)))</ns0:f>
        <ns0:v/>
      </ns0:c>
      <ns0:c r="D257" s="8" t="str">
        <ns0:f>IF($F257="","",IF(INDEX('販売記録'!$D$5:$D$1004,$F257)="","",INDEX('販売記録'!$D$5:$D$1004,$F257)))</ns0:f>
        <ns0:v/>
      </ns0:c>
      <ns0:c r="E257" s="12" t="str">
        <ns0:f>IF(OR(A257="",B257=""),"",MAX(0,TODAY()-A257))</ns0:f>
        <ns0:v/>
      </ns0:c>
      <ns0:c r="F257" s="9" t="str">
        <ns0:f>IFERROR(MATCH(ROW()-4,'販売記録'!$L$5:$L$1004,0),"")</ns0:f>
        <ns0:v/>
      </ns0:c>
    </ns0:row>
    <ns0:row r="258">
      <ns0:c r="A258" s="11" t="str">
        <ns0:f>IF($F258="","",IF(INDEX('販売記録'!$K$5:$K$1004,$F258)="","",INDEX('販売記録'!$K$5:$K$1004,$F258)))</ns0:f>
        <ns0:v/>
      </ns0:c>
      <ns0:c r="B258" s="9" t="str">
        <ns0:f>IF($F258="","",IF(INDEX('販売記録'!$B$5:$B$1004,$F258)="","",INDEX('販売記録'!$B$5:$B$1004,$F258)))</ns0:f>
        <ns0:v/>
      </ns0:c>
      <ns0:c r="C258" s="9" t="str">
        <ns0:f>IF($F258="","",IF(INDEX('販売記録'!$C$5:$C$1004,$F258)="","",INDEX('販売記録'!$C$5:$C$1004,$F258)))</ns0:f>
        <ns0:v/>
      </ns0:c>
      <ns0:c r="D258" s="8" t="str">
        <ns0:f>IF($F258="","",IF(INDEX('販売記録'!$D$5:$D$1004,$F258)="","",INDEX('販売記録'!$D$5:$D$1004,$F258)))</ns0:f>
        <ns0:v/>
      </ns0:c>
      <ns0:c r="E258" s="12" t="str">
        <ns0:f>IF(OR(A258="",B258=""),"",MAX(0,TODAY()-A258))</ns0:f>
        <ns0:v/>
      </ns0:c>
      <ns0:c r="F258" s="9" t="str">
        <ns0:f>IFERROR(MATCH(ROW()-4,'販売記録'!$L$5:$L$1004,0),"")</ns0:f>
        <ns0:v/>
      </ns0:c>
    </ns0:row>
    <ns0:row r="259">
      <ns0:c r="A259" s="11" t="str">
        <ns0:f>IF($F259="","",IF(INDEX('販売記録'!$K$5:$K$1004,$F259)="","",INDEX('販売記録'!$K$5:$K$1004,$F259)))</ns0:f>
        <ns0:v/>
      </ns0:c>
      <ns0:c r="B259" s="9" t="str">
        <ns0:f>IF($F259="","",IF(INDEX('販売記録'!$B$5:$B$1004,$F259)="","",INDEX('販売記録'!$B$5:$B$1004,$F259)))</ns0:f>
        <ns0:v/>
      </ns0:c>
      <ns0:c r="C259" s="9" t="str">
        <ns0:f>IF($F259="","",IF(INDEX('販売記録'!$C$5:$C$1004,$F259)="","",INDEX('販売記録'!$C$5:$C$1004,$F259)))</ns0:f>
        <ns0:v/>
      </ns0:c>
      <ns0:c r="D259" s="8" t="str">
        <ns0:f>IF($F259="","",IF(INDEX('販売記録'!$D$5:$D$1004,$F259)="","",INDEX('販売記録'!$D$5:$D$1004,$F259)))</ns0:f>
        <ns0:v/>
      </ns0:c>
      <ns0:c r="E259" s="12" t="str">
        <ns0:f>IF(OR(A259="",B259=""),"",MAX(0,TODAY()-A259))</ns0:f>
        <ns0:v/>
      </ns0:c>
      <ns0:c r="F259" s="9" t="str">
        <ns0:f>IFERROR(MATCH(ROW()-4,'販売記録'!$L$5:$L$1004,0),"")</ns0:f>
        <ns0:v/>
      </ns0:c>
    </ns0:row>
    <ns0:row r="260">
      <ns0:c r="A260" s="11" t="str">
        <ns0:f>IF($F260="","",IF(INDEX('販売記録'!$K$5:$K$1004,$F260)="","",INDEX('販売記録'!$K$5:$K$1004,$F260)))</ns0:f>
        <ns0:v/>
      </ns0:c>
      <ns0:c r="B260" s="9" t="str">
        <ns0:f>IF($F260="","",IF(INDEX('販売記録'!$B$5:$B$1004,$F260)="","",INDEX('販売記録'!$B$5:$B$1004,$F260)))</ns0:f>
        <ns0:v/>
      </ns0:c>
      <ns0:c r="C260" s="9" t="str">
        <ns0:f>IF($F260="","",IF(INDEX('販売記録'!$C$5:$C$1004,$F260)="","",INDEX('販売記録'!$C$5:$C$1004,$F260)))</ns0:f>
        <ns0:v/>
      </ns0:c>
      <ns0:c r="D260" s="8" t="str">
        <ns0:f>IF($F260="","",IF(INDEX('販売記録'!$D$5:$D$1004,$F260)="","",INDEX('販売記録'!$D$5:$D$1004,$F260)))</ns0:f>
        <ns0:v/>
      </ns0:c>
      <ns0:c r="E260" s="12" t="str">
        <ns0:f>IF(OR(A260="",B260=""),"",MAX(0,TODAY()-A260))</ns0:f>
        <ns0:v/>
      </ns0:c>
      <ns0:c r="F260" s="9" t="str">
        <ns0:f>IFERROR(MATCH(ROW()-4,'販売記録'!$L$5:$L$1004,0),"")</ns0:f>
        <ns0:v/>
      </ns0:c>
    </ns0:row>
    <ns0:row r="261">
      <ns0:c r="A261" s="11" t="str">
        <ns0:f>IF($F261="","",IF(INDEX('販売記録'!$K$5:$K$1004,$F261)="","",INDEX('販売記録'!$K$5:$K$1004,$F261)))</ns0:f>
        <ns0:v/>
      </ns0:c>
      <ns0:c r="B261" s="9" t="str">
        <ns0:f>IF($F261="","",IF(INDEX('販売記録'!$B$5:$B$1004,$F261)="","",INDEX('販売記録'!$B$5:$B$1004,$F261)))</ns0:f>
        <ns0:v/>
      </ns0:c>
      <ns0:c r="C261" s="9" t="str">
        <ns0:f>IF($F261="","",IF(INDEX('販売記録'!$C$5:$C$1004,$F261)="","",INDEX('販売記録'!$C$5:$C$1004,$F261)))</ns0:f>
        <ns0:v/>
      </ns0:c>
      <ns0:c r="D261" s="8" t="str">
        <ns0:f>IF($F261="","",IF(INDEX('販売記録'!$D$5:$D$1004,$F261)="","",INDEX('販売記録'!$D$5:$D$1004,$F261)))</ns0:f>
        <ns0:v/>
      </ns0:c>
      <ns0:c r="E261" s="12" t="str">
        <ns0:f>IF(OR(A261="",B261=""),"",MAX(0,TODAY()-A261))</ns0:f>
        <ns0:v/>
      </ns0:c>
      <ns0:c r="F261" s="9" t="str">
        <ns0:f>IFERROR(MATCH(ROW()-4,'販売記録'!$L$5:$L$1004,0),"")</ns0:f>
        <ns0:v/>
      </ns0:c>
    </ns0:row>
    <ns0:row r="262">
      <ns0:c r="A262" s="11" t="str">
        <ns0:f>IF($F262="","",IF(INDEX('販売記録'!$K$5:$K$1004,$F262)="","",INDEX('販売記録'!$K$5:$K$1004,$F262)))</ns0:f>
        <ns0:v/>
      </ns0:c>
      <ns0:c r="B262" s="9" t="str">
        <ns0:f>IF($F262="","",IF(INDEX('販売記録'!$B$5:$B$1004,$F262)="","",INDEX('販売記録'!$B$5:$B$1004,$F262)))</ns0:f>
        <ns0:v/>
      </ns0:c>
      <ns0:c r="C262" s="9" t="str">
        <ns0:f>IF($F262="","",IF(INDEX('販売記録'!$C$5:$C$1004,$F262)="","",INDEX('販売記録'!$C$5:$C$1004,$F262)))</ns0:f>
        <ns0:v/>
      </ns0:c>
      <ns0:c r="D262" s="8" t="str">
        <ns0:f>IF($F262="","",IF(INDEX('販売記録'!$D$5:$D$1004,$F262)="","",INDEX('販売記録'!$D$5:$D$1004,$F262)))</ns0:f>
        <ns0:v/>
      </ns0:c>
      <ns0:c r="E262" s="12" t="str">
        <ns0:f>IF(OR(A262="",B262=""),"",MAX(0,TODAY()-A262))</ns0:f>
        <ns0:v/>
      </ns0:c>
      <ns0:c r="F262" s="9" t="str">
        <ns0:f>IFERROR(MATCH(ROW()-4,'販売記録'!$L$5:$L$1004,0),"")</ns0:f>
        <ns0:v/>
      </ns0:c>
    </ns0:row>
    <ns0:row r="263">
      <ns0:c r="A263" s="11" t="str">
        <ns0:f>IF($F263="","",IF(INDEX('販売記録'!$K$5:$K$1004,$F263)="","",INDEX('販売記録'!$K$5:$K$1004,$F263)))</ns0:f>
        <ns0:v/>
      </ns0:c>
      <ns0:c r="B263" s="9" t="str">
        <ns0:f>IF($F263="","",IF(INDEX('販売記録'!$B$5:$B$1004,$F263)="","",INDEX('販売記録'!$B$5:$B$1004,$F263)))</ns0:f>
        <ns0:v/>
      </ns0:c>
      <ns0:c r="C263" s="9" t="str">
        <ns0:f>IF($F263="","",IF(INDEX('販売記録'!$C$5:$C$1004,$F263)="","",INDEX('販売記録'!$C$5:$C$1004,$F263)))</ns0:f>
        <ns0:v/>
      </ns0:c>
      <ns0:c r="D263" s="8" t="str">
        <ns0:f>IF($F263="","",IF(INDEX('販売記録'!$D$5:$D$1004,$F263)="","",INDEX('販売記録'!$D$5:$D$1004,$F263)))</ns0:f>
        <ns0:v/>
      </ns0:c>
      <ns0:c r="E263" s="12" t="str">
        <ns0:f>IF(OR(A263="",B263=""),"",MAX(0,TODAY()-A263))</ns0:f>
        <ns0:v/>
      </ns0:c>
      <ns0:c r="F263" s="9" t="str">
        <ns0:f>IFERROR(MATCH(ROW()-4,'販売記録'!$L$5:$L$1004,0),"")</ns0:f>
        <ns0:v/>
      </ns0:c>
    </ns0:row>
    <ns0:row r="264">
      <ns0:c r="A264" s="11" t="str">
        <ns0:f>IF($F264="","",IF(INDEX('販売記録'!$K$5:$K$1004,$F264)="","",INDEX('販売記録'!$K$5:$K$1004,$F264)))</ns0:f>
        <ns0:v/>
      </ns0:c>
      <ns0:c r="B264" s="9" t="str">
        <ns0:f>IF($F264="","",IF(INDEX('販売記録'!$B$5:$B$1004,$F264)="","",INDEX('販売記録'!$B$5:$B$1004,$F264)))</ns0:f>
        <ns0:v/>
      </ns0:c>
      <ns0:c r="C264" s="9" t="str">
        <ns0:f>IF($F264="","",IF(INDEX('販売記録'!$C$5:$C$1004,$F264)="","",INDEX('販売記録'!$C$5:$C$1004,$F264)))</ns0:f>
        <ns0:v/>
      </ns0:c>
      <ns0:c r="D264" s="8" t="str">
        <ns0:f>IF($F264="","",IF(INDEX('販売記録'!$D$5:$D$1004,$F264)="","",INDEX('販売記録'!$D$5:$D$1004,$F264)))</ns0:f>
        <ns0:v/>
      </ns0:c>
      <ns0:c r="E264" s="12" t="str">
        <ns0:f>IF(OR(A264="",B264=""),"",MAX(0,TODAY()-A264))</ns0:f>
        <ns0:v/>
      </ns0:c>
      <ns0:c r="F264" s="9" t="str">
        <ns0:f>IFERROR(MATCH(ROW()-4,'販売記録'!$L$5:$L$1004,0),"")</ns0:f>
        <ns0:v/>
      </ns0:c>
    </ns0:row>
    <ns0:row r="265">
      <ns0:c r="A265" s="11" t="str">
        <ns0:f>IF($F265="","",IF(INDEX('販売記録'!$K$5:$K$1004,$F265)="","",INDEX('販売記録'!$K$5:$K$1004,$F265)))</ns0:f>
        <ns0:v/>
      </ns0:c>
      <ns0:c r="B265" s="9" t="str">
        <ns0:f>IF($F265="","",IF(INDEX('販売記録'!$B$5:$B$1004,$F265)="","",INDEX('販売記録'!$B$5:$B$1004,$F265)))</ns0:f>
        <ns0:v/>
      </ns0:c>
      <ns0:c r="C265" s="9" t="str">
        <ns0:f>IF($F265="","",IF(INDEX('販売記録'!$C$5:$C$1004,$F265)="","",INDEX('販売記録'!$C$5:$C$1004,$F265)))</ns0:f>
        <ns0:v/>
      </ns0:c>
      <ns0:c r="D265" s="8" t="str">
        <ns0:f>IF($F265="","",IF(INDEX('販売記録'!$D$5:$D$1004,$F265)="","",INDEX('販売記録'!$D$5:$D$1004,$F265)))</ns0:f>
        <ns0:v/>
      </ns0:c>
      <ns0:c r="E265" s="12" t="str">
        <ns0:f>IF(OR(A265="",B265=""),"",MAX(0,TODAY()-A265))</ns0:f>
        <ns0:v/>
      </ns0:c>
      <ns0:c r="F265" s="9" t="str">
        <ns0:f>IFERROR(MATCH(ROW()-4,'販売記録'!$L$5:$L$1004,0),"")</ns0:f>
        <ns0:v/>
      </ns0:c>
    </ns0:row>
    <ns0:row r="266">
      <ns0:c r="A266" s="11" t="str">
        <ns0:f>IF($F266="","",IF(INDEX('販売記録'!$K$5:$K$1004,$F266)="","",INDEX('販売記録'!$K$5:$K$1004,$F266)))</ns0:f>
        <ns0:v/>
      </ns0:c>
      <ns0:c r="B266" s="9" t="str">
        <ns0:f>IF($F266="","",IF(INDEX('販売記録'!$B$5:$B$1004,$F266)="","",INDEX('販売記録'!$B$5:$B$1004,$F266)))</ns0:f>
        <ns0:v/>
      </ns0:c>
      <ns0:c r="C266" s="9" t="str">
        <ns0:f>IF($F266="","",IF(INDEX('販売記録'!$C$5:$C$1004,$F266)="","",INDEX('販売記録'!$C$5:$C$1004,$F266)))</ns0:f>
        <ns0:v/>
      </ns0:c>
      <ns0:c r="D266" s="8" t="str">
        <ns0:f>IF($F266="","",IF(INDEX('販売記録'!$D$5:$D$1004,$F266)="","",INDEX('販売記録'!$D$5:$D$1004,$F266)))</ns0:f>
        <ns0:v/>
      </ns0:c>
      <ns0:c r="E266" s="12" t="str">
        <ns0:f>IF(OR(A266="",B266=""),"",MAX(0,TODAY()-A266))</ns0:f>
        <ns0:v/>
      </ns0:c>
      <ns0:c r="F266" s="9" t="str">
        <ns0:f>IFERROR(MATCH(ROW()-4,'販売記録'!$L$5:$L$1004,0),"")</ns0:f>
        <ns0:v/>
      </ns0:c>
    </ns0:row>
    <ns0:row r="267">
      <ns0:c r="A267" s="11" t="str">
        <ns0:f>IF($F267="","",IF(INDEX('販売記録'!$K$5:$K$1004,$F267)="","",INDEX('販売記録'!$K$5:$K$1004,$F267)))</ns0:f>
        <ns0:v/>
      </ns0:c>
      <ns0:c r="B267" s="9" t="str">
        <ns0:f>IF($F267="","",IF(INDEX('販売記録'!$B$5:$B$1004,$F267)="","",INDEX('販売記録'!$B$5:$B$1004,$F267)))</ns0:f>
        <ns0:v/>
      </ns0:c>
      <ns0:c r="C267" s="9" t="str">
        <ns0:f>IF($F267="","",IF(INDEX('販売記録'!$C$5:$C$1004,$F267)="","",INDEX('販売記録'!$C$5:$C$1004,$F267)))</ns0:f>
        <ns0:v/>
      </ns0:c>
      <ns0:c r="D267" s="8" t="str">
        <ns0:f>IF($F267="","",IF(INDEX('販売記録'!$D$5:$D$1004,$F267)="","",INDEX('販売記録'!$D$5:$D$1004,$F267)))</ns0:f>
        <ns0:v/>
      </ns0:c>
      <ns0:c r="E267" s="12" t="str">
        <ns0:f>IF(OR(A267="",B267=""),"",MAX(0,TODAY()-A267))</ns0:f>
        <ns0:v/>
      </ns0:c>
      <ns0:c r="F267" s="9" t="str">
        <ns0:f>IFERROR(MATCH(ROW()-4,'販売記録'!$L$5:$L$1004,0),"")</ns0:f>
        <ns0:v/>
      </ns0:c>
    </ns0:row>
    <ns0:row r="268">
      <ns0:c r="A268" s="11" t="str">
        <ns0:f>IF($F268="","",IF(INDEX('販売記録'!$K$5:$K$1004,$F268)="","",INDEX('販売記録'!$K$5:$K$1004,$F268)))</ns0:f>
        <ns0:v/>
      </ns0:c>
      <ns0:c r="B268" s="9" t="str">
        <ns0:f>IF($F268="","",IF(INDEX('販売記録'!$B$5:$B$1004,$F268)="","",INDEX('販売記録'!$B$5:$B$1004,$F268)))</ns0:f>
        <ns0:v/>
      </ns0:c>
      <ns0:c r="C268" s="9" t="str">
        <ns0:f>IF($F268="","",IF(INDEX('販売記録'!$C$5:$C$1004,$F268)="","",INDEX('販売記録'!$C$5:$C$1004,$F268)))</ns0:f>
        <ns0:v/>
      </ns0:c>
      <ns0:c r="D268" s="8" t="str">
        <ns0:f>IF($F268="","",IF(INDEX('販売記録'!$D$5:$D$1004,$F268)="","",INDEX('販売記録'!$D$5:$D$1004,$F268)))</ns0:f>
        <ns0:v/>
      </ns0:c>
      <ns0:c r="E268" s="12" t="str">
        <ns0:f>IF(OR(A268="",B268=""),"",MAX(0,TODAY()-A268))</ns0:f>
        <ns0:v/>
      </ns0:c>
      <ns0:c r="F268" s="9" t="str">
        <ns0:f>IFERROR(MATCH(ROW()-4,'販売記録'!$L$5:$L$1004,0),"")</ns0:f>
        <ns0:v/>
      </ns0:c>
    </ns0:row>
    <ns0:row r="269">
      <ns0:c r="A269" s="11" t="str">
        <ns0:f>IF($F269="","",IF(INDEX('販売記録'!$K$5:$K$1004,$F269)="","",INDEX('販売記録'!$K$5:$K$1004,$F269)))</ns0:f>
        <ns0:v/>
      </ns0:c>
      <ns0:c r="B269" s="9" t="str">
        <ns0:f>IF($F269="","",IF(INDEX('販売記録'!$B$5:$B$1004,$F269)="","",INDEX('販売記録'!$B$5:$B$1004,$F269)))</ns0:f>
        <ns0:v/>
      </ns0:c>
      <ns0:c r="C269" s="9" t="str">
        <ns0:f>IF($F269="","",IF(INDEX('販売記録'!$C$5:$C$1004,$F269)="","",INDEX('販売記録'!$C$5:$C$1004,$F269)))</ns0:f>
        <ns0:v/>
      </ns0:c>
      <ns0:c r="D269" s="8" t="str">
        <ns0:f>IF($F269="","",IF(INDEX('販売記録'!$D$5:$D$1004,$F269)="","",INDEX('販売記録'!$D$5:$D$1004,$F269)))</ns0:f>
        <ns0:v/>
      </ns0:c>
      <ns0:c r="E269" s="12" t="str">
        <ns0:f>IF(OR(A269="",B269=""),"",MAX(0,TODAY()-A269))</ns0:f>
        <ns0:v/>
      </ns0:c>
      <ns0:c r="F269" s="9" t="str">
        <ns0:f>IFERROR(MATCH(ROW()-4,'販売記録'!$L$5:$L$1004,0),"")</ns0:f>
        <ns0:v/>
      </ns0:c>
    </ns0:row>
    <ns0:row r="270">
      <ns0:c r="A270" s="11" t="str">
        <ns0:f>IF($F270="","",IF(INDEX('販売記録'!$K$5:$K$1004,$F270)="","",INDEX('販売記録'!$K$5:$K$1004,$F270)))</ns0:f>
        <ns0:v/>
      </ns0:c>
      <ns0:c r="B270" s="9" t="str">
        <ns0:f>IF($F270="","",IF(INDEX('販売記録'!$B$5:$B$1004,$F270)="","",INDEX('販売記録'!$B$5:$B$1004,$F270)))</ns0:f>
        <ns0:v/>
      </ns0:c>
      <ns0:c r="C270" s="9" t="str">
        <ns0:f>IF($F270="","",IF(INDEX('販売記録'!$C$5:$C$1004,$F270)="","",INDEX('販売記録'!$C$5:$C$1004,$F270)))</ns0:f>
        <ns0:v/>
      </ns0:c>
      <ns0:c r="D270" s="8" t="str">
        <ns0:f>IF($F270="","",IF(INDEX('販売記録'!$D$5:$D$1004,$F270)="","",INDEX('販売記録'!$D$5:$D$1004,$F270)))</ns0:f>
        <ns0:v/>
      </ns0:c>
      <ns0:c r="E270" s="12" t="str">
        <ns0:f>IF(OR(A270="",B270=""),"",MAX(0,TODAY()-A270))</ns0:f>
        <ns0:v/>
      </ns0:c>
      <ns0:c r="F270" s="9" t="str">
        <ns0:f>IFERROR(MATCH(ROW()-4,'販売記録'!$L$5:$L$1004,0),"")</ns0:f>
        <ns0:v/>
      </ns0:c>
    </ns0:row>
    <ns0:row r="271">
      <ns0:c r="A271" s="11" t="str">
        <ns0:f>IF($F271="","",IF(INDEX('販売記録'!$K$5:$K$1004,$F271)="","",INDEX('販売記録'!$K$5:$K$1004,$F271)))</ns0:f>
        <ns0:v/>
      </ns0:c>
      <ns0:c r="B271" s="9" t="str">
        <ns0:f>IF($F271="","",IF(INDEX('販売記録'!$B$5:$B$1004,$F271)="","",INDEX('販売記録'!$B$5:$B$1004,$F271)))</ns0:f>
        <ns0:v/>
      </ns0:c>
      <ns0:c r="C271" s="9" t="str">
        <ns0:f>IF($F271="","",IF(INDEX('販売記録'!$C$5:$C$1004,$F271)="","",INDEX('販売記録'!$C$5:$C$1004,$F271)))</ns0:f>
        <ns0:v/>
      </ns0:c>
      <ns0:c r="D271" s="8" t="str">
        <ns0:f>IF($F271="","",IF(INDEX('販売記録'!$D$5:$D$1004,$F271)="","",INDEX('販売記録'!$D$5:$D$1004,$F271)))</ns0:f>
        <ns0:v/>
      </ns0:c>
      <ns0:c r="E271" s="12" t="str">
        <ns0:f>IF(OR(A271="",B271=""),"",MAX(0,TODAY()-A271))</ns0:f>
        <ns0:v/>
      </ns0:c>
      <ns0:c r="F271" s="9" t="str">
        <ns0:f>IFERROR(MATCH(ROW()-4,'販売記録'!$L$5:$L$1004,0),"")</ns0:f>
        <ns0:v/>
      </ns0:c>
    </ns0:row>
    <ns0:row r="272">
      <ns0:c r="A272" s="11" t="str">
        <ns0:f>IF($F272="","",IF(INDEX('販売記録'!$K$5:$K$1004,$F272)="","",INDEX('販売記録'!$K$5:$K$1004,$F272)))</ns0:f>
        <ns0:v/>
      </ns0:c>
      <ns0:c r="B272" s="9" t="str">
        <ns0:f>IF($F272="","",IF(INDEX('販売記録'!$B$5:$B$1004,$F272)="","",INDEX('販売記録'!$B$5:$B$1004,$F272)))</ns0:f>
        <ns0:v/>
      </ns0:c>
      <ns0:c r="C272" s="9" t="str">
        <ns0:f>IF($F272="","",IF(INDEX('販売記録'!$C$5:$C$1004,$F272)="","",INDEX('販売記録'!$C$5:$C$1004,$F272)))</ns0:f>
        <ns0:v/>
      </ns0:c>
      <ns0:c r="D272" s="8" t="str">
        <ns0:f>IF($F272="","",IF(INDEX('販売記録'!$D$5:$D$1004,$F272)="","",INDEX('販売記録'!$D$5:$D$1004,$F272)))</ns0:f>
        <ns0:v/>
      </ns0:c>
      <ns0:c r="E272" s="12" t="str">
        <ns0:f>IF(OR(A272="",B272=""),"",MAX(0,TODAY()-A272))</ns0:f>
        <ns0:v/>
      </ns0:c>
      <ns0:c r="F272" s="9" t="str">
        <ns0:f>IFERROR(MATCH(ROW()-4,'販売記録'!$L$5:$L$1004,0),"")</ns0:f>
        <ns0:v/>
      </ns0:c>
    </ns0:row>
    <ns0:row r="273">
      <ns0:c r="A273" s="11" t="str">
        <ns0:f>IF($F273="","",IF(INDEX('販売記録'!$K$5:$K$1004,$F273)="","",INDEX('販売記録'!$K$5:$K$1004,$F273)))</ns0:f>
        <ns0:v/>
      </ns0:c>
      <ns0:c r="B273" s="9" t="str">
        <ns0:f>IF($F273="","",IF(INDEX('販売記録'!$B$5:$B$1004,$F273)="","",INDEX('販売記録'!$B$5:$B$1004,$F273)))</ns0:f>
        <ns0:v/>
      </ns0:c>
      <ns0:c r="C273" s="9" t="str">
        <ns0:f>IF($F273="","",IF(INDEX('販売記録'!$C$5:$C$1004,$F273)="","",INDEX('販売記録'!$C$5:$C$1004,$F273)))</ns0:f>
        <ns0:v/>
      </ns0:c>
      <ns0:c r="D273" s="8" t="str">
        <ns0:f>IF($F273="","",IF(INDEX('販売記録'!$D$5:$D$1004,$F273)="","",INDEX('販売記録'!$D$5:$D$1004,$F273)))</ns0:f>
        <ns0:v/>
      </ns0:c>
      <ns0:c r="E273" s="12" t="str">
        <ns0:f>IF(OR(A273="",B273=""),"",MAX(0,TODAY()-A273))</ns0:f>
        <ns0:v/>
      </ns0:c>
      <ns0:c r="F273" s="9" t="str">
        <ns0:f>IFERROR(MATCH(ROW()-4,'販売記録'!$L$5:$L$1004,0),"")</ns0:f>
        <ns0:v/>
      </ns0:c>
    </ns0:row>
    <ns0:row r="274">
      <ns0:c r="A274" s="11" t="str">
        <ns0:f>IF($F274="","",IF(INDEX('販売記録'!$K$5:$K$1004,$F274)="","",INDEX('販売記録'!$K$5:$K$1004,$F274)))</ns0:f>
        <ns0:v/>
      </ns0:c>
      <ns0:c r="B274" s="9" t="str">
        <ns0:f>IF($F274="","",IF(INDEX('販売記録'!$B$5:$B$1004,$F274)="","",INDEX('販売記録'!$B$5:$B$1004,$F274)))</ns0:f>
        <ns0:v/>
      </ns0:c>
      <ns0:c r="C274" s="9" t="str">
        <ns0:f>IF($F274="","",IF(INDEX('販売記録'!$C$5:$C$1004,$F274)="","",INDEX('販売記録'!$C$5:$C$1004,$F274)))</ns0:f>
        <ns0:v/>
      </ns0:c>
      <ns0:c r="D274" s="8" t="str">
        <ns0:f>IF($F274="","",IF(INDEX('販売記録'!$D$5:$D$1004,$F274)="","",INDEX('販売記録'!$D$5:$D$1004,$F274)))</ns0:f>
        <ns0:v/>
      </ns0:c>
      <ns0:c r="E274" s="12" t="str">
        <ns0:f>IF(OR(A274="",B274=""),"",MAX(0,TODAY()-A274))</ns0:f>
        <ns0:v/>
      </ns0:c>
      <ns0:c r="F274" s="9" t="str">
        <ns0:f>IFERROR(MATCH(ROW()-4,'販売記録'!$L$5:$L$1004,0),"")</ns0:f>
        <ns0:v/>
      </ns0:c>
    </ns0:row>
    <ns0:row r="275">
      <ns0:c r="A275" s="11" t="str">
        <ns0:f>IF($F275="","",IF(INDEX('販売記録'!$K$5:$K$1004,$F275)="","",INDEX('販売記録'!$K$5:$K$1004,$F275)))</ns0:f>
        <ns0:v/>
      </ns0:c>
      <ns0:c r="B275" s="9" t="str">
        <ns0:f>IF($F275="","",IF(INDEX('販売記録'!$B$5:$B$1004,$F275)="","",INDEX('販売記録'!$B$5:$B$1004,$F275)))</ns0:f>
        <ns0:v/>
      </ns0:c>
      <ns0:c r="C275" s="9" t="str">
        <ns0:f>IF($F275="","",IF(INDEX('販売記録'!$C$5:$C$1004,$F275)="","",INDEX('販売記録'!$C$5:$C$1004,$F275)))</ns0:f>
        <ns0:v/>
      </ns0:c>
      <ns0:c r="D275" s="8" t="str">
        <ns0:f>IF($F275="","",IF(INDEX('販売記録'!$D$5:$D$1004,$F275)="","",INDEX('販売記録'!$D$5:$D$1004,$F275)))</ns0:f>
        <ns0:v/>
      </ns0:c>
      <ns0:c r="E275" s="12" t="str">
        <ns0:f>IF(OR(A275="",B275=""),"",MAX(0,TODAY()-A275))</ns0:f>
        <ns0:v/>
      </ns0:c>
      <ns0:c r="F275" s="9" t="str">
        <ns0:f>IFERROR(MATCH(ROW()-4,'販売記録'!$L$5:$L$1004,0),"")</ns0:f>
        <ns0:v/>
      </ns0:c>
    </ns0:row>
    <ns0:row r="276">
      <ns0:c r="A276" s="11" t="str">
        <ns0:f>IF($F276="","",IF(INDEX('販売記録'!$K$5:$K$1004,$F276)="","",INDEX('販売記録'!$K$5:$K$1004,$F276)))</ns0:f>
        <ns0:v/>
      </ns0:c>
      <ns0:c r="B276" s="9" t="str">
        <ns0:f>IF($F276="","",IF(INDEX('販売記録'!$B$5:$B$1004,$F276)="","",INDEX('販売記録'!$B$5:$B$1004,$F276)))</ns0:f>
        <ns0:v/>
      </ns0:c>
      <ns0:c r="C276" s="9" t="str">
        <ns0:f>IF($F276="","",IF(INDEX('販売記録'!$C$5:$C$1004,$F276)="","",INDEX('販売記録'!$C$5:$C$1004,$F276)))</ns0:f>
        <ns0:v/>
      </ns0:c>
      <ns0:c r="D276" s="8" t="str">
        <ns0:f>IF($F276="","",IF(INDEX('販売記録'!$D$5:$D$1004,$F276)="","",INDEX('販売記録'!$D$5:$D$1004,$F276)))</ns0:f>
        <ns0:v/>
      </ns0:c>
      <ns0:c r="E276" s="12" t="str">
        <ns0:f>IF(OR(A276="",B276=""),"",MAX(0,TODAY()-A276))</ns0:f>
        <ns0:v/>
      </ns0:c>
      <ns0:c r="F276" s="9" t="str">
        <ns0:f>IFERROR(MATCH(ROW()-4,'販売記録'!$L$5:$L$1004,0),"")</ns0:f>
        <ns0:v/>
      </ns0:c>
    </ns0:row>
    <ns0:row r="277">
      <ns0:c r="A277" s="11" t="str">
        <ns0:f>IF($F277="","",IF(INDEX('販売記録'!$K$5:$K$1004,$F277)="","",INDEX('販売記録'!$K$5:$K$1004,$F277)))</ns0:f>
        <ns0:v/>
      </ns0:c>
      <ns0:c r="B277" s="9" t="str">
        <ns0:f>IF($F277="","",IF(INDEX('販売記録'!$B$5:$B$1004,$F277)="","",INDEX('販売記録'!$B$5:$B$1004,$F277)))</ns0:f>
        <ns0:v/>
      </ns0:c>
      <ns0:c r="C277" s="9" t="str">
        <ns0:f>IF($F277="","",IF(INDEX('販売記録'!$C$5:$C$1004,$F277)="","",INDEX('販売記録'!$C$5:$C$1004,$F277)))</ns0:f>
        <ns0:v/>
      </ns0:c>
      <ns0:c r="D277" s="8" t="str">
        <ns0:f>IF($F277="","",IF(INDEX('販売記録'!$D$5:$D$1004,$F277)="","",INDEX('販売記録'!$D$5:$D$1004,$F277)))</ns0:f>
        <ns0:v/>
      </ns0:c>
      <ns0:c r="E277" s="12" t="str">
        <ns0:f>IF(OR(A277="",B277=""),"",MAX(0,TODAY()-A277))</ns0:f>
        <ns0:v/>
      </ns0:c>
      <ns0:c r="F277" s="9" t="str">
        <ns0:f>IFERROR(MATCH(ROW()-4,'販売記録'!$L$5:$L$1004,0),"")</ns0:f>
        <ns0:v/>
      </ns0:c>
    </ns0:row>
    <ns0:row r="278">
      <ns0:c r="A278" s="11" t="str">
        <ns0:f>IF($F278="","",IF(INDEX('販売記録'!$K$5:$K$1004,$F278)="","",INDEX('販売記録'!$K$5:$K$1004,$F278)))</ns0:f>
        <ns0:v/>
      </ns0:c>
      <ns0:c r="B278" s="9" t="str">
        <ns0:f>IF($F278="","",IF(INDEX('販売記録'!$B$5:$B$1004,$F278)="","",INDEX('販売記録'!$B$5:$B$1004,$F278)))</ns0:f>
        <ns0:v/>
      </ns0:c>
      <ns0:c r="C278" s="9" t="str">
        <ns0:f>IF($F278="","",IF(INDEX('販売記録'!$C$5:$C$1004,$F278)="","",INDEX('販売記録'!$C$5:$C$1004,$F278)))</ns0:f>
        <ns0:v/>
      </ns0:c>
      <ns0:c r="D278" s="8" t="str">
        <ns0:f>IF($F278="","",IF(INDEX('販売記録'!$D$5:$D$1004,$F278)="","",INDEX('販売記録'!$D$5:$D$1004,$F278)))</ns0:f>
        <ns0:v/>
      </ns0:c>
      <ns0:c r="E278" s="12" t="str">
        <ns0:f>IF(OR(A278="",B278=""),"",MAX(0,TODAY()-A278))</ns0:f>
        <ns0:v/>
      </ns0:c>
      <ns0:c r="F278" s="9" t="str">
        <ns0:f>IFERROR(MATCH(ROW()-4,'販売記録'!$L$5:$L$1004,0),"")</ns0:f>
        <ns0:v/>
      </ns0:c>
    </ns0:row>
    <ns0:row r="279">
      <ns0:c r="A279" s="11" t="str">
        <ns0:f>IF($F279="","",IF(INDEX('販売記録'!$K$5:$K$1004,$F279)="","",INDEX('販売記録'!$K$5:$K$1004,$F279)))</ns0:f>
        <ns0:v/>
      </ns0:c>
      <ns0:c r="B279" s="9" t="str">
        <ns0:f>IF($F279="","",IF(INDEX('販売記録'!$B$5:$B$1004,$F279)="","",INDEX('販売記録'!$B$5:$B$1004,$F279)))</ns0:f>
        <ns0:v/>
      </ns0:c>
      <ns0:c r="C279" s="9" t="str">
        <ns0:f>IF($F279="","",IF(INDEX('販売記録'!$C$5:$C$1004,$F279)="","",INDEX('販売記録'!$C$5:$C$1004,$F279)))</ns0:f>
        <ns0:v/>
      </ns0:c>
      <ns0:c r="D279" s="8" t="str">
        <ns0:f>IF($F279="","",IF(INDEX('販売記録'!$D$5:$D$1004,$F279)="","",INDEX('販売記録'!$D$5:$D$1004,$F279)))</ns0:f>
        <ns0:v/>
      </ns0:c>
      <ns0:c r="E279" s="12" t="str">
        <ns0:f>IF(OR(A279="",B279=""),"",MAX(0,TODAY()-A279))</ns0:f>
        <ns0:v/>
      </ns0:c>
      <ns0:c r="F279" s="9" t="str">
        <ns0:f>IFERROR(MATCH(ROW()-4,'販売記録'!$L$5:$L$1004,0),"")</ns0:f>
        <ns0:v/>
      </ns0:c>
    </ns0:row>
    <ns0:row r="280">
      <ns0:c r="A280" s="11" t="str">
        <ns0:f>IF($F280="","",IF(INDEX('販売記録'!$K$5:$K$1004,$F280)="","",INDEX('販売記録'!$K$5:$K$1004,$F280)))</ns0:f>
        <ns0:v/>
      </ns0:c>
      <ns0:c r="B280" s="9" t="str">
        <ns0:f>IF($F280="","",IF(INDEX('販売記録'!$B$5:$B$1004,$F280)="","",INDEX('販売記録'!$B$5:$B$1004,$F280)))</ns0:f>
        <ns0:v/>
      </ns0:c>
      <ns0:c r="C280" s="9" t="str">
        <ns0:f>IF($F280="","",IF(INDEX('販売記録'!$C$5:$C$1004,$F280)="","",INDEX('販売記録'!$C$5:$C$1004,$F280)))</ns0:f>
        <ns0:v/>
      </ns0:c>
      <ns0:c r="D280" s="8" t="str">
        <ns0:f>IF($F280="","",IF(INDEX('販売記録'!$D$5:$D$1004,$F280)="","",INDEX('販売記録'!$D$5:$D$1004,$F280)))</ns0:f>
        <ns0:v/>
      </ns0:c>
      <ns0:c r="E280" s="12" t="str">
        <ns0:f>IF(OR(A280="",B280=""),"",MAX(0,TODAY()-A280))</ns0:f>
        <ns0:v/>
      </ns0:c>
      <ns0:c r="F280" s="9" t="str">
        <ns0:f>IFERROR(MATCH(ROW()-4,'販売記録'!$L$5:$L$1004,0),"")</ns0:f>
        <ns0:v/>
      </ns0:c>
    </ns0:row>
    <ns0:row r="281">
      <ns0:c r="A281" s="11" t="str">
        <ns0:f>IF($F281="","",IF(INDEX('販売記録'!$K$5:$K$1004,$F281)="","",INDEX('販売記録'!$K$5:$K$1004,$F281)))</ns0:f>
        <ns0:v/>
      </ns0:c>
      <ns0:c r="B281" s="9" t="str">
        <ns0:f>IF($F281="","",IF(INDEX('販売記録'!$B$5:$B$1004,$F281)="","",INDEX('販売記録'!$B$5:$B$1004,$F281)))</ns0:f>
        <ns0:v/>
      </ns0:c>
      <ns0:c r="C281" s="9" t="str">
        <ns0:f>IF($F281="","",IF(INDEX('販売記録'!$C$5:$C$1004,$F281)="","",INDEX('販売記録'!$C$5:$C$1004,$F281)))</ns0:f>
        <ns0:v/>
      </ns0:c>
      <ns0:c r="D281" s="8" t="str">
        <ns0:f>IF($F281="","",IF(INDEX('販売記録'!$D$5:$D$1004,$F281)="","",INDEX('販売記録'!$D$5:$D$1004,$F281)))</ns0:f>
        <ns0:v/>
      </ns0:c>
      <ns0:c r="E281" s="12" t="str">
        <ns0:f>IF(OR(A281="",B281=""),"",MAX(0,TODAY()-A281))</ns0:f>
        <ns0:v/>
      </ns0:c>
      <ns0:c r="F281" s="9" t="str">
        <ns0:f>IFERROR(MATCH(ROW()-4,'販売記録'!$L$5:$L$1004,0),"")</ns0:f>
        <ns0:v/>
      </ns0:c>
    </ns0:row>
    <ns0:row r="282">
      <ns0:c r="A282" s="11" t="str">
        <ns0:f>IF($F282="","",IF(INDEX('販売記録'!$K$5:$K$1004,$F282)="","",INDEX('販売記録'!$K$5:$K$1004,$F282)))</ns0:f>
        <ns0:v/>
      </ns0:c>
      <ns0:c r="B282" s="9" t="str">
        <ns0:f>IF($F282="","",IF(INDEX('販売記録'!$B$5:$B$1004,$F282)="","",INDEX('販売記録'!$B$5:$B$1004,$F282)))</ns0:f>
        <ns0:v/>
      </ns0:c>
      <ns0:c r="C282" s="9" t="str">
        <ns0:f>IF($F282="","",IF(INDEX('販売記録'!$C$5:$C$1004,$F282)="","",INDEX('販売記録'!$C$5:$C$1004,$F282)))</ns0:f>
        <ns0:v/>
      </ns0:c>
      <ns0:c r="D282" s="8" t="str">
        <ns0:f>IF($F282="","",IF(INDEX('販売記録'!$D$5:$D$1004,$F282)="","",INDEX('販売記録'!$D$5:$D$1004,$F282)))</ns0:f>
        <ns0:v/>
      </ns0:c>
      <ns0:c r="E282" s="12" t="str">
        <ns0:f>IF(OR(A282="",B282=""),"",MAX(0,TODAY()-A282))</ns0:f>
        <ns0:v/>
      </ns0:c>
      <ns0:c r="F282" s="9" t="str">
        <ns0:f>IFERROR(MATCH(ROW()-4,'販売記録'!$L$5:$L$1004,0),"")</ns0:f>
        <ns0:v/>
      </ns0:c>
    </ns0:row>
    <ns0:row r="283">
      <ns0:c r="A283" s="11" t="str">
        <ns0:f>IF($F283="","",IF(INDEX('販売記録'!$K$5:$K$1004,$F283)="","",INDEX('販売記録'!$K$5:$K$1004,$F283)))</ns0:f>
        <ns0:v/>
      </ns0:c>
      <ns0:c r="B283" s="9" t="str">
        <ns0:f>IF($F283="","",IF(INDEX('販売記録'!$B$5:$B$1004,$F283)="","",INDEX('販売記録'!$B$5:$B$1004,$F283)))</ns0:f>
        <ns0:v/>
      </ns0:c>
      <ns0:c r="C283" s="9" t="str">
        <ns0:f>IF($F283="","",IF(INDEX('販売記録'!$C$5:$C$1004,$F283)="","",INDEX('販売記録'!$C$5:$C$1004,$F283)))</ns0:f>
        <ns0:v/>
      </ns0:c>
      <ns0:c r="D283" s="8" t="str">
        <ns0:f>IF($F283="","",IF(INDEX('販売記録'!$D$5:$D$1004,$F283)="","",INDEX('販売記録'!$D$5:$D$1004,$F283)))</ns0:f>
        <ns0:v/>
      </ns0:c>
      <ns0:c r="E283" s="12" t="str">
        <ns0:f>IF(OR(A283="",B283=""),"",MAX(0,TODAY()-A283))</ns0:f>
        <ns0:v/>
      </ns0:c>
      <ns0:c r="F283" s="9" t="str">
        <ns0:f>IFERROR(MATCH(ROW()-4,'販売記録'!$L$5:$L$1004,0),"")</ns0:f>
        <ns0:v/>
      </ns0:c>
    </ns0:row>
    <ns0:row r="284">
      <ns0:c r="A284" s="11" t="str">
        <ns0:f>IF($F284="","",IF(INDEX('販売記録'!$K$5:$K$1004,$F284)="","",INDEX('販売記録'!$K$5:$K$1004,$F284)))</ns0:f>
        <ns0:v/>
      </ns0:c>
      <ns0:c r="B284" s="9" t="str">
        <ns0:f>IF($F284="","",IF(INDEX('販売記録'!$B$5:$B$1004,$F284)="","",INDEX('販売記録'!$B$5:$B$1004,$F284)))</ns0:f>
        <ns0:v/>
      </ns0:c>
      <ns0:c r="C284" s="9" t="str">
        <ns0:f>IF($F284="","",IF(INDEX('販売記録'!$C$5:$C$1004,$F284)="","",INDEX('販売記録'!$C$5:$C$1004,$F284)))</ns0:f>
        <ns0:v/>
      </ns0:c>
      <ns0:c r="D284" s="8" t="str">
        <ns0:f>IF($F284="","",IF(INDEX('販売記録'!$D$5:$D$1004,$F284)="","",INDEX('販売記録'!$D$5:$D$1004,$F284)))</ns0:f>
        <ns0:v/>
      </ns0:c>
      <ns0:c r="E284" s="12" t="str">
        <ns0:f>IF(OR(A284="",B284=""),"",MAX(0,TODAY()-A284))</ns0:f>
        <ns0:v/>
      </ns0:c>
      <ns0:c r="F284" s="9" t="str">
        <ns0:f>IFERROR(MATCH(ROW()-4,'販売記録'!$L$5:$L$1004,0),"")</ns0:f>
        <ns0:v/>
      </ns0:c>
    </ns0:row>
    <ns0:row r="285">
      <ns0:c r="A285" s="11" t="str">
        <ns0:f>IF($F285="","",IF(INDEX('販売記録'!$K$5:$K$1004,$F285)="","",INDEX('販売記録'!$K$5:$K$1004,$F285)))</ns0:f>
        <ns0:v/>
      </ns0:c>
      <ns0:c r="B285" s="9" t="str">
        <ns0:f>IF($F285="","",IF(INDEX('販売記録'!$B$5:$B$1004,$F285)="","",INDEX('販売記録'!$B$5:$B$1004,$F285)))</ns0:f>
        <ns0:v/>
      </ns0:c>
      <ns0:c r="C285" s="9" t="str">
        <ns0:f>IF($F285="","",IF(INDEX('販売記録'!$C$5:$C$1004,$F285)="","",INDEX('販売記録'!$C$5:$C$1004,$F285)))</ns0:f>
        <ns0:v/>
      </ns0:c>
      <ns0:c r="D285" s="8" t="str">
        <ns0:f>IF($F285="","",IF(INDEX('販売記録'!$D$5:$D$1004,$F285)="","",INDEX('販売記録'!$D$5:$D$1004,$F285)))</ns0:f>
        <ns0:v/>
      </ns0:c>
      <ns0:c r="E285" s="12" t="str">
        <ns0:f>IF(OR(A285="",B285=""),"",MAX(0,TODAY()-A285))</ns0:f>
        <ns0:v/>
      </ns0:c>
      <ns0:c r="F285" s="9" t="str">
        <ns0:f>IFERROR(MATCH(ROW()-4,'販売記録'!$L$5:$L$1004,0),"")</ns0:f>
        <ns0:v/>
      </ns0:c>
    </ns0:row>
    <ns0:row r="286">
      <ns0:c r="A286" s="11" t="str">
        <ns0:f>IF($F286="","",IF(INDEX('販売記録'!$K$5:$K$1004,$F286)="","",INDEX('販売記録'!$K$5:$K$1004,$F286)))</ns0:f>
        <ns0:v/>
      </ns0:c>
      <ns0:c r="B286" s="9" t="str">
        <ns0:f>IF($F286="","",IF(INDEX('販売記録'!$B$5:$B$1004,$F286)="","",INDEX('販売記録'!$B$5:$B$1004,$F286)))</ns0:f>
        <ns0:v/>
      </ns0:c>
      <ns0:c r="C286" s="9" t="str">
        <ns0:f>IF($F286="","",IF(INDEX('販売記録'!$C$5:$C$1004,$F286)="","",INDEX('販売記録'!$C$5:$C$1004,$F286)))</ns0:f>
        <ns0:v/>
      </ns0:c>
      <ns0:c r="D286" s="8" t="str">
        <ns0:f>IF($F286="","",IF(INDEX('販売記録'!$D$5:$D$1004,$F286)="","",INDEX('販売記録'!$D$5:$D$1004,$F286)))</ns0:f>
        <ns0:v/>
      </ns0:c>
      <ns0:c r="E286" s="12" t="str">
        <ns0:f>IF(OR(A286="",B286=""),"",MAX(0,TODAY()-A286))</ns0:f>
        <ns0:v/>
      </ns0:c>
      <ns0:c r="F286" s="9" t="str">
        <ns0:f>IFERROR(MATCH(ROW()-4,'販売記録'!$L$5:$L$1004,0),"")</ns0:f>
        <ns0:v/>
      </ns0:c>
    </ns0:row>
    <ns0:row r="287">
      <ns0:c r="A287" s="11" t="str">
        <ns0:f>IF($F287="","",IF(INDEX('販売記録'!$K$5:$K$1004,$F287)="","",INDEX('販売記録'!$K$5:$K$1004,$F287)))</ns0:f>
        <ns0:v/>
      </ns0:c>
      <ns0:c r="B287" s="9" t="str">
        <ns0:f>IF($F287="","",IF(INDEX('販売記録'!$B$5:$B$1004,$F287)="","",INDEX('販売記録'!$B$5:$B$1004,$F287)))</ns0:f>
        <ns0:v/>
      </ns0:c>
      <ns0:c r="C287" s="9" t="str">
        <ns0:f>IF($F287="","",IF(INDEX('販売記録'!$C$5:$C$1004,$F287)="","",INDEX('販売記録'!$C$5:$C$1004,$F287)))</ns0:f>
        <ns0:v/>
      </ns0:c>
      <ns0:c r="D287" s="8" t="str">
        <ns0:f>IF($F287="","",IF(INDEX('販売記録'!$D$5:$D$1004,$F287)="","",INDEX('販売記録'!$D$5:$D$1004,$F287)))</ns0:f>
        <ns0:v/>
      </ns0:c>
      <ns0:c r="E287" s="12" t="str">
        <ns0:f>IF(OR(A287="",B287=""),"",MAX(0,TODAY()-A287))</ns0:f>
        <ns0:v/>
      </ns0:c>
      <ns0:c r="F287" s="9" t="str">
        <ns0:f>IFERROR(MATCH(ROW()-4,'販売記録'!$L$5:$L$1004,0),"")</ns0:f>
        <ns0:v/>
      </ns0:c>
    </ns0:row>
    <ns0:row r="288">
      <ns0:c r="A288" s="11" t="str">
        <ns0:f>IF($F288="","",IF(INDEX('販売記録'!$K$5:$K$1004,$F288)="","",INDEX('販売記録'!$K$5:$K$1004,$F288)))</ns0:f>
        <ns0:v/>
      </ns0:c>
      <ns0:c r="B288" s="9" t="str">
        <ns0:f>IF($F288="","",IF(INDEX('販売記録'!$B$5:$B$1004,$F288)="","",INDEX('販売記録'!$B$5:$B$1004,$F288)))</ns0:f>
        <ns0:v/>
      </ns0:c>
      <ns0:c r="C288" s="9" t="str">
        <ns0:f>IF($F288="","",IF(INDEX('販売記録'!$C$5:$C$1004,$F288)="","",INDEX('販売記録'!$C$5:$C$1004,$F288)))</ns0:f>
        <ns0:v/>
      </ns0:c>
      <ns0:c r="D288" s="8" t="str">
        <ns0:f>IF($F288="","",IF(INDEX('販売記録'!$D$5:$D$1004,$F288)="","",INDEX('販売記録'!$D$5:$D$1004,$F288)))</ns0:f>
        <ns0:v/>
      </ns0:c>
      <ns0:c r="E288" s="12" t="str">
        <ns0:f>IF(OR(A288="",B288=""),"",MAX(0,TODAY()-A288))</ns0:f>
        <ns0:v/>
      </ns0:c>
      <ns0:c r="F288" s="9" t="str">
        <ns0:f>IFERROR(MATCH(ROW()-4,'販売記録'!$L$5:$L$1004,0),"")</ns0:f>
        <ns0:v/>
      </ns0:c>
    </ns0:row>
    <ns0:row r="289">
      <ns0:c r="A289" s="11" t="str">
        <ns0:f>IF($F289="","",IF(INDEX('販売記録'!$K$5:$K$1004,$F289)="","",INDEX('販売記録'!$K$5:$K$1004,$F289)))</ns0:f>
        <ns0:v/>
      </ns0:c>
      <ns0:c r="B289" s="9" t="str">
        <ns0:f>IF($F289="","",IF(INDEX('販売記録'!$B$5:$B$1004,$F289)="","",INDEX('販売記録'!$B$5:$B$1004,$F289)))</ns0:f>
        <ns0:v/>
      </ns0:c>
      <ns0:c r="C289" s="9" t="str">
        <ns0:f>IF($F289="","",IF(INDEX('販売記録'!$C$5:$C$1004,$F289)="","",INDEX('販売記録'!$C$5:$C$1004,$F289)))</ns0:f>
        <ns0:v/>
      </ns0:c>
      <ns0:c r="D289" s="8" t="str">
        <ns0:f>IF($F289="","",IF(INDEX('販売記録'!$D$5:$D$1004,$F289)="","",INDEX('販売記録'!$D$5:$D$1004,$F289)))</ns0:f>
        <ns0:v/>
      </ns0:c>
      <ns0:c r="E289" s="12" t="str">
        <ns0:f>IF(OR(A289="",B289=""),"",MAX(0,TODAY()-A289))</ns0:f>
        <ns0:v/>
      </ns0:c>
      <ns0:c r="F289" s="9" t="str">
        <ns0:f>IFERROR(MATCH(ROW()-4,'販売記録'!$L$5:$L$1004,0),"")</ns0:f>
        <ns0:v/>
      </ns0:c>
    </ns0:row>
    <ns0:row r="290">
      <ns0:c r="A290" s="11" t="str">
        <ns0:f>IF($F290="","",IF(INDEX('販売記録'!$K$5:$K$1004,$F290)="","",INDEX('販売記録'!$K$5:$K$1004,$F290)))</ns0:f>
        <ns0:v/>
      </ns0:c>
      <ns0:c r="B290" s="9" t="str">
        <ns0:f>IF($F290="","",IF(INDEX('販売記録'!$B$5:$B$1004,$F290)="","",INDEX('販売記録'!$B$5:$B$1004,$F290)))</ns0:f>
        <ns0:v/>
      </ns0:c>
      <ns0:c r="C290" s="9" t="str">
        <ns0:f>IF($F290="","",IF(INDEX('販売記録'!$C$5:$C$1004,$F290)="","",INDEX('販売記録'!$C$5:$C$1004,$F290)))</ns0:f>
        <ns0:v/>
      </ns0:c>
      <ns0:c r="D290" s="8" t="str">
        <ns0:f>IF($F290="","",IF(INDEX('販売記録'!$D$5:$D$1004,$F290)="","",INDEX('販売記録'!$D$5:$D$1004,$F290)))</ns0:f>
        <ns0:v/>
      </ns0:c>
      <ns0:c r="E290" s="12" t="str">
        <ns0:f>IF(OR(A290="",B290=""),"",MAX(0,TODAY()-A290))</ns0:f>
        <ns0:v/>
      </ns0:c>
      <ns0:c r="F290" s="9" t="str">
        <ns0:f>IFERROR(MATCH(ROW()-4,'販売記録'!$L$5:$L$1004,0),"")</ns0:f>
        <ns0:v/>
      </ns0:c>
    </ns0:row>
    <ns0:row r="291">
      <ns0:c r="A291" s="11" t="str">
        <ns0:f>IF($F291="","",IF(INDEX('販売記録'!$K$5:$K$1004,$F291)="","",INDEX('販売記録'!$K$5:$K$1004,$F291)))</ns0:f>
        <ns0:v/>
      </ns0:c>
      <ns0:c r="B291" s="9" t="str">
        <ns0:f>IF($F291="","",IF(INDEX('販売記録'!$B$5:$B$1004,$F291)="","",INDEX('販売記録'!$B$5:$B$1004,$F291)))</ns0:f>
        <ns0:v/>
      </ns0:c>
      <ns0:c r="C291" s="9" t="str">
        <ns0:f>IF($F291="","",IF(INDEX('販売記録'!$C$5:$C$1004,$F291)="","",INDEX('販売記録'!$C$5:$C$1004,$F291)))</ns0:f>
        <ns0:v/>
      </ns0:c>
      <ns0:c r="D291" s="8" t="str">
        <ns0:f>IF($F291="","",IF(INDEX('販売記録'!$D$5:$D$1004,$F291)="","",INDEX('販売記録'!$D$5:$D$1004,$F291)))</ns0:f>
        <ns0:v/>
      </ns0:c>
      <ns0:c r="E291" s="12" t="str">
        <ns0:f>IF(OR(A291="",B291=""),"",MAX(0,TODAY()-A291))</ns0:f>
        <ns0:v/>
      </ns0:c>
      <ns0:c r="F291" s="9" t="str">
        <ns0:f>IFERROR(MATCH(ROW()-4,'販売記録'!$L$5:$L$1004,0),"")</ns0:f>
        <ns0:v/>
      </ns0:c>
    </ns0:row>
    <ns0:row r="292">
      <ns0:c r="A292" s="11" t="str">
        <ns0:f>IF($F292="","",IF(INDEX('販売記録'!$K$5:$K$1004,$F292)="","",INDEX('販売記録'!$K$5:$K$1004,$F292)))</ns0:f>
        <ns0:v/>
      </ns0:c>
      <ns0:c r="B292" s="9" t="str">
        <ns0:f>IF($F292="","",IF(INDEX('販売記録'!$B$5:$B$1004,$F292)="","",INDEX('販売記録'!$B$5:$B$1004,$F292)))</ns0:f>
        <ns0:v/>
      </ns0:c>
      <ns0:c r="C292" s="9" t="str">
        <ns0:f>IF($F292="","",IF(INDEX('販売記録'!$C$5:$C$1004,$F292)="","",INDEX('販売記録'!$C$5:$C$1004,$F292)))</ns0:f>
        <ns0:v/>
      </ns0:c>
      <ns0:c r="D292" s="8" t="str">
        <ns0:f>IF($F292="","",IF(INDEX('販売記録'!$D$5:$D$1004,$F292)="","",INDEX('販売記録'!$D$5:$D$1004,$F292)))</ns0:f>
        <ns0:v/>
      </ns0:c>
      <ns0:c r="E292" s="12" t="str">
        <ns0:f>IF(OR(A292="",B292=""),"",MAX(0,TODAY()-A292))</ns0:f>
        <ns0:v/>
      </ns0:c>
      <ns0:c r="F292" s="9" t="str">
        <ns0:f>IFERROR(MATCH(ROW()-4,'販売記録'!$L$5:$L$1004,0),"")</ns0:f>
        <ns0:v/>
      </ns0:c>
    </ns0:row>
    <ns0:row r="293">
      <ns0:c r="A293" s="11" t="str">
        <ns0:f>IF($F293="","",IF(INDEX('販売記録'!$K$5:$K$1004,$F293)="","",INDEX('販売記録'!$K$5:$K$1004,$F293)))</ns0:f>
        <ns0:v/>
      </ns0:c>
      <ns0:c r="B293" s="9" t="str">
        <ns0:f>IF($F293="","",IF(INDEX('販売記録'!$B$5:$B$1004,$F293)="","",INDEX('販売記録'!$B$5:$B$1004,$F293)))</ns0:f>
        <ns0:v/>
      </ns0:c>
      <ns0:c r="C293" s="9" t="str">
        <ns0:f>IF($F293="","",IF(INDEX('販売記録'!$C$5:$C$1004,$F293)="","",INDEX('販売記録'!$C$5:$C$1004,$F293)))</ns0:f>
        <ns0:v/>
      </ns0:c>
      <ns0:c r="D293" s="8" t="str">
        <ns0:f>IF($F293="","",IF(INDEX('販売記録'!$D$5:$D$1004,$F293)="","",INDEX('販売記録'!$D$5:$D$1004,$F293)))</ns0:f>
        <ns0:v/>
      </ns0:c>
      <ns0:c r="E293" s="12" t="str">
        <ns0:f>IF(OR(A293="",B293=""),"",MAX(0,TODAY()-A293))</ns0:f>
        <ns0:v/>
      </ns0:c>
      <ns0:c r="F293" s="9" t="str">
        <ns0:f>IFERROR(MATCH(ROW()-4,'販売記録'!$L$5:$L$1004,0),"")</ns0:f>
        <ns0:v/>
      </ns0:c>
    </ns0:row>
    <ns0:row r="294">
      <ns0:c r="A294" s="11" t="str">
        <ns0:f>IF($F294="","",IF(INDEX('販売記録'!$K$5:$K$1004,$F294)="","",INDEX('販売記録'!$K$5:$K$1004,$F294)))</ns0:f>
        <ns0:v/>
      </ns0:c>
      <ns0:c r="B294" s="9" t="str">
        <ns0:f>IF($F294="","",IF(INDEX('販売記録'!$B$5:$B$1004,$F294)="","",INDEX('販売記録'!$B$5:$B$1004,$F294)))</ns0:f>
        <ns0:v/>
      </ns0:c>
      <ns0:c r="C294" s="9" t="str">
        <ns0:f>IF($F294="","",IF(INDEX('販売記録'!$C$5:$C$1004,$F294)="","",INDEX('販売記録'!$C$5:$C$1004,$F294)))</ns0:f>
        <ns0:v/>
      </ns0:c>
      <ns0:c r="D294" s="8" t="str">
        <ns0:f>IF($F294="","",IF(INDEX('販売記録'!$D$5:$D$1004,$F294)="","",INDEX('販売記録'!$D$5:$D$1004,$F294)))</ns0:f>
        <ns0:v/>
      </ns0:c>
      <ns0:c r="E294" s="12" t="str">
        <ns0:f>IF(OR(A294="",B294=""),"",MAX(0,TODAY()-A294))</ns0:f>
        <ns0:v/>
      </ns0:c>
      <ns0:c r="F294" s="9" t="str">
        <ns0:f>IFERROR(MATCH(ROW()-4,'販売記録'!$L$5:$L$1004,0),"")</ns0:f>
        <ns0:v/>
      </ns0:c>
    </ns0:row>
    <ns0:row r="295">
      <ns0:c r="A295" s="11" t="str">
        <ns0:f>IF($F295="","",IF(INDEX('販売記録'!$K$5:$K$1004,$F295)="","",INDEX('販売記録'!$K$5:$K$1004,$F295)))</ns0:f>
        <ns0:v/>
      </ns0:c>
      <ns0:c r="B295" s="9" t="str">
        <ns0:f>IF($F295="","",IF(INDEX('販売記録'!$B$5:$B$1004,$F295)="","",INDEX('販売記録'!$B$5:$B$1004,$F295)))</ns0:f>
        <ns0:v/>
      </ns0:c>
      <ns0:c r="C295" s="9" t="str">
        <ns0:f>IF($F295="","",IF(INDEX('販売記録'!$C$5:$C$1004,$F295)="","",INDEX('販売記録'!$C$5:$C$1004,$F295)))</ns0:f>
        <ns0:v/>
      </ns0:c>
      <ns0:c r="D295" s="8" t="str">
        <ns0:f>IF($F295="","",IF(INDEX('販売記録'!$D$5:$D$1004,$F295)="","",INDEX('販売記録'!$D$5:$D$1004,$F295)))</ns0:f>
        <ns0:v/>
      </ns0:c>
      <ns0:c r="E295" s="12" t="str">
        <ns0:f>IF(OR(A295="",B295=""),"",MAX(0,TODAY()-A295))</ns0:f>
        <ns0:v/>
      </ns0:c>
      <ns0:c r="F295" s="9" t="str">
        <ns0:f>IFERROR(MATCH(ROW()-4,'販売記録'!$L$5:$L$1004,0),"")</ns0:f>
        <ns0:v/>
      </ns0:c>
    </ns0:row>
    <ns0:row r="296">
      <ns0:c r="A296" s="11" t="str">
        <ns0:f>IF($F296="","",IF(INDEX('販売記録'!$K$5:$K$1004,$F296)="","",INDEX('販売記録'!$K$5:$K$1004,$F296)))</ns0:f>
        <ns0:v/>
      </ns0:c>
      <ns0:c r="B296" s="9" t="str">
        <ns0:f>IF($F296="","",IF(INDEX('販売記録'!$B$5:$B$1004,$F296)="","",INDEX('販売記録'!$B$5:$B$1004,$F296)))</ns0:f>
        <ns0:v/>
      </ns0:c>
      <ns0:c r="C296" s="9" t="str">
        <ns0:f>IF($F296="","",IF(INDEX('販売記録'!$C$5:$C$1004,$F296)="","",INDEX('販売記録'!$C$5:$C$1004,$F296)))</ns0:f>
        <ns0:v/>
      </ns0:c>
      <ns0:c r="D296" s="8" t="str">
        <ns0:f>IF($F296="","",IF(INDEX('販売記録'!$D$5:$D$1004,$F296)="","",INDEX('販売記録'!$D$5:$D$1004,$F296)))</ns0:f>
        <ns0:v/>
      </ns0:c>
      <ns0:c r="E296" s="12" t="str">
        <ns0:f>IF(OR(A296="",B296=""),"",MAX(0,TODAY()-A296))</ns0:f>
        <ns0:v/>
      </ns0:c>
      <ns0:c r="F296" s="9" t="str">
        <ns0:f>IFERROR(MATCH(ROW()-4,'販売記録'!$L$5:$L$1004,0),"")</ns0:f>
        <ns0:v/>
      </ns0:c>
    </ns0:row>
    <ns0:row r="297">
      <ns0:c r="A297" s="11" t="str">
        <ns0:f>IF($F297="","",IF(INDEX('販売記録'!$K$5:$K$1004,$F297)="","",INDEX('販売記録'!$K$5:$K$1004,$F297)))</ns0:f>
        <ns0:v/>
      </ns0:c>
      <ns0:c r="B297" s="9" t="str">
        <ns0:f>IF($F297="","",IF(INDEX('販売記録'!$B$5:$B$1004,$F297)="","",INDEX('販売記録'!$B$5:$B$1004,$F297)))</ns0:f>
        <ns0:v/>
      </ns0:c>
      <ns0:c r="C297" s="9" t="str">
        <ns0:f>IF($F297="","",IF(INDEX('販売記録'!$C$5:$C$1004,$F297)="","",INDEX('販売記録'!$C$5:$C$1004,$F297)))</ns0:f>
        <ns0:v/>
      </ns0:c>
      <ns0:c r="D297" s="8" t="str">
        <ns0:f>IF($F297="","",IF(INDEX('販売記録'!$D$5:$D$1004,$F297)="","",INDEX('販売記録'!$D$5:$D$1004,$F297)))</ns0:f>
        <ns0:v/>
      </ns0:c>
      <ns0:c r="E297" s="12" t="str">
        <ns0:f>IF(OR(A297="",B297=""),"",MAX(0,TODAY()-A297))</ns0:f>
        <ns0:v/>
      </ns0:c>
      <ns0:c r="F297" s="9" t="str">
        <ns0:f>IFERROR(MATCH(ROW()-4,'販売記録'!$L$5:$L$1004,0),"")</ns0:f>
        <ns0:v/>
      </ns0:c>
    </ns0:row>
    <ns0:row r="298">
      <ns0:c r="A298" s="11" t="str">
        <ns0:f>IF($F298="","",IF(INDEX('販売記録'!$K$5:$K$1004,$F298)="","",INDEX('販売記録'!$K$5:$K$1004,$F298)))</ns0:f>
        <ns0:v/>
      </ns0:c>
      <ns0:c r="B298" s="9" t="str">
        <ns0:f>IF($F298="","",IF(INDEX('販売記録'!$B$5:$B$1004,$F298)="","",INDEX('販売記録'!$B$5:$B$1004,$F298)))</ns0:f>
        <ns0:v/>
      </ns0:c>
      <ns0:c r="C298" s="9" t="str">
        <ns0:f>IF($F298="","",IF(INDEX('販売記録'!$C$5:$C$1004,$F298)="","",INDEX('販売記録'!$C$5:$C$1004,$F298)))</ns0:f>
        <ns0:v/>
      </ns0:c>
      <ns0:c r="D298" s="8" t="str">
        <ns0:f>IF($F298="","",IF(INDEX('販売記録'!$D$5:$D$1004,$F298)="","",INDEX('販売記録'!$D$5:$D$1004,$F298)))</ns0:f>
        <ns0:v/>
      </ns0:c>
      <ns0:c r="E298" s="12" t="str">
        <ns0:f>IF(OR(A298="",B298=""),"",MAX(0,TODAY()-A298))</ns0:f>
        <ns0:v/>
      </ns0:c>
      <ns0:c r="F298" s="9" t="str">
        <ns0:f>IFERROR(MATCH(ROW()-4,'販売記録'!$L$5:$L$1004,0),"")</ns0:f>
        <ns0:v/>
      </ns0:c>
    </ns0:row>
    <ns0:row r="299">
      <ns0:c r="A299" s="11" t="str">
        <ns0:f>IF($F299="","",IF(INDEX('販売記録'!$K$5:$K$1004,$F299)="","",INDEX('販売記録'!$K$5:$K$1004,$F299)))</ns0:f>
        <ns0:v/>
      </ns0:c>
      <ns0:c r="B299" s="9" t="str">
        <ns0:f>IF($F299="","",IF(INDEX('販売記録'!$B$5:$B$1004,$F299)="","",INDEX('販売記録'!$B$5:$B$1004,$F299)))</ns0:f>
        <ns0:v/>
      </ns0:c>
      <ns0:c r="C299" s="9" t="str">
        <ns0:f>IF($F299="","",IF(INDEX('販売記録'!$C$5:$C$1004,$F299)="","",INDEX('販売記録'!$C$5:$C$1004,$F299)))</ns0:f>
        <ns0:v/>
      </ns0:c>
      <ns0:c r="D299" s="8" t="str">
        <ns0:f>IF($F299="","",IF(INDEX('販売記録'!$D$5:$D$1004,$F299)="","",INDEX('販売記録'!$D$5:$D$1004,$F299)))</ns0:f>
        <ns0:v/>
      </ns0:c>
      <ns0:c r="E299" s="12" t="str">
        <ns0:f>IF(OR(A299="",B299=""),"",MAX(0,TODAY()-A299))</ns0:f>
        <ns0:v/>
      </ns0:c>
      <ns0:c r="F299" s="9" t="str">
        <ns0:f>IFERROR(MATCH(ROW()-4,'販売記録'!$L$5:$L$1004,0),"")</ns0:f>
        <ns0:v/>
      </ns0:c>
    </ns0:row>
    <ns0:row r="300">
      <ns0:c r="A300" s="11" t="str">
        <ns0:f>IF($F300="","",IF(INDEX('販売記録'!$K$5:$K$1004,$F300)="","",INDEX('販売記録'!$K$5:$K$1004,$F300)))</ns0:f>
        <ns0:v/>
      </ns0:c>
      <ns0:c r="B300" s="9" t="str">
        <ns0:f>IF($F300="","",IF(INDEX('販売記録'!$B$5:$B$1004,$F300)="","",INDEX('販売記録'!$B$5:$B$1004,$F300)))</ns0:f>
        <ns0:v/>
      </ns0:c>
      <ns0:c r="C300" s="9" t="str">
        <ns0:f>IF($F300="","",IF(INDEX('販売記録'!$C$5:$C$1004,$F300)="","",INDEX('販売記録'!$C$5:$C$1004,$F300)))</ns0:f>
        <ns0:v/>
      </ns0:c>
      <ns0:c r="D300" s="8" t="str">
        <ns0:f>IF($F300="","",IF(INDEX('販売記録'!$D$5:$D$1004,$F300)="","",INDEX('販売記録'!$D$5:$D$1004,$F300)))</ns0:f>
        <ns0:v/>
      </ns0:c>
      <ns0:c r="E300" s="12" t="str">
        <ns0:f>IF(OR(A300="",B300=""),"",MAX(0,TODAY()-A300))</ns0:f>
        <ns0:v/>
      </ns0:c>
      <ns0:c r="F300" s="9" t="str">
        <ns0:f>IFERROR(MATCH(ROW()-4,'販売記録'!$L$5:$L$1004,0),"")</ns0:f>
        <ns0:v/>
      </ns0:c>
    </ns0:row>
    <ns0:row r="301">
      <ns0:c r="A301" s="11" t="str">
        <ns0:f>IF($F301="","",IF(INDEX('販売記録'!$K$5:$K$1004,$F301)="","",INDEX('販売記録'!$K$5:$K$1004,$F301)))</ns0:f>
        <ns0:v/>
      </ns0:c>
      <ns0:c r="B301" s="9" t="str">
        <ns0:f>IF($F301="","",IF(INDEX('販売記録'!$B$5:$B$1004,$F301)="","",INDEX('販売記録'!$B$5:$B$1004,$F301)))</ns0:f>
        <ns0:v/>
      </ns0:c>
      <ns0:c r="C301" s="9" t="str">
        <ns0:f>IF($F301="","",IF(INDEX('販売記録'!$C$5:$C$1004,$F301)="","",INDEX('販売記録'!$C$5:$C$1004,$F301)))</ns0:f>
        <ns0:v/>
      </ns0:c>
      <ns0:c r="D301" s="8" t="str">
        <ns0:f>IF($F301="","",IF(INDEX('販売記録'!$D$5:$D$1004,$F301)="","",INDEX('販売記録'!$D$5:$D$1004,$F301)))</ns0:f>
        <ns0:v/>
      </ns0:c>
      <ns0:c r="E301" s="12" t="str">
        <ns0:f>IF(OR(A301="",B301=""),"",MAX(0,TODAY()-A301))</ns0:f>
        <ns0:v/>
      </ns0:c>
      <ns0:c r="F301" s="9" t="str">
        <ns0:f>IFERROR(MATCH(ROW()-4,'販売記録'!$L$5:$L$1004,0),"")</ns0:f>
        <ns0:v/>
      </ns0:c>
    </ns0:row>
    <ns0:row r="302">
      <ns0:c r="A302" s="11" t="str">
        <ns0:f>IF($F302="","",IF(INDEX('販売記録'!$K$5:$K$1004,$F302)="","",INDEX('販売記録'!$K$5:$K$1004,$F302)))</ns0:f>
        <ns0:v/>
      </ns0:c>
      <ns0:c r="B302" s="9" t="str">
        <ns0:f>IF($F302="","",IF(INDEX('販売記録'!$B$5:$B$1004,$F302)="","",INDEX('販売記録'!$B$5:$B$1004,$F302)))</ns0:f>
        <ns0:v/>
      </ns0:c>
      <ns0:c r="C302" s="9" t="str">
        <ns0:f>IF($F302="","",IF(INDEX('販売記録'!$C$5:$C$1004,$F302)="","",INDEX('販売記録'!$C$5:$C$1004,$F302)))</ns0:f>
        <ns0:v/>
      </ns0:c>
      <ns0:c r="D302" s="8" t="str">
        <ns0:f>IF($F302="","",IF(INDEX('販売記録'!$D$5:$D$1004,$F302)="","",INDEX('販売記録'!$D$5:$D$1004,$F302)))</ns0:f>
        <ns0:v/>
      </ns0:c>
      <ns0:c r="E302" s="12" t="str">
        <ns0:f>IF(OR(A302="",B302=""),"",MAX(0,TODAY()-A302))</ns0:f>
        <ns0:v/>
      </ns0:c>
      <ns0:c r="F302" s="9" t="str">
        <ns0:f>IFERROR(MATCH(ROW()-4,'販売記録'!$L$5:$L$1004,0),"")</ns0:f>
        <ns0:v/>
      </ns0:c>
    </ns0:row>
    <ns0:row r="303">
      <ns0:c r="A303" s="11" t="str">
        <ns0:f>IF($F303="","",IF(INDEX('販売記録'!$K$5:$K$1004,$F303)="","",INDEX('販売記録'!$K$5:$K$1004,$F303)))</ns0:f>
        <ns0:v/>
      </ns0:c>
      <ns0:c r="B303" s="9" t="str">
        <ns0:f>IF($F303="","",IF(INDEX('販売記録'!$B$5:$B$1004,$F303)="","",INDEX('販売記録'!$B$5:$B$1004,$F303)))</ns0:f>
        <ns0:v/>
      </ns0:c>
      <ns0:c r="C303" s="9" t="str">
        <ns0:f>IF($F303="","",IF(INDEX('販売記録'!$C$5:$C$1004,$F303)="","",INDEX('販売記録'!$C$5:$C$1004,$F303)))</ns0:f>
        <ns0:v/>
      </ns0:c>
      <ns0:c r="D303" s="8" t="str">
        <ns0:f>IF($F303="","",IF(INDEX('販売記録'!$D$5:$D$1004,$F303)="","",INDEX('販売記録'!$D$5:$D$1004,$F303)))</ns0:f>
        <ns0:v/>
      </ns0:c>
      <ns0:c r="E303" s="12" t="str">
        <ns0:f>IF(OR(A303="",B303=""),"",MAX(0,TODAY()-A303))</ns0:f>
        <ns0:v/>
      </ns0:c>
      <ns0:c r="F303" s="9" t="str">
        <ns0:f>IFERROR(MATCH(ROW()-4,'販売記録'!$L$5:$L$1004,0),"")</ns0:f>
        <ns0:v/>
      </ns0:c>
    </ns0:row>
    <ns0:row r="304">
      <ns0:c r="A304" s="11" t="str">
        <ns0:f>IF($F304="","",IF(INDEX('販売記録'!$K$5:$K$1004,$F304)="","",INDEX('販売記録'!$K$5:$K$1004,$F304)))</ns0:f>
        <ns0:v/>
      </ns0:c>
      <ns0:c r="B304" s="9" t="str">
        <ns0:f>IF($F304="","",IF(INDEX('販売記録'!$B$5:$B$1004,$F304)="","",INDEX('販売記録'!$B$5:$B$1004,$F304)))</ns0:f>
        <ns0:v/>
      </ns0:c>
      <ns0:c r="C304" s="9" t="str">
        <ns0:f>IF($F304="","",IF(INDEX('販売記録'!$C$5:$C$1004,$F304)="","",INDEX('販売記録'!$C$5:$C$1004,$F304)))</ns0:f>
        <ns0:v/>
      </ns0:c>
      <ns0:c r="D304" s="8" t="str">
        <ns0:f>IF($F304="","",IF(INDEX('販売記録'!$D$5:$D$1004,$F304)="","",INDEX('販売記録'!$D$5:$D$1004,$F304)))</ns0:f>
        <ns0:v/>
      </ns0:c>
      <ns0:c r="E304" s="12" t="str">
        <ns0:f>IF(OR(A304="",B304=""),"",MAX(0,TODAY()-A304))</ns0:f>
        <ns0:v/>
      </ns0:c>
      <ns0:c r="F304" s="9" t="str">
        <ns0:f>IFERROR(MATCH(ROW()-4,'販売記録'!$L$5:$L$1004,0),"")</ns0:f>
        <ns0:v/>
      </ns0:c>
    </ns0:row>
    <ns0:row r="305">
      <ns0:c r="A305" s="11" t="str">
        <ns0:f>IF($F305="","",IF(INDEX('販売記録'!$K$5:$K$1004,$F305)="","",INDEX('販売記録'!$K$5:$K$1004,$F305)))</ns0:f>
        <ns0:v/>
      </ns0:c>
      <ns0:c r="B305" s="9" t="str">
        <ns0:f>IF($F305="","",IF(INDEX('販売記録'!$B$5:$B$1004,$F305)="","",INDEX('販売記録'!$B$5:$B$1004,$F305)))</ns0:f>
        <ns0:v/>
      </ns0:c>
      <ns0:c r="C305" s="9" t="str">
        <ns0:f>IF($F305="","",IF(INDEX('販売記録'!$C$5:$C$1004,$F305)="","",INDEX('販売記録'!$C$5:$C$1004,$F305)))</ns0:f>
        <ns0:v/>
      </ns0:c>
      <ns0:c r="D305" s="8" t="str">
        <ns0:f>IF($F305="","",IF(INDEX('販売記録'!$D$5:$D$1004,$F305)="","",INDEX('販売記録'!$D$5:$D$1004,$F305)))</ns0:f>
        <ns0:v/>
      </ns0:c>
      <ns0:c r="E305" s="12" t="str">
        <ns0:f>IF(OR(A305="",B305=""),"",MAX(0,TODAY()-A305))</ns0:f>
        <ns0:v/>
      </ns0:c>
      <ns0:c r="F305" s="9" t="str">
        <ns0:f>IFERROR(MATCH(ROW()-4,'販売記録'!$L$5:$L$1004,0),"")</ns0:f>
        <ns0:v/>
      </ns0:c>
    </ns0:row>
    <ns0:row r="306">
      <ns0:c r="A306" s="11" t="str">
        <ns0:f>IF($F306="","",IF(INDEX('販売記録'!$K$5:$K$1004,$F306)="","",INDEX('販売記録'!$K$5:$K$1004,$F306)))</ns0:f>
        <ns0:v/>
      </ns0:c>
      <ns0:c r="B306" s="9" t="str">
        <ns0:f>IF($F306="","",IF(INDEX('販売記録'!$B$5:$B$1004,$F306)="","",INDEX('販売記録'!$B$5:$B$1004,$F306)))</ns0:f>
        <ns0:v/>
      </ns0:c>
      <ns0:c r="C306" s="9" t="str">
        <ns0:f>IF($F306="","",IF(INDEX('販売記録'!$C$5:$C$1004,$F306)="","",INDEX('販売記録'!$C$5:$C$1004,$F306)))</ns0:f>
        <ns0:v/>
      </ns0:c>
      <ns0:c r="D306" s="8" t="str">
        <ns0:f>IF($F306="","",IF(INDEX('販売記録'!$D$5:$D$1004,$F306)="","",INDEX('販売記録'!$D$5:$D$1004,$F306)))</ns0:f>
        <ns0:v/>
      </ns0:c>
      <ns0:c r="E306" s="12" t="str">
        <ns0:f>IF(OR(A306="",B306=""),"",MAX(0,TODAY()-A306))</ns0:f>
        <ns0:v/>
      </ns0:c>
      <ns0:c r="F306" s="9" t="str">
        <ns0:f>IFERROR(MATCH(ROW()-4,'販売記録'!$L$5:$L$1004,0),"")</ns0:f>
        <ns0:v/>
      </ns0:c>
    </ns0:row>
    <ns0:row r="307">
      <ns0:c r="A307" s="11" t="str">
        <ns0:f>IF($F307="","",IF(INDEX('販売記録'!$K$5:$K$1004,$F307)="","",INDEX('販売記録'!$K$5:$K$1004,$F307)))</ns0:f>
        <ns0:v/>
      </ns0:c>
      <ns0:c r="B307" s="9" t="str">
        <ns0:f>IF($F307="","",IF(INDEX('販売記録'!$B$5:$B$1004,$F307)="","",INDEX('販売記録'!$B$5:$B$1004,$F307)))</ns0:f>
        <ns0:v/>
      </ns0:c>
      <ns0:c r="C307" s="9" t="str">
        <ns0:f>IF($F307="","",IF(INDEX('販売記録'!$C$5:$C$1004,$F307)="","",INDEX('販売記録'!$C$5:$C$1004,$F307)))</ns0:f>
        <ns0:v/>
      </ns0:c>
      <ns0:c r="D307" s="8" t="str">
        <ns0:f>IF($F307="","",IF(INDEX('販売記録'!$D$5:$D$1004,$F307)="","",INDEX('販売記録'!$D$5:$D$1004,$F307)))</ns0:f>
        <ns0:v/>
      </ns0:c>
      <ns0:c r="E307" s="12" t="str">
        <ns0:f>IF(OR(A307="",B307=""),"",MAX(0,TODAY()-A307))</ns0:f>
        <ns0:v/>
      </ns0:c>
      <ns0:c r="F307" s="9" t="str">
        <ns0:f>IFERROR(MATCH(ROW()-4,'販売記録'!$L$5:$L$1004,0),"")</ns0:f>
        <ns0:v/>
      </ns0:c>
    </ns0:row>
    <ns0:row r="308">
      <ns0:c r="A308" s="11" t="str">
        <ns0:f>IF($F308="","",IF(INDEX('販売記録'!$K$5:$K$1004,$F308)="","",INDEX('販売記録'!$K$5:$K$1004,$F308)))</ns0:f>
        <ns0:v/>
      </ns0:c>
      <ns0:c r="B308" s="9" t="str">
        <ns0:f>IF($F308="","",IF(INDEX('販売記録'!$B$5:$B$1004,$F308)="","",INDEX('販売記録'!$B$5:$B$1004,$F308)))</ns0:f>
        <ns0:v/>
      </ns0:c>
      <ns0:c r="C308" s="9" t="str">
        <ns0:f>IF($F308="","",IF(INDEX('販売記録'!$C$5:$C$1004,$F308)="","",INDEX('販売記録'!$C$5:$C$1004,$F308)))</ns0:f>
        <ns0:v/>
      </ns0:c>
      <ns0:c r="D308" s="8" t="str">
        <ns0:f>IF($F308="","",IF(INDEX('販売記録'!$D$5:$D$1004,$F308)="","",INDEX('販売記録'!$D$5:$D$1004,$F308)))</ns0:f>
        <ns0:v/>
      </ns0:c>
      <ns0:c r="E308" s="12" t="str">
        <ns0:f>IF(OR(A308="",B308=""),"",MAX(0,TODAY()-A308))</ns0:f>
        <ns0:v/>
      </ns0:c>
      <ns0:c r="F308" s="9" t="str">
        <ns0:f>IFERROR(MATCH(ROW()-4,'販売記録'!$L$5:$L$1004,0),"")</ns0:f>
        <ns0:v/>
      </ns0:c>
    </ns0:row>
    <ns0:row r="309">
      <ns0:c r="A309" s="11" t="str">
        <ns0:f>IF($F309="","",IF(INDEX('販売記録'!$K$5:$K$1004,$F309)="","",INDEX('販売記録'!$K$5:$K$1004,$F309)))</ns0:f>
        <ns0:v/>
      </ns0:c>
      <ns0:c r="B309" s="9" t="str">
        <ns0:f>IF($F309="","",IF(INDEX('販売記録'!$B$5:$B$1004,$F309)="","",INDEX('販売記録'!$B$5:$B$1004,$F309)))</ns0:f>
        <ns0:v/>
      </ns0:c>
      <ns0:c r="C309" s="9" t="str">
        <ns0:f>IF($F309="","",IF(INDEX('販売記録'!$C$5:$C$1004,$F309)="","",INDEX('販売記録'!$C$5:$C$1004,$F309)))</ns0:f>
        <ns0:v/>
      </ns0:c>
      <ns0:c r="D309" s="8" t="str">
        <ns0:f>IF($F309="","",IF(INDEX('販売記録'!$D$5:$D$1004,$F309)="","",INDEX('販売記録'!$D$5:$D$1004,$F309)))</ns0:f>
        <ns0:v/>
      </ns0:c>
      <ns0:c r="E309" s="12" t="str">
        <ns0:f>IF(OR(A309="",B309=""),"",MAX(0,TODAY()-A309))</ns0:f>
        <ns0:v/>
      </ns0:c>
      <ns0:c r="F309" s="9" t="str">
        <ns0:f>IFERROR(MATCH(ROW()-4,'販売記録'!$L$5:$L$1004,0),"")</ns0:f>
        <ns0:v/>
      </ns0:c>
    </ns0:row>
    <ns0:row r="310">
      <ns0:c r="A310" s="11" t="str">
        <ns0:f>IF($F310="","",IF(INDEX('販売記録'!$K$5:$K$1004,$F310)="","",INDEX('販売記録'!$K$5:$K$1004,$F310)))</ns0:f>
        <ns0:v/>
      </ns0:c>
      <ns0:c r="B310" s="9" t="str">
        <ns0:f>IF($F310="","",IF(INDEX('販売記録'!$B$5:$B$1004,$F310)="","",INDEX('販売記録'!$B$5:$B$1004,$F310)))</ns0:f>
        <ns0:v/>
      </ns0:c>
      <ns0:c r="C310" s="9" t="str">
        <ns0:f>IF($F310="","",IF(INDEX('販売記録'!$C$5:$C$1004,$F310)="","",INDEX('販売記録'!$C$5:$C$1004,$F310)))</ns0:f>
        <ns0:v/>
      </ns0:c>
      <ns0:c r="D310" s="8" t="str">
        <ns0:f>IF($F310="","",IF(INDEX('販売記録'!$D$5:$D$1004,$F310)="","",INDEX('販売記録'!$D$5:$D$1004,$F310)))</ns0:f>
        <ns0:v/>
      </ns0:c>
      <ns0:c r="E310" s="12" t="str">
        <ns0:f>IF(OR(A310="",B310=""),"",MAX(0,TODAY()-A310))</ns0:f>
        <ns0:v/>
      </ns0:c>
      <ns0:c r="F310" s="9" t="str">
        <ns0:f>IFERROR(MATCH(ROW()-4,'販売記録'!$L$5:$L$1004,0),"")</ns0:f>
        <ns0:v/>
      </ns0:c>
    </ns0:row>
    <ns0:row r="311">
      <ns0:c r="A311" s="11" t="str">
        <ns0:f>IF($F311="","",IF(INDEX('販売記録'!$K$5:$K$1004,$F311)="","",INDEX('販売記録'!$K$5:$K$1004,$F311)))</ns0:f>
        <ns0:v/>
      </ns0:c>
      <ns0:c r="B311" s="9" t="str">
        <ns0:f>IF($F311="","",IF(INDEX('販売記録'!$B$5:$B$1004,$F311)="","",INDEX('販売記録'!$B$5:$B$1004,$F311)))</ns0:f>
        <ns0:v/>
      </ns0:c>
      <ns0:c r="C311" s="9" t="str">
        <ns0:f>IF($F311="","",IF(INDEX('販売記録'!$C$5:$C$1004,$F311)="","",INDEX('販売記録'!$C$5:$C$1004,$F311)))</ns0:f>
        <ns0:v/>
      </ns0:c>
      <ns0:c r="D311" s="8" t="str">
        <ns0:f>IF($F311="","",IF(INDEX('販売記録'!$D$5:$D$1004,$F311)="","",INDEX('販売記録'!$D$5:$D$1004,$F311)))</ns0:f>
        <ns0:v/>
      </ns0:c>
      <ns0:c r="E311" s="12" t="str">
        <ns0:f>IF(OR(A311="",B311=""),"",MAX(0,TODAY()-A311))</ns0:f>
        <ns0:v/>
      </ns0:c>
      <ns0:c r="F311" s="9" t="str">
        <ns0:f>IFERROR(MATCH(ROW()-4,'販売記録'!$L$5:$L$1004,0),"")</ns0:f>
        <ns0:v/>
      </ns0:c>
    </ns0:row>
    <ns0:row r="312">
      <ns0:c r="A312" s="11" t="str">
        <ns0:f>IF($F312="","",IF(INDEX('販売記録'!$K$5:$K$1004,$F312)="","",INDEX('販売記録'!$K$5:$K$1004,$F312)))</ns0:f>
        <ns0:v/>
      </ns0:c>
      <ns0:c r="B312" s="9" t="str">
        <ns0:f>IF($F312="","",IF(INDEX('販売記録'!$B$5:$B$1004,$F312)="","",INDEX('販売記録'!$B$5:$B$1004,$F312)))</ns0:f>
        <ns0:v/>
      </ns0:c>
      <ns0:c r="C312" s="9" t="str">
        <ns0:f>IF($F312="","",IF(INDEX('販売記録'!$C$5:$C$1004,$F312)="","",INDEX('販売記録'!$C$5:$C$1004,$F312)))</ns0:f>
        <ns0:v/>
      </ns0:c>
      <ns0:c r="D312" s="8" t="str">
        <ns0:f>IF($F312="","",IF(INDEX('販売記録'!$D$5:$D$1004,$F312)="","",INDEX('販売記録'!$D$5:$D$1004,$F312)))</ns0:f>
        <ns0:v/>
      </ns0:c>
      <ns0:c r="E312" s="12" t="str">
        <ns0:f>IF(OR(A312="",B312=""),"",MAX(0,TODAY()-A312))</ns0:f>
        <ns0:v/>
      </ns0:c>
      <ns0:c r="F312" s="9" t="str">
        <ns0:f>IFERROR(MATCH(ROW()-4,'販売記録'!$L$5:$L$1004,0),"")</ns0:f>
        <ns0:v/>
      </ns0:c>
    </ns0:row>
    <ns0:row r="313">
      <ns0:c r="A313" s="11" t="str">
        <ns0:f>IF($F313="","",IF(INDEX('販売記録'!$K$5:$K$1004,$F313)="","",INDEX('販売記録'!$K$5:$K$1004,$F313)))</ns0:f>
        <ns0:v/>
      </ns0:c>
      <ns0:c r="B313" s="9" t="str">
        <ns0:f>IF($F313="","",IF(INDEX('販売記録'!$B$5:$B$1004,$F313)="","",INDEX('販売記録'!$B$5:$B$1004,$F313)))</ns0:f>
        <ns0:v/>
      </ns0:c>
      <ns0:c r="C313" s="9" t="str">
        <ns0:f>IF($F313="","",IF(INDEX('販売記録'!$C$5:$C$1004,$F313)="","",INDEX('販売記録'!$C$5:$C$1004,$F313)))</ns0:f>
        <ns0:v/>
      </ns0:c>
      <ns0:c r="D313" s="8" t="str">
        <ns0:f>IF($F313="","",IF(INDEX('販売記録'!$D$5:$D$1004,$F313)="","",INDEX('販売記録'!$D$5:$D$1004,$F313)))</ns0:f>
        <ns0:v/>
      </ns0:c>
      <ns0:c r="E313" s="12" t="str">
        <ns0:f>IF(OR(A313="",B313=""),"",MAX(0,TODAY()-A313))</ns0:f>
        <ns0:v/>
      </ns0:c>
      <ns0:c r="F313" s="9" t="str">
        <ns0:f>IFERROR(MATCH(ROW()-4,'販売記録'!$L$5:$L$1004,0),"")</ns0:f>
        <ns0:v/>
      </ns0:c>
    </ns0:row>
    <ns0:row r="314">
      <ns0:c r="A314" s="11" t="str">
        <ns0:f>IF($F314="","",IF(INDEX('販売記録'!$K$5:$K$1004,$F314)="","",INDEX('販売記録'!$K$5:$K$1004,$F314)))</ns0:f>
        <ns0:v/>
      </ns0:c>
      <ns0:c r="B314" s="9" t="str">
        <ns0:f>IF($F314="","",IF(INDEX('販売記録'!$B$5:$B$1004,$F314)="","",INDEX('販売記録'!$B$5:$B$1004,$F314)))</ns0:f>
        <ns0:v/>
      </ns0:c>
      <ns0:c r="C314" s="9" t="str">
        <ns0:f>IF($F314="","",IF(INDEX('販売記録'!$C$5:$C$1004,$F314)="","",INDEX('販売記録'!$C$5:$C$1004,$F314)))</ns0:f>
        <ns0:v/>
      </ns0:c>
      <ns0:c r="D314" s="8" t="str">
        <ns0:f>IF($F314="","",IF(INDEX('販売記録'!$D$5:$D$1004,$F314)="","",INDEX('販売記録'!$D$5:$D$1004,$F314)))</ns0:f>
        <ns0:v/>
      </ns0:c>
      <ns0:c r="E314" s="12" t="str">
        <ns0:f>IF(OR(A314="",B314=""),"",MAX(0,TODAY()-A314))</ns0:f>
        <ns0:v/>
      </ns0:c>
      <ns0:c r="F314" s="9" t="str">
        <ns0:f>IFERROR(MATCH(ROW()-4,'販売記録'!$L$5:$L$1004,0),"")</ns0:f>
        <ns0:v/>
      </ns0:c>
    </ns0:row>
    <ns0:row r="315">
      <ns0:c r="A315" s="11" t="str">
        <ns0:f>IF($F315="","",IF(INDEX('販売記録'!$K$5:$K$1004,$F315)="","",INDEX('販売記録'!$K$5:$K$1004,$F315)))</ns0:f>
        <ns0:v/>
      </ns0:c>
      <ns0:c r="B315" s="9" t="str">
        <ns0:f>IF($F315="","",IF(INDEX('販売記録'!$B$5:$B$1004,$F315)="","",INDEX('販売記録'!$B$5:$B$1004,$F315)))</ns0:f>
        <ns0:v/>
      </ns0:c>
      <ns0:c r="C315" s="9" t="str">
        <ns0:f>IF($F315="","",IF(INDEX('販売記録'!$C$5:$C$1004,$F315)="","",INDEX('販売記録'!$C$5:$C$1004,$F315)))</ns0:f>
        <ns0:v/>
      </ns0:c>
      <ns0:c r="D315" s="8" t="str">
        <ns0:f>IF($F315="","",IF(INDEX('販売記録'!$D$5:$D$1004,$F315)="","",INDEX('販売記録'!$D$5:$D$1004,$F315)))</ns0:f>
        <ns0:v/>
      </ns0:c>
      <ns0:c r="E315" s="12" t="str">
        <ns0:f>IF(OR(A315="",B315=""),"",MAX(0,TODAY()-A315))</ns0:f>
        <ns0:v/>
      </ns0:c>
      <ns0:c r="F315" s="9" t="str">
        <ns0:f>IFERROR(MATCH(ROW()-4,'販売記録'!$L$5:$L$1004,0),"")</ns0:f>
        <ns0:v/>
      </ns0:c>
    </ns0:row>
    <ns0:row r="316">
      <ns0:c r="A316" s="11" t="str">
        <ns0:f>IF($F316="","",IF(INDEX('販売記録'!$K$5:$K$1004,$F316)="","",INDEX('販売記録'!$K$5:$K$1004,$F316)))</ns0:f>
        <ns0:v/>
      </ns0:c>
      <ns0:c r="B316" s="9" t="str">
        <ns0:f>IF($F316="","",IF(INDEX('販売記録'!$B$5:$B$1004,$F316)="","",INDEX('販売記録'!$B$5:$B$1004,$F316)))</ns0:f>
        <ns0:v/>
      </ns0:c>
      <ns0:c r="C316" s="9" t="str">
        <ns0:f>IF($F316="","",IF(INDEX('販売記録'!$C$5:$C$1004,$F316)="","",INDEX('販売記録'!$C$5:$C$1004,$F316)))</ns0:f>
        <ns0:v/>
      </ns0:c>
      <ns0:c r="D316" s="8" t="str">
        <ns0:f>IF($F316="","",IF(INDEX('販売記録'!$D$5:$D$1004,$F316)="","",INDEX('販売記録'!$D$5:$D$1004,$F316)))</ns0:f>
        <ns0:v/>
      </ns0:c>
      <ns0:c r="E316" s="12" t="str">
        <ns0:f>IF(OR(A316="",B316=""),"",MAX(0,TODAY()-A316))</ns0:f>
        <ns0:v/>
      </ns0:c>
      <ns0:c r="F316" s="9" t="str">
        <ns0:f>IFERROR(MATCH(ROW()-4,'販売記録'!$L$5:$L$1004,0),"")</ns0:f>
        <ns0:v/>
      </ns0:c>
    </ns0:row>
    <ns0:row r="317">
      <ns0:c r="A317" s="11" t="str">
        <ns0:f>IF($F317="","",IF(INDEX('販売記録'!$K$5:$K$1004,$F317)="","",INDEX('販売記録'!$K$5:$K$1004,$F317)))</ns0:f>
        <ns0:v/>
      </ns0:c>
      <ns0:c r="B317" s="9" t="str">
        <ns0:f>IF($F317="","",IF(INDEX('販売記録'!$B$5:$B$1004,$F317)="","",INDEX('販売記録'!$B$5:$B$1004,$F317)))</ns0:f>
        <ns0:v/>
      </ns0:c>
      <ns0:c r="C317" s="9" t="str">
        <ns0:f>IF($F317="","",IF(INDEX('販売記録'!$C$5:$C$1004,$F317)="","",INDEX('販売記録'!$C$5:$C$1004,$F317)))</ns0:f>
        <ns0:v/>
      </ns0:c>
      <ns0:c r="D317" s="8" t="str">
        <ns0:f>IF($F317="","",IF(INDEX('販売記録'!$D$5:$D$1004,$F317)="","",INDEX('販売記録'!$D$5:$D$1004,$F317)))</ns0:f>
        <ns0:v/>
      </ns0:c>
      <ns0:c r="E317" s="12" t="str">
        <ns0:f>IF(OR(A317="",B317=""),"",MAX(0,TODAY()-A317))</ns0:f>
        <ns0:v/>
      </ns0:c>
      <ns0:c r="F317" s="9" t="str">
        <ns0:f>IFERROR(MATCH(ROW()-4,'販売記録'!$L$5:$L$1004,0),"")</ns0:f>
        <ns0:v/>
      </ns0:c>
    </ns0:row>
    <ns0:row r="318">
      <ns0:c r="A318" s="11" t="str">
        <ns0:f>IF($F318="","",IF(INDEX('販売記録'!$K$5:$K$1004,$F318)="","",INDEX('販売記録'!$K$5:$K$1004,$F318)))</ns0:f>
        <ns0:v/>
      </ns0:c>
      <ns0:c r="B318" s="9" t="str">
        <ns0:f>IF($F318="","",IF(INDEX('販売記録'!$B$5:$B$1004,$F318)="","",INDEX('販売記録'!$B$5:$B$1004,$F318)))</ns0:f>
        <ns0:v/>
      </ns0:c>
      <ns0:c r="C318" s="9" t="str">
        <ns0:f>IF($F318="","",IF(INDEX('販売記録'!$C$5:$C$1004,$F318)="","",INDEX('販売記録'!$C$5:$C$1004,$F318)))</ns0:f>
        <ns0:v/>
      </ns0:c>
      <ns0:c r="D318" s="8" t="str">
        <ns0:f>IF($F318="","",IF(INDEX('販売記録'!$D$5:$D$1004,$F318)="","",INDEX('販売記録'!$D$5:$D$1004,$F318)))</ns0:f>
        <ns0:v/>
      </ns0:c>
      <ns0:c r="E318" s="12" t="str">
        <ns0:f>IF(OR(A318="",B318=""),"",MAX(0,TODAY()-A318))</ns0:f>
        <ns0:v/>
      </ns0:c>
      <ns0:c r="F318" s="9" t="str">
        <ns0:f>IFERROR(MATCH(ROW()-4,'販売記録'!$L$5:$L$1004,0),"")</ns0:f>
        <ns0:v/>
      </ns0:c>
    </ns0:row>
    <ns0:row r="319">
      <ns0:c r="A319" s="11" t="str">
        <ns0:f>IF($F319="","",IF(INDEX('販売記録'!$K$5:$K$1004,$F319)="","",INDEX('販売記録'!$K$5:$K$1004,$F319)))</ns0:f>
        <ns0:v/>
      </ns0:c>
      <ns0:c r="B319" s="9" t="str">
        <ns0:f>IF($F319="","",IF(INDEX('販売記録'!$B$5:$B$1004,$F319)="","",INDEX('販売記録'!$B$5:$B$1004,$F319)))</ns0:f>
        <ns0:v/>
      </ns0:c>
      <ns0:c r="C319" s="9" t="str">
        <ns0:f>IF($F319="","",IF(INDEX('販売記録'!$C$5:$C$1004,$F319)="","",INDEX('販売記録'!$C$5:$C$1004,$F319)))</ns0:f>
        <ns0:v/>
      </ns0:c>
      <ns0:c r="D319" s="8" t="str">
        <ns0:f>IF($F319="","",IF(INDEX('販売記録'!$D$5:$D$1004,$F319)="","",INDEX('販売記録'!$D$5:$D$1004,$F319)))</ns0:f>
        <ns0:v/>
      </ns0:c>
      <ns0:c r="E319" s="12" t="str">
        <ns0:f>IF(OR(A319="",B319=""),"",MAX(0,TODAY()-A319))</ns0:f>
        <ns0:v/>
      </ns0:c>
      <ns0:c r="F319" s="9" t="str">
        <ns0:f>IFERROR(MATCH(ROW()-4,'販売記録'!$L$5:$L$1004,0),"")</ns0:f>
        <ns0:v/>
      </ns0:c>
    </ns0:row>
    <ns0:row r="320">
      <ns0:c r="A320" s="11" t="str">
        <ns0:f>IF($F320="","",IF(INDEX('販売記録'!$K$5:$K$1004,$F320)="","",INDEX('販売記録'!$K$5:$K$1004,$F320)))</ns0:f>
        <ns0:v/>
      </ns0:c>
      <ns0:c r="B320" s="9" t="str">
        <ns0:f>IF($F320="","",IF(INDEX('販売記録'!$B$5:$B$1004,$F320)="","",INDEX('販売記録'!$B$5:$B$1004,$F320)))</ns0:f>
        <ns0:v/>
      </ns0:c>
      <ns0:c r="C320" s="9" t="str">
        <ns0:f>IF($F320="","",IF(INDEX('販売記録'!$C$5:$C$1004,$F320)="","",INDEX('販売記録'!$C$5:$C$1004,$F320)))</ns0:f>
        <ns0:v/>
      </ns0:c>
      <ns0:c r="D320" s="8" t="str">
        <ns0:f>IF($F320="","",IF(INDEX('販売記録'!$D$5:$D$1004,$F320)="","",INDEX('販売記録'!$D$5:$D$1004,$F320)))</ns0:f>
        <ns0:v/>
      </ns0:c>
      <ns0:c r="E320" s="12" t="str">
        <ns0:f>IF(OR(A320="",B320=""),"",MAX(0,TODAY()-A320))</ns0:f>
        <ns0:v/>
      </ns0:c>
      <ns0:c r="F320" s="9" t="str">
        <ns0:f>IFERROR(MATCH(ROW()-4,'販売記録'!$L$5:$L$1004,0),"")</ns0:f>
        <ns0:v/>
      </ns0:c>
    </ns0:row>
    <ns0:row r="321">
      <ns0:c r="A321" s="11" t="str">
        <ns0:f>IF($F321="","",IF(INDEX('販売記録'!$K$5:$K$1004,$F321)="","",INDEX('販売記録'!$K$5:$K$1004,$F321)))</ns0:f>
        <ns0:v/>
      </ns0:c>
      <ns0:c r="B321" s="9" t="str">
        <ns0:f>IF($F321="","",IF(INDEX('販売記録'!$B$5:$B$1004,$F321)="","",INDEX('販売記録'!$B$5:$B$1004,$F321)))</ns0:f>
        <ns0:v/>
      </ns0:c>
      <ns0:c r="C321" s="9" t="str">
        <ns0:f>IF($F321="","",IF(INDEX('販売記録'!$C$5:$C$1004,$F321)="","",INDEX('販売記録'!$C$5:$C$1004,$F321)))</ns0:f>
        <ns0:v/>
      </ns0:c>
      <ns0:c r="D321" s="8" t="str">
        <ns0:f>IF($F321="","",IF(INDEX('販売記録'!$D$5:$D$1004,$F321)="","",INDEX('販売記録'!$D$5:$D$1004,$F321)))</ns0:f>
        <ns0:v/>
      </ns0:c>
      <ns0:c r="E321" s="12" t="str">
        <ns0:f>IF(OR(A321="",B321=""),"",MAX(0,TODAY()-A321))</ns0:f>
        <ns0:v/>
      </ns0:c>
      <ns0:c r="F321" s="9" t="str">
        <ns0:f>IFERROR(MATCH(ROW()-4,'販売記録'!$L$5:$L$1004,0),"")</ns0:f>
        <ns0:v/>
      </ns0:c>
    </ns0:row>
    <ns0:row r="322">
      <ns0:c r="A322" s="11" t="str">
        <ns0:f>IF($F322="","",IF(INDEX('販売記録'!$K$5:$K$1004,$F322)="","",INDEX('販売記録'!$K$5:$K$1004,$F322)))</ns0:f>
        <ns0:v/>
      </ns0:c>
      <ns0:c r="B322" s="9" t="str">
        <ns0:f>IF($F322="","",IF(INDEX('販売記録'!$B$5:$B$1004,$F322)="","",INDEX('販売記録'!$B$5:$B$1004,$F322)))</ns0:f>
        <ns0:v/>
      </ns0:c>
      <ns0:c r="C322" s="9" t="str">
        <ns0:f>IF($F322="","",IF(INDEX('販売記録'!$C$5:$C$1004,$F322)="","",INDEX('販売記録'!$C$5:$C$1004,$F322)))</ns0:f>
        <ns0:v/>
      </ns0:c>
      <ns0:c r="D322" s="8" t="str">
        <ns0:f>IF($F322="","",IF(INDEX('販売記録'!$D$5:$D$1004,$F322)="","",INDEX('販売記録'!$D$5:$D$1004,$F322)))</ns0:f>
        <ns0:v/>
      </ns0:c>
      <ns0:c r="E322" s="12" t="str">
        <ns0:f>IF(OR(A322="",B322=""),"",MAX(0,TODAY()-A322))</ns0:f>
        <ns0:v/>
      </ns0:c>
      <ns0:c r="F322" s="9" t="str">
        <ns0:f>IFERROR(MATCH(ROW()-4,'販売記録'!$L$5:$L$1004,0),"")</ns0:f>
        <ns0:v/>
      </ns0:c>
    </ns0:row>
    <ns0:row r="323">
      <ns0:c r="A323" s="11" t="str">
        <ns0:f>IF($F323="","",IF(INDEX('販売記録'!$K$5:$K$1004,$F323)="","",INDEX('販売記録'!$K$5:$K$1004,$F323)))</ns0:f>
        <ns0:v/>
      </ns0:c>
      <ns0:c r="B323" s="9" t="str">
        <ns0:f>IF($F323="","",IF(INDEX('販売記録'!$B$5:$B$1004,$F323)="","",INDEX('販売記録'!$B$5:$B$1004,$F323)))</ns0:f>
        <ns0:v/>
      </ns0:c>
      <ns0:c r="C323" s="9" t="str">
        <ns0:f>IF($F323="","",IF(INDEX('販売記録'!$C$5:$C$1004,$F323)="","",INDEX('販売記録'!$C$5:$C$1004,$F323)))</ns0:f>
        <ns0:v/>
      </ns0:c>
      <ns0:c r="D323" s="8" t="str">
        <ns0:f>IF($F323="","",IF(INDEX('販売記録'!$D$5:$D$1004,$F323)="","",INDEX('販売記録'!$D$5:$D$1004,$F323)))</ns0:f>
        <ns0:v/>
      </ns0:c>
      <ns0:c r="E323" s="12" t="str">
        <ns0:f>IF(OR(A323="",B323=""),"",MAX(0,TODAY()-A323))</ns0:f>
        <ns0:v/>
      </ns0:c>
      <ns0:c r="F323" s="9" t="str">
        <ns0:f>IFERROR(MATCH(ROW()-4,'販売記録'!$L$5:$L$1004,0),"")</ns0:f>
        <ns0:v/>
      </ns0:c>
    </ns0:row>
    <ns0:row r="324">
      <ns0:c r="A324" s="11" t="str">
        <ns0:f>IF($F324="","",IF(INDEX('販売記録'!$K$5:$K$1004,$F324)="","",INDEX('販売記録'!$K$5:$K$1004,$F324)))</ns0:f>
        <ns0:v/>
      </ns0:c>
      <ns0:c r="B324" s="9" t="str">
        <ns0:f>IF($F324="","",IF(INDEX('販売記録'!$B$5:$B$1004,$F324)="","",INDEX('販売記録'!$B$5:$B$1004,$F324)))</ns0:f>
        <ns0:v/>
      </ns0:c>
      <ns0:c r="C324" s="9" t="str">
        <ns0:f>IF($F324="","",IF(INDEX('販売記録'!$C$5:$C$1004,$F324)="","",INDEX('販売記録'!$C$5:$C$1004,$F324)))</ns0:f>
        <ns0:v/>
      </ns0:c>
      <ns0:c r="D324" s="8" t="str">
        <ns0:f>IF($F324="","",IF(INDEX('販売記録'!$D$5:$D$1004,$F324)="","",INDEX('販売記録'!$D$5:$D$1004,$F324)))</ns0:f>
        <ns0:v/>
      </ns0:c>
      <ns0:c r="E324" s="12" t="str">
        <ns0:f>IF(OR(A324="",B324=""),"",MAX(0,TODAY()-A324))</ns0:f>
        <ns0:v/>
      </ns0:c>
      <ns0:c r="F324" s="9" t="str">
        <ns0:f>IFERROR(MATCH(ROW()-4,'販売記録'!$L$5:$L$1004,0),"")</ns0:f>
        <ns0:v/>
      </ns0:c>
    </ns0:row>
    <ns0:row r="325">
      <ns0:c r="A325" s="11" t="str">
        <ns0:f>IF($F325="","",IF(INDEX('販売記録'!$K$5:$K$1004,$F325)="","",INDEX('販売記録'!$K$5:$K$1004,$F325)))</ns0:f>
        <ns0:v/>
      </ns0:c>
      <ns0:c r="B325" s="9" t="str">
        <ns0:f>IF($F325="","",IF(INDEX('販売記録'!$B$5:$B$1004,$F325)="","",INDEX('販売記録'!$B$5:$B$1004,$F325)))</ns0:f>
        <ns0:v/>
      </ns0:c>
      <ns0:c r="C325" s="9" t="str">
        <ns0:f>IF($F325="","",IF(INDEX('販売記録'!$C$5:$C$1004,$F325)="","",INDEX('販売記録'!$C$5:$C$1004,$F325)))</ns0:f>
        <ns0:v/>
      </ns0:c>
      <ns0:c r="D325" s="8" t="str">
        <ns0:f>IF($F325="","",IF(INDEX('販売記録'!$D$5:$D$1004,$F325)="","",INDEX('販売記録'!$D$5:$D$1004,$F325)))</ns0:f>
        <ns0:v/>
      </ns0:c>
      <ns0:c r="E325" s="12" t="str">
        <ns0:f>IF(OR(A325="",B325=""),"",MAX(0,TODAY()-A325))</ns0:f>
        <ns0:v/>
      </ns0:c>
      <ns0:c r="F325" s="9" t="str">
        <ns0:f>IFERROR(MATCH(ROW()-4,'販売記録'!$L$5:$L$1004,0),"")</ns0:f>
        <ns0:v/>
      </ns0:c>
    </ns0:row>
    <ns0:row r="326">
      <ns0:c r="A326" s="11" t="str">
        <ns0:f>IF($F326="","",IF(INDEX('販売記録'!$K$5:$K$1004,$F326)="","",INDEX('販売記録'!$K$5:$K$1004,$F326)))</ns0:f>
        <ns0:v/>
      </ns0:c>
      <ns0:c r="B326" s="9" t="str">
        <ns0:f>IF($F326="","",IF(INDEX('販売記録'!$B$5:$B$1004,$F326)="","",INDEX('販売記録'!$B$5:$B$1004,$F326)))</ns0:f>
        <ns0:v/>
      </ns0:c>
      <ns0:c r="C326" s="9" t="str">
        <ns0:f>IF($F326="","",IF(INDEX('販売記録'!$C$5:$C$1004,$F326)="","",INDEX('販売記録'!$C$5:$C$1004,$F326)))</ns0:f>
        <ns0:v/>
      </ns0:c>
      <ns0:c r="D326" s="8" t="str">
        <ns0:f>IF($F326="","",IF(INDEX('販売記録'!$D$5:$D$1004,$F326)="","",INDEX('販売記録'!$D$5:$D$1004,$F326)))</ns0:f>
        <ns0:v/>
      </ns0:c>
      <ns0:c r="E326" s="12" t="str">
        <ns0:f>IF(OR(A326="",B326=""),"",MAX(0,TODAY()-A326))</ns0:f>
        <ns0:v/>
      </ns0:c>
      <ns0:c r="F326" s="9" t="str">
        <ns0:f>IFERROR(MATCH(ROW()-4,'販売記録'!$L$5:$L$1004,0),"")</ns0:f>
        <ns0:v/>
      </ns0:c>
    </ns0:row>
    <ns0:row r="327">
      <ns0:c r="A327" s="11" t="str">
        <ns0:f>IF($F327="","",IF(INDEX('販売記録'!$K$5:$K$1004,$F327)="","",INDEX('販売記録'!$K$5:$K$1004,$F327)))</ns0:f>
        <ns0:v/>
      </ns0:c>
      <ns0:c r="B327" s="9" t="str">
        <ns0:f>IF($F327="","",IF(INDEX('販売記録'!$B$5:$B$1004,$F327)="","",INDEX('販売記録'!$B$5:$B$1004,$F327)))</ns0:f>
        <ns0:v/>
      </ns0:c>
      <ns0:c r="C327" s="9" t="str">
        <ns0:f>IF($F327="","",IF(INDEX('販売記録'!$C$5:$C$1004,$F327)="","",INDEX('販売記録'!$C$5:$C$1004,$F327)))</ns0:f>
        <ns0:v/>
      </ns0:c>
      <ns0:c r="D327" s="8" t="str">
        <ns0:f>IF($F327="","",IF(INDEX('販売記録'!$D$5:$D$1004,$F327)="","",INDEX('販売記録'!$D$5:$D$1004,$F327)))</ns0:f>
        <ns0:v/>
      </ns0:c>
      <ns0:c r="E327" s="12" t="str">
        <ns0:f>IF(OR(A327="",B327=""),"",MAX(0,TODAY()-A327))</ns0:f>
        <ns0:v/>
      </ns0:c>
      <ns0:c r="F327" s="9" t="str">
        <ns0:f>IFERROR(MATCH(ROW()-4,'販売記録'!$L$5:$L$1004,0),"")</ns0:f>
        <ns0:v/>
      </ns0:c>
    </ns0:row>
    <ns0:row r="328">
      <ns0:c r="A328" s="11" t="str">
        <ns0:f>IF($F328="","",IF(INDEX('販売記録'!$K$5:$K$1004,$F328)="","",INDEX('販売記録'!$K$5:$K$1004,$F328)))</ns0:f>
        <ns0:v/>
      </ns0:c>
      <ns0:c r="B328" s="9" t="str">
        <ns0:f>IF($F328="","",IF(INDEX('販売記録'!$B$5:$B$1004,$F328)="","",INDEX('販売記録'!$B$5:$B$1004,$F328)))</ns0:f>
        <ns0:v/>
      </ns0:c>
      <ns0:c r="C328" s="9" t="str">
        <ns0:f>IF($F328="","",IF(INDEX('販売記録'!$C$5:$C$1004,$F328)="","",INDEX('販売記録'!$C$5:$C$1004,$F328)))</ns0:f>
        <ns0:v/>
      </ns0:c>
      <ns0:c r="D328" s="8" t="str">
        <ns0:f>IF($F328="","",IF(INDEX('販売記録'!$D$5:$D$1004,$F328)="","",INDEX('販売記録'!$D$5:$D$1004,$F328)))</ns0:f>
        <ns0:v/>
      </ns0:c>
      <ns0:c r="E328" s="12" t="str">
        <ns0:f>IF(OR(A328="",B328=""),"",MAX(0,TODAY()-A328))</ns0:f>
        <ns0:v/>
      </ns0:c>
      <ns0:c r="F328" s="9" t="str">
        <ns0:f>IFERROR(MATCH(ROW()-4,'販売記録'!$L$5:$L$1004,0),"")</ns0:f>
        <ns0:v/>
      </ns0:c>
    </ns0:row>
    <ns0:row r="329">
      <ns0:c r="A329" s="11" t="str">
        <ns0:f>IF($F329="","",IF(INDEX('販売記録'!$K$5:$K$1004,$F329)="","",INDEX('販売記録'!$K$5:$K$1004,$F329)))</ns0:f>
        <ns0:v/>
      </ns0:c>
      <ns0:c r="B329" s="9" t="str">
        <ns0:f>IF($F329="","",IF(INDEX('販売記録'!$B$5:$B$1004,$F329)="","",INDEX('販売記録'!$B$5:$B$1004,$F329)))</ns0:f>
        <ns0:v/>
      </ns0:c>
      <ns0:c r="C329" s="9" t="str">
        <ns0:f>IF($F329="","",IF(INDEX('販売記録'!$C$5:$C$1004,$F329)="","",INDEX('販売記録'!$C$5:$C$1004,$F329)))</ns0:f>
        <ns0:v/>
      </ns0:c>
      <ns0:c r="D329" s="8" t="str">
        <ns0:f>IF($F329="","",IF(INDEX('販売記録'!$D$5:$D$1004,$F329)="","",INDEX('販売記録'!$D$5:$D$1004,$F329)))</ns0:f>
        <ns0:v/>
      </ns0:c>
      <ns0:c r="E329" s="12" t="str">
        <ns0:f>IF(OR(A329="",B329=""),"",MAX(0,TODAY()-A329))</ns0:f>
        <ns0:v/>
      </ns0:c>
      <ns0:c r="F329" s="9" t="str">
        <ns0:f>IFERROR(MATCH(ROW()-4,'販売記録'!$L$5:$L$1004,0),"")</ns0:f>
        <ns0:v/>
      </ns0:c>
    </ns0:row>
    <ns0:row r="330">
      <ns0:c r="A330" s="11" t="str">
        <ns0:f>IF($F330="","",IF(INDEX('販売記録'!$K$5:$K$1004,$F330)="","",INDEX('販売記録'!$K$5:$K$1004,$F330)))</ns0:f>
        <ns0:v/>
      </ns0:c>
      <ns0:c r="B330" s="9" t="str">
        <ns0:f>IF($F330="","",IF(INDEX('販売記録'!$B$5:$B$1004,$F330)="","",INDEX('販売記録'!$B$5:$B$1004,$F330)))</ns0:f>
        <ns0:v/>
      </ns0:c>
      <ns0:c r="C330" s="9" t="str">
        <ns0:f>IF($F330="","",IF(INDEX('販売記録'!$C$5:$C$1004,$F330)="","",INDEX('販売記録'!$C$5:$C$1004,$F330)))</ns0:f>
        <ns0:v/>
      </ns0:c>
      <ns0:c r="D330" s="8" t="str">
        <ns0:f>IF($F330="","",IF(INDEX('販売記録'!$D$5:$D$1004,$F330)="","",INDEX('販売記録'!$D$5:$D$1004,$F330)))</ns0:f>
        <ns0:v/>
      </ns0:c>
      <ns0:c r="E330" s="12" t="str">
        <ns0:f>IF(OR(A330="",B330=""),"",MAX(0,TODAY()-A330))</ns0:f>
        <ns0:v/>
      </ns0:c>
      <ns0:c r="F330" s="9" t="str">
        <ns0:f>IFERROR(MATCH(ROW()-4,'販売記録'!$L$5:$L$1004,0),"")</ns0:f>
        <ns0:v/>
      </ns0:c>
    </ns0:row>
    <ns0:row r="331">
      <ns0:c r="A331" s="11" t="str">
        <ns0:f>IF($F331="","",IF(INDEX('販売記録'!$K$5:$K$1004,$F331)="","",INDEX('販売記録'!$K$5:$K$1004,$F331)))</ns0:f>
        <ns0:v/>
      </ns0:c>
      <ns0:c r="B331" s="9" t="str">
        <ns0:f>IF($F331="","",IF(INDEX('販売記録'!$B$5:$B$1004,$F331)="","",INDEX('販売記録'!$B$5:$B$1004,$F331)))</ns0:f>
        <ns0:v/>
      </ns0:c>
      <ns0:c r="C331" s="9" t="str">
        <ns0:f>IF($F331="","",IF(INDEX('販売記録'!$C$5:$C$1004,$F331)="","",INDEX('販売記録'!$C$5:$C$1004,$F331)))</ns0:f>
        <ns0:v/>
      </ns0:c>
      <ns0:c r="D331" s="8" t="str">
        <ns0:f>IF($F331="","",IF(INDEX('販売記録'!$D$5:$D$1004,$F331)="","",INDEX('販売記録'!$D$5:$D$1004,$F331)))</ns0:f>
        <ns0:v/>
      </ns0:c>
      <ns0:c r="E331" s="12" t="str">
        <ns0:f>IF(OR(A331="",B331=""),"",MAX(0,TODAY()-A331))</ns0:f>
        <ns0:v/>
      </ns0:c>
      <ns0:c r="F331" s="9" t="str">
        <ns0:f>IFERROR(MATCH(ROW()-4,'販売記録'!$L$5:$L$1004,0),"")</ns0:f>
        <ns0:v/>
      </ns0:c>
    </ns0:row>
    <ns0:row r="332">
      <ns0:c r="A332" s="11" t="str">
        <ns0:f>IF($F332="","",IF(INDEX('販売記録'!$K$5:$K$1004,$F332)="","",INDEX('販売記録'!$K$5:$K$1004,$F332)))</ns0:f>
        <ns0:v/>
      </ns0:c>
      <ns0:c r="B332" s="9" t="str">
        <ns0:f>IF($F332="","",IF(INDEX('販売記録'!$B$5:$B$1004,$F332)="","",INDEX('販売記録'!$B$5:$B$1004,$F332)))</ns0:f>
        <ns0:v/>
      </ns0:c>
      <ns0:c r="C332" s="9" t="str">
        <ns0:f>IF($F332="","",IF(INDEX('販売記録'!$C$5:$C$1004,$F332)="","",INDEX('販売記録'!$C$5:$C$1004,$F332)))</ns0:f>
        <ns0:v/>
      </ns0:c>
      <ns0:c r="D332" s="8" t="str">
        <ns0:f>IF($F332="","",IF(INDEX('販売記録'!$D$5:$D$1004,$F332)="","",INDEX('販売記録'!$D$5:$D$1004,$F332)))</ns0:f>
        <ns0:v/>
      </ns0:c>
      <ns0:c r="E332" s="12" t="str">
        <ns0:f>IF(OR(A332="",B332=""),"",MAX(0,TODAY()-A332))</ns0:f>
        <ns0:v/>
      </ns0:c>
      <ns0:c r="F332" s="9" t="str">
        <ns0:f>IFERROR(MATCH(ROW()-4,'販売記録'!$L$5:$L$1004,0),"")</ns0:f>
        <ns0:v/>
      </ns0:c>
    </ns0:row>
    <ns0:row r="333">
      <ns0:c r="A333" s="11" t="str">
        <ns0:f>IF($F333="","",IF(INDEX('販売記録'!$K$5:$K$1004,$F333)="","",INDEX('販売記録'!$K$5:$K$1004,$F333)))</ns0:f>
        <ns0:v/>
      </ns0:c>
      <ns0:c r="B333" s="9" t="str">
        <ns0:f>IF($F333="","",IF(INDEX('販売記録'!$B$5:$B$1004,$F333)="","",INDEX('販売記録'!$B$5:$B$1004,$F333)))</ns0:f>
        <ns0:v/>
      </ns0:c>
      <ns0:c r="C333" s="9" t="str">
        <ns0:f>IF($F333="","",IF(INDEX('販売記録'!$C$5:$C$1004,$F333)="","",INDEX('販売記録'!$C$5:$C$1004,$F333)))</ns0:f>
        <ns0:v/>
      </ns0:c>
      <ns0:c r="D333" s="8" t="str">
        <ns0:f>IF($F333="","",IF(INDEX('販売記録'!$D$5:$D$1004,$F333)="","",INDEX('販売記録'!$D$5:$D$1004,$F333)))</ns0:f>
        <ns0:v/>
      </ns0:c>
      <ns0:c r="E333" s="12" t="str">
        <ns0:f>IF(OR(A333="",B333=""),"",MAX(0,TODAY()-A333))</ns0:f>
        <ns0:v/>
      </ns0:c>
      <ns0:c r="F333" s="9" t="str">
        <ns0:f>IFERROR(MATCH(ROW()-4,'販売記録'!$L$5:$L$1004,0),"")</ns0:f>
        <ns0:v/>
      </ns0:c>
    </ns0:row>
    <ns0:row r="334">
      <ns0:c r="A334" s="11" t="str">
        <ns0:f>IF($F334="","",IF(INDEX('販売記録'!$K$5:$K$1004,$F334)="","",INDEX('販売記録'!$K$5:$K$1004,$F334)))</ns0:f>
        <ns0:v/>
      </ns0:c>
      <ns0:c r="B334" s="9" t="str">
        <ns0:f>IF($F334="","",IF(INDEX('販売記録'!$B$5:$B$1004,$F334)="","",INDEX('販売記録'!$B$5:$B$1004,$F334)))</ns0:f>
        <ns0:v/>
      </ns0:c>
      <ns0:c r="C334" s="9" t="str">
        <ns0:f>IF($F334="","",IF(INDEX('販売記録'!$C$5:$C$1004,$F334)="","",INDEX('販売記録'!$C$5:$C$1004,$F334)))</ns0:f>
        <ns0:v/>
      </ns0:c>
      <ns0:c r="D334" s="8" t="str">
        <ns0:f>IF($F334="","",IF(INDEX('販売記録'!$D$5:$D$1004,$F334)="","",INDEX('販売記録'!$D$5:$D$1004,$F334)))</ns0:f>
        <ns0:v/>
      </ns0:c>
      <ns0:c r="E334" s="12" t="str">
        <ns0:f>IF(OR(A334="",B334=""),"",MAX(0,TODAY()-A334))</ns0:f>
        <ns0:v/>
      </ns0:c>
      <ns0:c r="F334" s="9" t="str">
        <ns0:f>IFERROR(MATCH(ROW()-4,'販売記録'!$L$5:$L$1004,0),"")</ns0:f>
        <ns0:v/>
      </ns0:c>
    </ns0:row>
    <ns0:row r="335">
      <ns0:c r="A335" s="11" t="str">
        <ns0:f>IF($F335="","",IF(INDEX('販売記録'!$K$5:$K$1004,$F335)="","",INDEX('販売記録'!$K$5:$K$1004,$F335)))</ns0:f>
        <ns0:v/>
      </ns0:c>
      <ns0:c r="B335" s="9" t="str">
        <ns0:f>IF($F335="","",IF(INDEX('販売記録'!$B$5:$B$1004,$F335)="","",INDEX('販売記録'!$B$5:$B$1004,$F335)))</ns0:f>
        <ns0:v/>
      </ns0:c>
      <ns0:c r="C335" s="9" t="str">
        <ns0:f>IF($F335="","",IF(INDEX('販売記録'!$C$5:$C$1004,$F335)="","",INDEX('販売記録'!$C$5:$C$1004,$F335)))</ns0:f>
        <ns0:v/>
      </ns0:c>
      <ns0:c r="D335" s="8" t="str">
        <ns0:f>IF($F335="","",IF(INDEX('販売記録'!$D$5:$D$1004,$F335)="","",INDEX('販売記録'!$D$5:$D$1004,$F335)))</ns0:f>
        <ns0:v/>
      </ns0:c>
      <ns0:c r="E335" s="12" t="str">
        <ns0:f>IF(OR(A335="",B335=""),"",MAX(0,TODAY()-A335))</ns0:f>
        <ns0:v/>
      </ns0:c>
      <ns0:c r="F335" s="9" t="str">
        <ns0:f>IFERROR(MATCH(ROW()-4,'販売記録'!$L$5:$L$1004,0),"")</ns0:f>
        <ns0:v/>
      </ns0:c>
    </ns0:row>
    <ns0:row r="336">
      <ns0:c r="A336" s="11" t="str">
        <ns0:f>IF($F336="","",IF(INDEX('販売記録'!$K$5:$K$1004,$F336)="","",INDEX('販売記録'!$K$5:$K$1004,$F336)))</ns0:f>
        <ns0:v/>
      </ns0:c>
      <ns0:c r="B336" s="9" t="str">
        <ns0:f>IF($F336="","",IF(INDEX('販売記録'!$B$5:$B$1004,$F336)="","",INDEX('販売記録'!$B$5:$B$1004,$F336)))</ns0:f>
        <ns0:v/>
      </ns0:c>
      <ns0:c r="C336" s="9" t="str">
        <ns0:f>IF($F336="","",IF(INDEX('販売記録'!$C$5:$C$1004,$F336)="","",INDEX('販売記録'!$C$5:$C$1004,$F336)))</ns0:f>
        <ns0:v/>
      </ns0:c>
      <ns0:c r="D336" s="8" t="str">
        <ns0:f>IF($F336="","",IF(INDEX('販売記録'!$D$5:$D$1004,$F336)="","",INDEX('販売記録'!$D$5:$D$1004,$F336)))</ns0:f>
        <ns0:v/>
      </ns0:c>
      <ns0:c r="E336" s="12" t="str">
        <ns0:f>IF(OR(A336="",B336=""),"",MAX(0,TODAY()-A336))</ns0:f>
        <ns0:v/>
      </ns0:c>
      <ns0:c r="F336" s="9" t="str">
        <ns0:f>IFERROR(MATCH(ROW()-4,'販売記録'!$L$5:$L$1004,0),"")</ns0:f>
        <ns0:v/>
      </ns0:c>
    </ns0:row>
    <ns0:row r="337">
      <ns0:c r="A337" s="11" t="str">
        <ns0:f>IF($F337="","",IF(INDEX('販売記録'!$K$5:$K$1004,$F337)="","",INDEX('販売記録'!$K$5:$K$1004,$F337)))</ns0:f>
        <ns0:v/>
      </ns0:c>
      <ns0:c r="B337" s="9" t="str">
        <ns0:f>IF($F337="","",IF(INDEX('販売記録'!$B$5:$B$1004,$F337)="","",INDEX('販売記録'!$B$5:$B$1004,$F337)))</ns0:f>
        <ns0:v/>
      </ns0:c>
      <ns0:c r="C337" s="9" t="str">
        <ns0:f>IF($F337="","",IF(INDEX('販売記録'!$C$5:$C$1004,$F337)="","",INDEX('販売記録'!$C$5:$C$1004,$F337)))</ns0:f>
        <ns0:v/>
      </ns0:c>
      <ns0:c r="D337" s="8" t="str">
        <ns0:f>IF($F337="","",IF(INDEX('販売記録'!$D$5:$D$1004,$F337)="","",INDEX('販売記録'!$D$5:$D$1004,$F337)))</ns0:f>
        <ns0:v/>
      </ns0:c>
      <ns0:c r="E337" s="12" t="str">
        <ns0:f>IF(OR(A337="",B337=""),"",MAX(0,TODAY()-A337))</ns0:f>
        <ns0:v/>
      </ns0:c>
      <ns0:c r="F337" s="9" t="str">
        <ns0:f>IFERROR(MATCH(ROW()-4,'販売記録'!$L$5:$L$1004,0),"")</ns0:f>
        <ns0:v/>
      </ns0:c>
    </ns0:row>
    <ns0:row r="338">
      <ns0:c r="A338" s="11" t="str">
        <ns0:f>IF($F338="","",IF(INDEX('販売記録'!$K$5:$K$1004,$F338)="","",INDEX('販売記録'!$K$5:$K$1004,$F338)))</ns0:f>
        <ns0:v/>
      </ns0:c>
      <ns0:c r="B338" s="9" t="str">
        <ns0:f>IF($F338="","",IF(INDEX('販売記録'!$B$5:$B$1004,$F338)="","",INDEX('販売記録'!$B$5:$B$1004,$F338)))</ns0:f>
        <ns0:v/>
      </ns0:c>
      <ns0:c r="C338" s="9" t="str">
        <ns0:f>IF($F338="","",IF(INDEX('販売記録'!$C$5:$C$1004,$F338)="","",INDEX('販売記録'!$C$5:$C$1004,$F338)))</ns0:f>
        <ns0:v/>
      </ns0:c>
      <ns0:c r="D338" s="8" t="str">
        <ns0:f>IF($F338="","",IF(INDEX('販売記録'!$D$5:$D$1004,$F338)="","",INDEX('販売記録'!$D$5:$D$1004,$F338)))</ns0:f>
        <ns0:v/>
      </ns0:c>
      <ns0:c r="E338" s="12" t="str">
        <ns0:f>IF(OR(A338="",B338=""),"",MAX(0,TODAY()-A338))</ns0:f>
        <ns0:v/>
      </ns0:c>
      <ns0:c r="F338" s="9" t="str">
        <ns0:f>IFERROR(MATCH(ROW()-4,'販売記録'!$L$5:$L$1004,0),"")</ns0:f>
        <ns0:v/>
      </ns0:c>
    </ns0:row>
    <ns0:row r="339">
      <ns0:c r="A339" s="11" t="str">
        <ns0:f>IF($F339="","",IF(INDEX('販売記録'!$K$5:$K$1004,$F339)="","",INDEX('販売記録'!$K$5:$K$1004,$F339)))</ns0:f>
        <ns0:v/>
      </ns0:c>
      <ns0:c r="B339" s="9" t="str">
        <ns0:f>IF($F339="","",IF(INDEX('販売記録'!$B$5:$B$1004,$F339)="","",INDEX('販売記録'!$B$5:$B$1004,$F339)))</ns0:f>
        <ns0:v/>
      </ns0:c>
      <ns0:c r="C339" s="9" t="str">
        <ns0:f>IF($F339="","",IF(INDEX('販売記録'!$C$5:$C$1004,$F339)="","",INDEX('販売記録'!$C$5:$C$1004,$F339)))</ns0:f>
        <ns0:v/>
      </ns0:c>
      <ns0:c r="D339" s="8" t="str">
        <ns0:f>IF($F339="","",IF(INDEX('販売記録'!$D$5:$D$1004,$F339)="","",INDEX('販売記録'!$D$5:$D$1004,$F339)))</ns0:f>
        <ns0:v/>
      </ns0:c>
      <ns0:c r="E339" s="12" t="str">
        <ns0:f>IF(OR(A339="",B339=""),"",MAX(0,TODAY()-A339))</ns0:f>
        <ns0:v/>
      </ns0:c>
      <ns0:c r="F339" s="9" t="str">
        <ns0:f>IFERROR(MATCH(ROW()-4,'販売記録'!$L$5:$L$1004,0),"")</ns0:f>
        <ns0:v/>
      </ns0:c>
    </ns0:row>
    <ns0:row r="340">
      <ns0:c r="A340" s="11" t="str">
        <ns0:f>IF($F340="","",IF(INDEX('販売記録'!$K$5:$K$1004,$F340)="","",INDEX('販売記録'!$K$5:$K$1004,$F340)))</ns0:f>
        <ns0:v/>
      </ns0:c>
      <ns0:c r="B340" s="9" t="str">
        <ns0:f>IF($F340="","",IF(INDEX('販売記録'!$B$5:$B$1004,$F340)="","",INDEX('販売記録'!$B$5:$B$1004,$F340)))</ns0:f>
        <ns0:v/>
      </ns0:c>
      <ns0:c r="C340" s="9" t="str">
        <ns0:f>IF($F340="","",IF(INDEX('販売記録'!$C$5:$C$1004,$F340)="","",INDEX('販売記録'!$C$5:$C$1004,$F340)))</ns0:f>
        <ns0:v/>
      </ns0:c>
      <ns0:c r="D340" s="8" t="str">
        <ns0:f>IF($F340="","",IF(INDEX('販売記録'!$D$5:$D$1004,$F340)="","",INDEX('販売記録'!$D$5:$D$1004,$F340)))</ns0:f>
        <ns0:v/>
      </ns0:c>
      <ns0:c r="E340" s="12" t="str">
        <ns0:f>IF(OR(A340="",B340=""),"",MAX(0,TODAY()-A340))</ns0:f>
        <ns0:v/>
      </ns0:c>
      <ns0:c r="F340" s="9" t="str">
        <ns0:f>IFERROR(MATCH(ROW()-4,'販売記録'!$L$5:$L$1004,0),"")</ns0:f>
        <ns0:v/>
      </ns0:c>
    </ns0:row>
    <ns0:row r="341">
      <ns0:c r="A341" s="11" t="str">
        <ns0:f>IF($F341="","",IF(INDEX('販売記録'!$K$5:$K$1004,$F341)="","",INDEX('販売記録'!$K$5:$K$1004,$F341)))</ns0:f>
        <ns0:v/>
      </ns0:c>
      <ns0:c r="B341" s="9" t="str">
        <ns0:f>IF($F341="","",IF(INDEX('販売記録'!$B$5:$B$1004,$F341)="","",INDEX('販売記録'!$B$5:$B$1004,$F341)))</ns0:f>
        <ns0:v/>
      </ns0:c>
      <ns0:c r="C341" s="9" t="str">
        <ns0:f>IF($F341="","",IF(INDEX('販売記録'!$C$5:$C$1004,$F341)="","",INDEX('販売記録'!$C$5:$C$1004,$F341)))</ns0:f>
        <ns0:v/>
      </ns0:c>
      <ns0:c r="D341" s="8" t="str">
        <ns0:f>IF($F341="","",IF(INDEX('販売記録'!$D$5:$D$1004,$F341)="","",INDEX('販売記録'!$D$5:$D$1004,$F341)))</ns0:f>
        <ns0:v/>
      </ns0:c>
      <ns0:c r="E341" s="12" t="str">
        <ns0:f>IF(OR(A341="",B341=""),"",MAX(0,TODAY()-A341))</ns0:f>
        <ns0:v/>
      </ns0:c>
      <ns0:c r="F341" s="9" t="str">
        <ns0:f>IFERROR(MATCH(ROW()-4,'販売記録'!$L$5:$L$1004,0),"")</ns0:f>
        <ns0:v/>
      </ns0:c>
    </ns0:row>
    <ns0:row r="342">
      <ns0:c r="A342" s="11" t="str">
        <ns0:f>IF($F342="","",IF(INDEX('販売記録'!$K$5:$K$1004,$F342)="","",INDEX('販売記録'!$K$5:$K$1004,$F342)))</ns0:f>
        <ns0:v/>
      </ns0:c>
      <ns0:c r="B342" s="9" t="str">
        <ns0:f>IF($F342="","",IF(INDEX('販売記録'!$B$5:$B$1004,$F342)="","",INDEX('販売記録'!$B$5:$B$1004,$F342)))</ns0:f>
        <ns0:v/>
      </ns0:c>
      <ns0:c r="C342" s="9" t="str">
        <ns0:f>IF($F342="","",IF(INDEX('販売記録'!$C$5:$C$1004,$F342)="","",INDEX('販売記録'!$C$5:$C$1004,$F342)))</ns0:f>
        <ns0:v/>
      </ns0:c>
      <ns0:c r="D342" s="8" t="str">
        <ns0:f>IF($F342="","",IF(INDEX('販売記録'!$D$5:$D$1004,$F342)="","",INDEX('販売記録'!$D$5:$D$1004,$F342)))</ns0:f>
        <ns0:v/>
      </ns0:c>
      <ns0:c r="E342" s="12" t="str">
        <ns0:f>IF(OR(A342="",B342=""),"",MAX(0,TODAY()-A342))</ns0:f>
        <ns0:v/>
      </ns0:c>
      <ns0:c r="F342" s="9" t="str">
        <ns0:f>IFERROR(MATCH(ROW()-4,'販売記録'!$L$5:$L$1004,0),"")</ns0:f>
        <ns0:v/>
      </ns0:c>
    </ns0:row>
    <ns0:row r="343">
      <ns0:c r="A343" s="11" t="str">
        <ns0:f>IF($F343="","",IF(INDEX('販売記録'!$K$5:$K$1004,$F343)="","",INDEX('販売記録'!$K$5:$K$1004,$F343)))</ns0:f>
        <ns0:v/>
      </ns0:c>
      <ns0:c r="B343" s="9" t="str">
        <ns0:f>IF($F343="","",IF(INDEX('販売記録'!$B$5:$B$1004,$F343)="","",INDEX('販売記録'!$B$5:$B$1004,$F343)))</ns0:f>
        <ns0:v/>
      </ns0:c>
      <ns0:c r="C343" s="9" t="str">
        <ns0:f>IF($F343="","",IF(INDEX('販売記録'!$C$5:$C$1004,$F343)="","",INDEX('販売記録'!$C$5:$C$1004,$F343)))</ns0:f>
        <ns0:v/>
      </ns0:c>
      <ns0:c r="D343" s="8" t="str">
        <ns0:f>IF($F343="","",IF(INDEX('販売記録'!$D$5:$D$1004,$F343)="","",INDEX('販売記録'!$D$5:$D$1004,$F343)))</ns0:f>
        <ns0:v/>
      </ns0:c>
      <ns0:c r="E343" s="12" t="str">
        <ns0:f>IF(OR(A343="",B343=""),"",MAX(0,TODAY()-A343))</ns0:f>
        <ns0:v/>
      </ns0:c>
      <ns0:c r="F343" s="9" t="str">
        <ns0:f>IFERROR(MATCH(ROW()-4,'販売記録'!$L$5:$L$1004,0),"")</ns0:f>
        <ns0:v/>
      </ns0:c>
    </ns0:row>
    <ns0:row r="344">
      <ns0:c r="A344" s="11" t="str">
        <ns0:f>IF($F344="","",IF(INDEX('販売記録'!$K$5:$K$1004,$F344)="","",INDEX('販売記録'!$K$5:$K$1004,$F344)))</ns0:f>
        <ns0:v/>
      </ns0:c>
      <ns0:c r="B344" s="9" t="str">
        <ns0:f>IF($F344="","",IF(INDEX('販売記録'!$B$5:$B$1004,$F344)="","",INDEX('販売記録'!$B$5:$B$1004,$F344)))</ns0:f>
        <ns0:v/>
      </ns0:c>
      <ns0:c r="C344" s="9" t="str">
        <ns0:f>IF($F344="","",IF(INDEX('販売記録'!$C$5:$C$1004,$F344)="","",INDEX('販売記録'!$C$5:$C$1004,$F344)))</ns0:f>
        <ns0:v/>
      </ns0:c>
      <ns0:c r="D344" s="8" t="str">
        <ns0:f>IF($F344="","",IF(INDEX('販売記録'!$D$5:$D$1004,$F344)="","",INDEX('販売記録'!$D$5:$D$1004,$F344)))</ns0:f>
        <ns0:v/>
      </ns0:c>
      <ns0:c r="E344" s="12" t="str">
        <ns0:f>IF(OR(A344="",B344=""),"",MAX(0,TODAY()-A344))</ns0:f>
        <ns0:v/>
      </ns0:c>
      <ns0:c r="F344" s="9" t="str">
        <ns0:f>IFERROR(MATCH(ROW()-4,'販売記録'!$L$5:$L$1004,0),"")</ns0:f>
        <ns0:v/>
      </ns0:c>
    </ns0:row>
    <ns0:row r="345">
      <ns0:c r="A345" s="11" t="str">
        <ns0:f>IF($F345="","",IF(INDEX('販売記録'!$K$5:$K$1004,$F345)="","",INDEX('販売記録'!$K$5:$K$1004,$F345)))</ns0:f>
        <ns0:v/>
      </ns0:c>
      <ns0:c r="B345" s="9" t="str">
        <ns0:f>IF($F345="","",IF(INDEX('販売記録'!$B$5:$B$1004,$F345)="","",INDEX('販売記録'!$B$5:$B$1004,$F345)))</ns0:f>
        <ns0:v/>
      </ns0:c>
      <ns0:c r="C345" s="9" t="str">
        <ns0:f>IF($F345="","",IF(INDEX('販売記録'!$C$5:$C$1004,$F345)="","",INDEX('販売記録'!$C$5:$C$1004,$F345)))</ns0:f>
        <ns0:v/>
      </ns0:c>
      <ns0:c r="D345" s="8" t="str">
        <ns0:f>IF($F345="","",IF(INDEX('販売記録'!$D$5:$D$1004,$F345)="","",INDEX('販売記録'!$D$5:$D$1004,$F345)))</ns0:f>
        <ns0:v/>
      </ns0:c>
      <ns0:c r="E345" s="12" t="str">
        <ns0:f>IF(OR(A345="",B345=""),"",MAX(0,TODAY()-A345))</ns0:f>
        <ns0:v/>
      </ns0:c>
      <ns0:c r="F345" s="9" t="str">
        <ns0:f>IFERROR(MATCH(ROW()-4,'販売記録'!$L$5:$L$1004,0),"")</ns0:f>
        <ns0:v/>
      </ns0:c>
    </ns0:row>
    <ns0:row r="346">
      <ns0:c r="A346" s="11" t="str">
        <ns0:f>IF($F346="","",IF(INDEX('販売記録'!$K$5:$K$1004,$F346)="","",INDEX('販売記録'!$K$5:$K$1004,$F346)))</ns0:f>
        <ns0:v/>
      </ns0:c>
      <ns0:c r="B346" s="9" t="str">
        <ns0:f>IF($F346="","",IF(INDEX('販売記録'!$B$5:$B$1004,$F346)="","",INDEX('販売記録'!$B$5:$B$1004,$F346)))</ns0:f>
        <ns0:v/>
      </ns0:c>
      <ns0:c r="C346" s="9" t="str">
        <ns0:f>IF($F346="","",IF(INDEX('販売記録'!$C$5:$C$1004,$F346)="","",INDEX('販売記録'!$C$5:$C$1004,$F346)))</ns0:f>
        <ns0:v/>
      </ns0:c>
      <ns0:c r="D346" s="8" t="str">
        <ns0:f>IF($F346="","",IF(INDEX('販売記録'!$D$5:$D$1004,$F346)="","",INDEX('販売記録'!$D$5:$D$1004,$F346)))</ns0:f>
        <ns0:v/>
      </ns0:c>
      <ns0:c r="E346" s="12" t="str">
        <ns0:f>IF(OR(A346="",B346=""),"",MAX(0,TODAY()-A346))</ns0:f>
        <ns0:v/>
      </ns0:c>
      <ns0:c r="F346" s="9" t="str">
        <ns0:f>IFERROR(MATCH(ROW()-4,'販売記録'!$L$5:$L$1004,0),"")</ns0:f>
        <ns0:v/>
      </ns0:c>
    </ns0:row>
    <ns0:row r="347">
      <ns0:c r="A347" s="11" t="str">
        <ns0:f>IF($F347="","",IF(INDEX('販売記録'!$K$5:$K$1004,$F347)="","",INDEX('販売記録'!$K$5:$K$1004,$F347)))</ns0:f>
        <ns0:v/>
      </ns0:c>
      <ns0:c r="B347" s="9" t="str">
        <ns0:f>IF($F347="","",IF(INDEX('販売記録'!$B$5:$B$1004,$F347)="","",INDEX('販売記録'!$B$5:$B$1004,$F347)))</ns0:f>
        <ns0:v/>
      </ns0:c>
      <ns0:c r="C347" s="9" t="str">
        <ns0:f>IF($F347="","",IF(INDEX('販売記録'!$C$5:$C$1004,$F347)="","",INDEX('販売記録'!$C$5:$C$1004,$F347)))</ns0:f>
        <ns0:v/>
      </ns0:c>
      <ns0:c r="D347" s="8" t="str">
        <ns0:f>IF($F347="","",IF(INDEX('販売記録'!$D$5:$D$1004,$F347)="","",INDEX('販売記録'!$D$5:$D$1004,$F347)))</ns0:f>
        <ns0:v/>
      </ns0:c>
      <ns0:c r="E347" s="12" t="str">
        <ns0:f>IF(OR(A347="",B347=""),"",MAX(0,TODAY()-A347))</ns0:f>
        <ns0:v/>
      </ns0:c>
      <ns0:c r="F347" s="9" t="str">
        <ns0:f>IFERROR(MATCH(ROW()-4,'販売記録'!$L$5:$L$1004,0),"")</ns0:f>
        <ns0:v/>
      </ns0:c>
    </ns0:row>
    <ns0:row r="348">
      <ns0:c r="A348" s="11" t="str">
        <ns0:f>IF($F348="","",IF(INDEX('販売記録'!$K$5:$K$1004,$F348)="","",INDEX('販売記録'!$K$5:$K$1004,$F348)))</ns0:f>
        <ns0:v/>
      </ns0:c>
      <ns0:c r="B348" s="9" t="str">
        <ns0:f>IF($F348="","",IF(INDEX('販売記録'!$B$5:$B$1004,$F348)="","",INDEX('販売記録'!$B$5:$B$1004,$F348)))</ns0:f>
        <ns0:v/>
      </ns0:c>
      <ns0:c r="C348" s="9" t="str">
        <ns0:f>IF($F348="","",IF(INDEX('販売記録'!$C$5:$C$1004,$F348)="","",INDEX('販売記録'!$C$5:$C$1004,$F348)))</ns0:f>
        <ns0:v/>
      </ns0:c>
      <ns0:c r="D348" s="8" t="str">
        <ns0:f>IF($F348="","",IF(INDEX('販売記録'!$D$5:$D$1004,$F348)="","",INDEX('販売記録'!$D$5:$D$1004,$F348)))</ns0:f>
        <ns0:v/>
      </ns0:c>
      <ns0:c r="E348" s="12" t="str">
        <ns0:f>IF(OR(A348="",B348=""),"",MAX(0,TODAY()-A348))</ns0:f>
        <ns0:v/>
      </ns0:c>
      <ns0:c r="F348" s="9" t="str">
        <ns0:f>IFERROR(MATCH(ROW()-4,'販売記録'!$L$5:$L$1004,0),"")</ns0:f>
        <ns0:v/>
      </ns0:c>
    </ns0:row>
    <ns0:row r="349">
      <ns0:c r="A349" s="11" t="str">
        <ns0:f>IF($F349="","",IF(INDEX('販売記録'!$K$5:$K$1004,$F349)="","",INDEX('販売記録'!$K$5:$K$1004,$F349)))</ns0:f>
        <ns0:v/>
      </ns0:c>
      <ns0:c r="B349" s="9" t="str">
        <ns0:f>IF($F349="","",IF(INDEX('販売記録'!$B$5:$B$1004,$F349)="","",INDEX('販売記録'!$B$5:$B$1004,$F349)))</ns0:f>
        <ns0:v/>
      </ns0:c>
      <ns0:c r="C349" s="9" t="str">
        <ns0:f>IF($F349="","",IF(INDEX('販売記録'!$C$5:$C$1004,$F349)="","",INDEX('販売記録'!$C$5:$C$1004,$F349)))</ns0:f>
        <ns0:v/>
      </ns0:c>
      <ns0:c r="D349" s="8" t="str">
        <ns0:f>IF($F349="","",IF(INDEX('販売記録'!$D$5:$D$1004,$F349)="","",INDEX('販売記録'!$D$5:$D$1004,$F349)))</ns0:f>
        <ns0:v/>
      </ns0:c>
      <ns0:c r="E349" s="12" t="str">
        <ns0:f>IF(OR(A349="",B349=""),"",MAX(0,TODAY()-A349))</ns0:f>
        <ns0:v/>
      </ns0:c>
      <ns0:c r="F349" s="9" t="str">
        <ns0:f>IFERROR(MATCH(ROW()-4,'販売記録'!$L$5:$L$1004,0),"")</ns0:f>
        <ns0:v/>
      </ns0:c>
    </ns0:row>
    <ns0:row r="350">
      <ns0:c r="A350" s="11" t="str">
        <ns0:f>IF($F350="","",IF(INDEX('販売記録'!$K$5:$K$1004,$F350)="","",INDEX('販売記録'!$K$5:$K$1004,$F350)))</ns0:f>
        <ns0:v/>
      </ns0:c>
      <ns0:c r="B350" s="9" t="str">
        <ns0:f>IF($F350="","",IF(INDEX('販売記録'!$B$5:$B$1004,$F350)="","",INDEX('販売記録'!$B$5:$B$1004,$F350)))</ns0:f>
        <ns0:v/>
      </ns0:c>
      <ns0:c r="C350" s="9" t="str">
        <ns0:f>IF($F350="","",IF(INDEX('販売記録'!$C$5:$C$1004,$F350)="","",INDEX('販売記録'!$C$5:$C$1004,$F350)))</ns0:f>
        <ns0:v/>
      </ns0:c>
      <ns0:c r="D350" s="8" t="str">
        <ns0:f>IF($F350="","",IF(INDEX('販売記録'!$D$5:$D$1004,$F350)="","",INDEX('販売記録'!$D$5:$D$1004,$F350)))</ns0:f>
        <ns0:v/>
      </ns0:c>
      <ns0:c r="E350" s="12" t="str">
        <ns0:f>IF(OR(A350="",B350=""),"",MAX(0,TODAY()-A350))</ns0:f>
        <ns0:v/>
      </ns0:c>
      <ns0:c r="F350" s="9" t="str">
        <ns0:f>IFERROR(MATCH(ROW()-4,'販売記録'!$L$5:$L$1004,0),"")</ns0:f>
        <ns0:v/>
      </ns0:c>
    </ns0:row>
    <ns0:row r="351">
      <ns0:c r="A351" s="11" t="str">
        <ns0:f>IF($F351="","",IF(INDEX('販売記録'!$K$5:$K$1004,$F351)="","",INDEX('販売記録'!$K$5:$K$1004,$F351)))</ns0:f>
        <ns0:v/>
      </ns0:c>
      <ns0:c r="B351" s="9" t="str">
        <ns0:f>IF($F351="","",IF(INDEX('販売記録'!$B$5:$B$1004,$F351)="","",INDEX('販売記録'!$B$5:$B$1004,$F351)))</ns0:f>
        <ns0:v/>
      </ns0:c>
      <ns0:c r="C351" s="9" t="str">
        <ns0:f>IF($F351="","",IF(INDEX('販売記録'!$C$5:$C$1004,$F351)="","",INDEX('販売記録'!$C$5:$C$1004,$F351)))</ns0:f>
        <ns0:v/>
      </ns0:c>
      <ns0:c r="D351" s="8" t="str">
        <ns0:f>IF($F351="","",IF(INDEX('販売記録'!$D$5:$D$1004,$F351)="","",INDEX('販売記録'!$D$5:$D$1004,$F351)))</ns0:f>
        <ns0:v/>
      </ns0:c>
      <ns0:c r="E351" s="12" t="str">
        <ns0:f>IF(OR(A351="",B351=""),"",MAX(0,TODAY()-A351))</ns0:f>
        <ns0:v/>
      </ns0:c>
      <ns0:c r="F351" s="9" t="str">
        <ns0:f>IFERROR(MATCH(ROW()-4,'販売記録'!$L$5:$L$1004,0),"")</ns0:f>
        <ns0:v/>
      </ns0:c>
    </ns0:row>
    <ns0:row r="352">
      <ns0:c r="A352" s="11" t="str">
        <ns0:f>IF($F352="","",IF(INDEX('販売記録'!$K$5:$K$1004,$F352)="","",INDEX('販売記録'!$K$5:$K$1004,$F352)))</ns0:f>
        <ns0:v/>
      </ns0:c>
      <ns0:c r="B352" s="9" t="str">
        <ns0:f>IF($F352="","",IF(INDEX('販売記録'!$B$5:$B$1004,$F352)="","",INDEX('販売記録'!$B$5:$B$1004,$F352)))</ns0:f>
        <ns0:v/>
      </ns0:c>
      <ns0:c r="C352" s="9" t="str">
        <ns0:f>IF($F352="","",IF(INDEX('販売記録'!$C$5:$C$1004,$F352)="","",INDEX('販売記録'!$C$5:$C$1004,$F352)))</ns0:f>
        <ns0:v/>
      </ns0:c>
      <ns0:c r="D352" s="8" t="str">
        <ns0:f>IF($F352="","",IF(INDEX('販売記録'!$D$5:$D$1004,$F352)="","",INDEX('販売記録'!$D$5:$D$1004,$F352)))</ns0:f>
        <ns0:v/>
      </ns0:c>
      <ns0:c r="E352" s="12" t="str">
        <ns0:f>IF(OR(A352="",B352=""),"",MAX(0,TODAY()-A352))</ns0:f>
        <ns0:v/>
      </ns0:c>
      <ns0:c r="F352" s="9" t="str">
        <ns0:f>IFERROR(MATCH(ROW()-4,'販売記録'!$L$5:$L$1004,0),"")</ns0:f>
        <ns0:v/>
      </ns0:c>
    </ns0:row>
    <ns0:row r="353">
      <ns0:c r="A353" s="11" t="str">
        <ns0:f>IF($F353="","",IF(INDEX('販売記録'!$K$5:$K$1004,$F353)="","",INDEX('販売記録'!$K$5:$K$1004,$F353)))</ns0:f>
        <ns0:v/>
      </ns0:c>
      <ns0:c r="B353" s="9" t="str">
        <ns0:f>IF($F353="","",IF(INDEX('販売記録'!$B$5:$B$1004,$F353)="","",INDEX('販売記録'!$B$5:$B$1004,$F353)))</ns0:f>
        <ns0:v/>
      </ns0:c>
      <ns0:c r="C353" s="9" t="str">
        <ns0:f>IF($F353="","",IF(INDEX('販売記録'!$C$5:$C$1004,$F353)="","",INDEX('販売記録'!$C$5:$C$1004,$F353)))</ns0:f>
        <ns0:v/>
      </ns0:c>
      <ns0:c r="D353" s="8" t="str">
        <ns0:f>IF($F353="","",IF(INDEX('販売記録'!$D$5:$D$1004,$F353)="","",INDEX('販売記録'!$D$5:$D$1004,$F353)))</ns0:f>
        <ns0:v/>
      </ns0:c>
      <ns0:c r="E353" s="12" t="str">
        <ns0:f>IF(OR(A353="",B353=""),"",MAX(0,TODAY()-A353))</ns0:f>
        <ns0:v/>
      </ns0:c>
      <ns0:c r="F353" s="9" t="str">
        <ns0:f>IFERROR(MATCH(ROW()-4,'販売記録'!$L$5:$L$1004,0),"")</ns0:f>
        <ns0:v/>
      </ns0:c>
    </ns0:row>
    <ns0:row r="354">
      <ns0:c r="A354" s="11" t="str">
        <ns0:f>IF($F354="","",IF(INDEX('販売記録'!$K$5:$K$1004,$F354)="","",INDEX('販売記録'!$K$5:$K$1004,$F354)))</ns0:f>
        <ns0:v/>
      </ns0:c>
      <ns0:c r="B354" s="9" t="str">
        <ns0:f>IF($F354="","",IF(INDEX('販売記録'!$B$5:$B$1004,$F354)="","",INDEX('販売記録'!$B$5:$B$1004,$F354)))</ns0:f>
        <ns0:v/>
      </ns0:c>
      <ns0:c r="C354" s="9" t="str">
        <ns0:f>IF($F354="","",IF(INDEX('販売記録'!$C$5:$C$1004,$F354)="","",INDEX('販売記録'!$C$5:$C$1004,$F354)))</ns0:f>
        <ns0:v/>
      </ns0:c>
      <ns0:c r="D354" s="8" t="str">
        <ns0:f>IF($F354="","",IF(INDEX('販売記録'!$D$5:$D$1004,$F354)="","",INDEX('販売記録'!$D$5:$D$1004,$F354)))</ns0:f>
        <ns0:v/>
      </ns0:c>
      <ns0:c r="E354" s="12" t="str">
        <ns0:f>IF(OR(A354="",B354=""),"",MAX(0,TODAY()-A354))</ns0:f>
        <ns0:v/>
      </ns0:c>
      <ns0:c r="F354" s="9" t="str">
        <ns0:f>IFERROR(MATCH(ROW()-4,'販売記録'!$L$5:$L$1004,0),"")</ns0:f>
        <ns0:v/>
      </ns0:c>
    </ns0:row>
    <ns0:row r="355">
      <ns0:c r="A355" s="11" t="str">
        <ns0:f>IF($F355="","",IF(INDEX('販売記録'!$K$5:$K$1004,$F355)="","",INDEX('販売記録'!$K$5:$K$1004,$F355)))</ns0:f>
        <ns0:v/>
      </ns0:c>
      <ns0:c r="B355" s="9" t="str">
        <ns0:f>IF($F355="","",IF(INDEX('販売記録'!$B$5:$B$1004,$F355)="","",INDEX('販売記録'!$B$5:$B$1004,$F355)))</ns0:f>
        <ns0:v/>
      </ns0:c>
      <ns0:c r="C355" s="9" t="str">
        <ns0:f>IF($F355="","",IF(INDEX('販売記録'!$C$5:$C$1004,$F355)="","",INDEX('販売記録'!$C$5:$C$1004,$F355)))</ns0:f>
        <ns0:v/>
      </ns0:c>
      <ns0:c r="D355" s="8" t="str">
        <ns0:f>IF($F355="","",IF(INDEX('販売記録'!$D$5:$D$1004,$F355)="","",INDEX('販売記録'!$D$5:$D$1004,$F355)))</ns0:f>
        <ns0:v/>
      </ns0:c>
      <ns0:c r="E355" s="12" t="str">
        <ns0:f>IF(OR(A355="",B355=""),"",MAX(0,TODAY()-A355))</ns0:f>
        <ns0:v/>
      </ns0:c>
      <ns0:c r="F355" s="9" t="str">
        <ns0:f>IFERROR(MATCH(ROW()-4,'販売記録'!$L$5:$L$1004,0),"")</ns0:f>
        <ns0:v/>
      </ns0:c>
    </ns0:row>
    <ns0:row r="356">
      <ns0:c r="A356" s="11" t="str">
        <ns0:f>IF($F356="","",IF(INDEX('販売記録'!$K$5:$K$1004,$F356)="","",INDEX('販売記録'!$K$5:$K$1004,$F356)))</ns0:f>
        <ns0:v/>
      </ns0:c>
      <ns0:c r="B356" s="9" t="str">
        <ns0:f>IF($F356="","",IF(INDEX('販売記録'!$B$5:$B$1004,$F356)="","",INDEX('販売記録'!$B$5:$B$1004,$F356)))</ns0:f>
        <ns0:v/>
      </ns0:c>
      <ns0:c r="C356" s="9" t="str">
        <ns0:f>IF($F356="","",IF(INDEX('販売記録'!$C$5:$C$1004,$F356)="","",INDEX('販売記録'!$C$5:$C$1004,$F356)))</ns0:f>
        <ns0:v/>
      </ns0:c>
      <ns0:c r="D356" s="8" t="str">
        <ns0:f>IF($F356="","",IF(INDEX('販売記録'!$D$5:$D$1004,$F356)="","",INDEX('販売記録'!$D$5:$D$1004,$F356)))</ns0:f>
        <ns0:v/>
      </ns0:c>
      <ns0:c r="E356" s="12" t="str">
        <ns0:f>IF(OR(A356="",B356=""),"",MAX(0,TODAY()-A356))</ns0:f>
        <ns0:v/>
      </ns0:c>
      <ns0:c r="F356" s="9" t="str">
        <ns0:f>IFERROR(MATCH(ROW()-4,'販売記録'!$L$5:$L$1004,0),"")</ns0:f>
        <ns0:v/>
      </ns0:c>
    </ns0:row>
    <ns0:row r="357">
      <ns0:c r="A357" s="11" t="str">
        <ns0:f>IF($F357="","",IF(INDEX('販売記録'!$K$5:$K$1004,$F357)="","",INDEX('販売記録'!$K$5:$K$1004,$F357)))</ns0:f>
        <ns0:v/>
      </ns0:c>
      <ns0:c r="B357" s="9" t="str">
        <ns0:f>IF($F357="","",IF(INDEX('販売記録'!$B$5:$B$1004,$F357)="","",INDEX('販売記録'!$B$5:$B$1004,$F357)))</ns0:f>
        <ns0:v/>
      </ns0:c>
      <ns0:c r="C357" s="9" t="str">
        <ns0:f>IF($F357="","",IF(INDEX('販売記録'!$C$5:$C$1004,$F357)="","",INDEX('販売記録'!$C$5:$C$1004,$F357)))</ns0:f>
        <ns0:v/>
      </ns0:c>
      <ns0:c r="D357" s="8" t="str">
        <ns0:f>IF($F357="","",IF(INDEX('販売記録'!$D$5:$D$1004,$F357)="","",INDEX('販売記録'!$D$5:$D$1004,$F357)))</ns0:f>
        <ns0:v/>
      </ns0:c>
      <ns0:c r="E357" s="12" t="str">
        <ns0:f>IF(OR(A357="",B357=""),"",MAX(0,TODAY()-A357))</ns0:f>
        <ns0:v/>
      </ns0:c>
      <ns0:c r="F357" s="9" t="str">
        <ns0:f>IFERROR(MATCH(ROW()-4,'販売記録'!$L$5:$L$1004,0),"")</ns0:f>
        <ns0:v/>
      </ns0:c>
    </ns0:row>
    <ns0:row r="358">
      <ns0:c r="A358" s="11" t="str">
        <ns0:f>IF($F358="","",IF(INDEX('販売記録'!$K$5:$K$1004,$F358)="","",INDEX('販売記録'!$K$5:$K$1004,$F358)))</ns0:f>
        <ns0:v/>
      </ns0:c>
      <ns0:c r="B358" s="9" t="str">
        <ns0:f>IF($F358="","",IF(INDEX('販売記録'!$B$5:$B$1004,$F358)="","",INDEX('販売記録'!$B$5:$B$1004,$F358)))</ns0:f>
        <ns0:v/>
      </ns0:c>
      <ns0:c r="C358" s="9" t="str">
        <ns0:f>IF($F358="","",IF(INDEX('販売記録'!$C$5:$C$1004,$F358)="","",INDEX('販売記録'!$C$5:$C$1004,$F358)))</ns0:f>
        <ns0:v/>
      </ns0:c>
      <ns0:c r="D358" s="8" t="str">
        <ns0:f>IF($F358="","",IF(INDEX('販売記録'!$D$5:$D$1004,$F358)="","",INDEX('販売記録'!$D$5:$D$1004,$F358)))</ns0:f>
        <ns0:v/>
      </ns0:c>
      <ns0:c r="E358" s="12" t="str">
        <ns0:f>IF(OR(A358="",B358=""),"",MAX(0,TODAY()-A358))</ns0:f>
        <ns0:v/>
      </ns0:c>
      <ns0:c r="F358" s="9" t="str">
        <ns0:f>IFERROR(MATCH(ROW()-4,'販売記録'!$L$5:$L$1004,0),"")</ns0:f>
        <ns0:v/>
      </ns0:c>
    </ns0:row>
    <ns0:row r="359">
      <ns0:c r="A359" s="11" t="str">
        <ns0:f>IF($F359="","",IF(INDEX('販売記録'!$K$5:$K$1004,$F359)="","",INDEX('販売記録'!$K$5:$K$1004,$F359)))</ns0:f>
        <ns0:v/>
      </ns0:c>
      <ns0:c r="B359" s="9" t="str">
        <ns0:f>IF($F359="","",IF(INDEX('販売記録'!$B$5:$B$1004,$F359)="","",INDEX('販売記録'!$B$5:$B$1004,$F359)))</ns0:f>
        <ns0:v/>
      </ns0:c>
      <ns0:c r="C359" s="9" t="str">
        <ns0:f>IF($F359="","",IF(INDEX('販売記録'!$C$5:$C$1004,$F359)="","",INDEX('販売記録'!$C$5:$C$1004,$F359)))</ns0:f>
        <ns0:v/>
      </ns0:c>
      <ns0:c r="D359" s="8" t="str">
        <ns0:f>IF($F359="","",IF(INDEX('販売記録'!$D$5:$D$1004,$F359)="","",INDEX('販売記録'!$D$5:$D$1004,$F359)))</ns0:f>
        <ns0:v/>
      </ns0:c>
      <ns0:c r="E359" s="12" t="str">
        <ns0:f>IF(OR(A359="",B359=""),"",MAX(0,TODAY()-A359))</ns0:f>
        <ns0:v/>
      </ns0:c>
      <ns0:c r="F359" s="9" t="str">
        <ns0:f>IFERROR(MATCH(ROW()-4,'販売記録'!$L$5:$L$1004,0),"")</ns0:f>
        <ns0:v/>
      </ns0:c>
    </ns0:row>
    <ns0:row r="360">
      <ns0:c r="A360" s="11" t="str">
        <ns0:f>IF($F360="","",IF(INDEX('販売記録'!$K$5:$K$1004,$F360)="","",INDEX('販売記録'!$K$5:$K$1004,$F360)))</ns0:f>
        <ns0:v/>
      </ns0:c>
      <ns0:c r="B360" s="9" t="str">
        <ns0:f>IF($F360="","",IF(INDEX('販売記録'!$B$5:$B$1004,$F360)="","",INDEX('販売記録'!$B$5:$B$1004,$F360)))</ns0:f>
        <ns0:v/>
      </ns0:c>
      <ns0:c r="C360" s="9" t="str">
        <ns0:f>IF($F360="","",IF(INDEX('販売記録'!$C$5:$C$1004,$F360)="","",INDEX('販売記録'!$C$5:$C$1004,$F360)))</ns0:f>
        <ns0:v/>
      </ns0:c>
      <ns0:c r="D360" s="8" t="str">
        <ns0:f>IF($F360="","",IF(INDEX('販売記録'!$D$5:$D$1004,$F360)="","",INDEX('販売記録'!$D$5:$D$1004,$F360)))</ns0:f>
        <ns0:v/>
      </ns0:c>
      <ns0:c r="E360" s="12" t="str">
        <ns0:f>IF(OR(A360="",B360=""),"",MAX(0,TODAY()-A360))</ns0:f>
        <ns0:v/>
      </ns0:c>
      <ns0:c r="F360" s="9" t="str">
        <ns0:f>IFERROR(MATCH(ROW()-4,'販売記録'!$L$5:$L$1004,0),"")</ns0:f>
        <ns0:v/>
      </ns0:c>
    </ns0:row>
    <ns0:row r="361">
      <ns0:c r="A361" s="11" t="str">
        <ns0:f>IF($F361="","",IF(INDEX('販売記録'!$K$5:$K$1004,$F361)="","",INDEX('販売記録'!$K$5:$K$1004,$F361)))</ns0:f>
        <ns0:v/>
      </ns0:c>
      <ns0:c r="B361" s="9" t="str">
        <ns0:f>IF($F361="","",IF(INDEX('販売記録'!$B$5:$B$1004,$F361)="","",INDEX('販売記録'!$B$5:$B$1004,$F361)))</ns0:f>
        <ns0:v/>
      </ns0:c>
      <ns0:c r="C361" s="9" t="str">
        <ns0:f>IF($F361="","",IF(INDEX('販売記録'!$C$5:$C$1004,$F361)="","",INDEX('販売記録'!$C$5:$C$1004,$F361)))</ns0:f>
        <ns0:v/>
      </ns0:c>
      <ns0:c r="D361" s="8" t="str">
        <ns0:f>IF($F361="","",IF(INDEX('販売記録'!$D$5:$D$1004,$F361)="","",INDEX('販売記録'!$D$5:$D$1004,$F361)))</ns0:f>
        <ns0:v/>
      </ns0:c>
      <ns0:c r="E361" s="12" t="str">
        <ns0:f>IF(OR(A361="",B361=""),"",MAX(0,TODAY()-A361))</ns0:f>
        <ns0:v/>
      </ns0:c>
      <ns0:c r="F361" s="9" t="str">
        <ns0:f>IFERROR(MATCH(ROW()-4,'販売記録'!$L$5:$L$1004,0),"")</ns0:f>
        <ns0:v/>
      </ns0:c>
    </ns0:row>
    <ns0:row r="362">
      <ns0:c r="A362" s="11" t="str">
        <ns0:f>IF($F362="","",IF(INDEX('販売記録'!$K$5:$K$1004,$F362)="","",INDEX('販売記録'!$K$5:$K$1004,$F362)))</ns0:f>
        <ns0:v/>
      </ns0:c>
      <ns0:c r="B362" s="9" t="str">
        <ns0:f>IF($F362="","",IF(INDEX('販売記録'!$B$5:$B$1004,$F362)="","",INDEX('販売記録'!$B$5:$B$1004,$F362)))</ns0:f>
        <ns0:v/>
      </ns0:c>
      <ns0:c r="C362" s="9" t="str">
        <ns0:f>IF($F362="","",IF(INDEX('販売記録'!$C$5:$C$1004,$F362)="","",INDEX('販売記録'!$C$5:$C$1004,$F362)))</ns0:f>
        <ns0:v/>
      </ns0:c>
      <ns0:c r="D362" s="8" t="str">
        <ns0:f>IF($F362="","",IF(INDEX('販売記録'!$D$5:$D$1004,$F362)="","",INDEX('販売記録'!$D$5:$D$1004,$F362)))</ns0:f>
        <ns0:v/>
      </ns0:c>
      <ns0:c r="E362" s="12" t="str">
        <ns0:f>IF(OR(A362="",B362=""),"",MAX(0,TODAY()-A362))</ns0:f>
        <ns0:v/>
      </ns0:c>
      <ns0:c r="F362" s="9" t="str">
        <ns0:f>IFERROR(MATCH(ROW()-4,'販売記録'!$L$5:$L$1004,0),"")</ns0:f>
        <ns0:v/>
      </ns0:c>
    </ns0:row>
    <ns0:row r="363">
      <ns0:c r="A363" s="11" t="str">
        <ns0:f>IF($F363="","",IF(INDEX('販売記録'!$K$5:$K$1004,$F363)="","",INDEX('販売記録'!$K$5:$K$1004,$F363)))</ns0:f>
        <ns0:v/>
      </ns0:c>
      <ns0:c r="B363" s="9" t="str">
        <ns0:f>IF($F363="","",IF(INDEX('販売記録'!$B$5:$B$1004,$F363)="","",INDEX('販売記録'!$B$5:$B$1004,$F363)))</ns0:f>
        <ns0:v/>
      </ns0:c>
      <ns0:c r="C363" s="9" t="str">
        <ns0:f>IF($F363="","",IF(INDEX('販売記録'!$C$5:$C$1004,$F363)="","",INDEX('販売記録'!$C$5:$C$1004,$F363)))</ns0:f>
        <ns0:v/>
      </ns0:c>
      <ns0:c r="D363" s="8" t="str">
        <ns0:f>IF($F363="","",IF(INDEX('販売記録'!$D$5:$D$1004,$F363)="","",INDEX('販売記録'!$D$5:$D$1004,$F363)))</ns0:f>
        <ns0:v/>
      </ns0:c>
      <ns0:c r="E363" s="12" t="str">
        <ns0:f>IF(OR(A363="",B363=""),"",MAX(0,TODAY()-A363))</ns0:f>
        <ns0:v/>
      </ns0:c>
      <ns0:c r="F363" s="9" t="str">
        <ns0:f>IFERROR(MATCH(ROW()-4,'販売記録'!$L$5:$L$1004,0),"")</ns0:f>
        <ns0:v/>
      </ns0:c>
    </ns0:row>
    <ns0:row r="364">
      <ns0:c r="A364" s="11" t="str">
        <ns0:f>IF($F364="","",IF(INDEX('販売記録'!$K$5:$K$1004,$F364)="","",INDEX('販売記録'!$K$5:$K$1004,$F364)))</ns0:f>
        <ns0:v/>
      </ns0:c>
      <ns0:c r="B364" s="9" t="str">
        <ns0:f>IF($F364="","",IF(INDEX('販売記録'!$B$5:$B$1004,$F364)="","",INDEX('販売記録'!$B$5:$B$1004,$F364)))</ns0:f>
        <ns0:v/>
      </ns0:c>
      <ns0:c r="C364" s="9" t="str">
        <ns0:f>IF($F364="","",IF(INDEX('販売記録'!$C$5:$C$1004,$F364)="","",INDEX('販売記録'!$C$5:$C$1004,$F364)))</ns0:f>
        <ns0:v/>
      </ns0:c>
      <ns0:c r="D364" s="8" t="str">
        <ns0:f>IF($F364="","",IF(INDEX('販売記録'!$D$5:$D$1004,$F364)="","",INDEX('販売記録'!$D$5:$D$1004,$F364)))</ns0:f>
        <ns0:v/>
      </ns0:c>
      <ns0:c r="E364" s="12" t="str">
        <ns0:f>IF(OR(A364="",B364=""),"",MAX(0,TODAY()-A364))</ns0:f>
        <ns0:v/>
      </ns0:c>
      <ns0:c r="F364" s="9" t="str">
        <ns0:f>IFERROR(MATCH(ROW()-4,'販売記録'!$L$5:$L$1004,0),"")</ns0:f>
        <ns0:v/>
      </ns0:c>
    </ns0:row>
    <ns0:row r="365">
      <ns0:c r="A365" s="11" t="str">
        <ns0:f>IF($F365="","",IF(INDEX('販売記録'!$K$5:$K$1004,$F365)="","",INDEX('販売記録'!$K$5:$K$1004,$F365)))</ns0:f>
        <ns0:v/>
      </ns0:c>
      <ns0:c r="B365" s="9" t="str">
        <ns0:f>IF($F365="","",IF(INDEX('販売記録'!$B$5:$B$1004,$F365)="","",INDEX('販売記録'!$B$5:$B$1004,$F365)))</ns0:f>
        <ns0:v/>
      </ns0:c>
      <ns0:c r="C365" s="9" t="str">
        <ns0:f>IF($F365="","",IF(INDEX('販売記録'!$C$5:$C$1004,$F365)="","",INDEX('販売記録'!$C$5:$C$1004,$F365)))</ns0:f>
        <ns0:v/>
      </ns0:c>
      <ns0:c r="D365" s="8" t="str">
        <ns0:f>IF($F365="","",IF(INDEX('販売記録'!$D$5:$D$1004,$F365)="","",INDEX('販売記録'!$D$5:$D$1004,$F365)))</ns0:f>
        <ns0:v/>
      </ns0:c>
      <ns0:c r="E365" s="12" t="str">
        <ns0:f>IF(OR(A365="",B365=""),"",MAX(0,TODAY()-A365))</ns0:f>
        <ns0:v/>
      </ns0:c>
      <ns0:c r="F365" s="9" t="str">
        <ns0:f>IFERROR(MATCH(ROW()-4,'販売記録'!$L$5:$L$1004,0),"")</ns0:f>
        <ns0:v/>
      </ns0:c>
    </ns0:row>
    <ns0:row r="366">
      <ns0:c r="A366" s="11" t="str">
        <ns0:f>IF($F366="","",IF(INDEX('販売記録'!$K$5:$K$1004,$F366)="","",INDEX('販売記録'!$K$5:$K$1004,$F366)))</ns0:f>
        <ns0:v/>
      </ns0:c>
      <ns0:c r="B366" s="9" t="str">
        <ns0:f>IF($F366="","",IF(INDEX('販売記録'!$B$5:$B$1004,$F366)="","",INDEX('販売記録'!$B$5:$B$1004,$F366)))</ns0:f>
        <ns0:v/>
      </ns0:c>
      <ns0:c r="C366" s="9" t="str">
        <ns0:f>IF($F366="","",IF(INDEX('販売記録'!$C$5:$C$1004,$F366)="","",INDEX('販売記録'!$C$5:$C$1004,$F366)))</ns0:f>
        <ns0:v/>
      </ns0:c>
      <ns0:c r="D366" s="8" t="str">
        <ns0:f>IF($F366="","",IF(INDEX('販売記録'!$D$5:$D$1004,$F366)="","",INDEX('販売記録'!$D$5:$D$1004,$F366)))</ns0:f>
        <ns0:v/>
      </ns0:c>
      <ns0:c r="E366" s="12" t="str">
        <ns0:f>IF(OR(A366="",B366=""),"",MAX(0,TODAY()-A366))</ns0:f>
        <ns0:v/>
      </ns0:c>
      <ns0:c r="F366" s="9" t="str">
        <ns0:f>IFERROR(MATCH(ROW()-4,'販売記録'!$L$5:$L$1004,0),"")</ns0:f>
        <ns0:v/>
      </ns0:c>
    </ns0:row>
    <ns0:row r="367">
      <ns0:c r="A367" s="11" t="str">
        <ns0:f>IF($F367="","",IF(INDEX('販売記録'!$K$5:$K$1004,$F367)="","",INDEX('販売記録'!$K$5:$K$1004,$F367)))</ns0:f>
        <ns0:v/>
      </ns0:c>
      <ns0:c r="B367" s="9" t="str">
        <ns0:f>IF($F367="","",IF(INDEX('販売記録'!$B$5:$B$1004,$F367)="","",INDEX('販売記録'!$B$5:$B$1004,$F367)))</ns0:f>
        <ns0:v/>
      </ns0:c>
      <ns0:c r="C367" s="9" t="str">
        <ns0:f>IF($F367="","",IF(INDEX('販売記録'!$C$5:$C$1004,$F367)="","",INDEX('販売記録'!$C$5:$C$1004,$F367)))</ns0:f>
        <ns0:v/>
      </ns0:c>
      <ns0:c r="D367" s="8" t="str">
        <ns0:f>IF($F367="","",IF(INDEX('販売記録'!$D$5:$D$1004,$F367)="","",INDEX('販売記録'!$D$5:$D$1004,$F367)))</ns0:f>
        <ns0:v/>
      </ns0:c>
      <ns0:c r="E367" s="12" t="str">
        <ns0:f>IF(OR(A367="",B367=""),"",MAX(0,TODAY()-A367))</ns0:f>
        <ns0:v/>
      </ns0:c>
      <ns0:c r="F367" s="9" t="str">
        <ns0:f>IFERROR(MATCH(ROW()-4,'販売記録'!$L$5:$L$1004,0),"")</ns0:f>
        <ns0:v/>
      </ns0:c>
    </ns0:row>
    <ns0:row r="368">
      <ns0:c r="A368" s="11" t="str">
        <ns0:f>IF($F368="","",IF(INDEX('販売記録'!$K$5:$K$1004,$F368)="","",INDEX('販売記録'!$K$5:$K$1004,$F368)))</ns0:f>
        <ns0:v/>
      </ns0:c>
      <ns0:c r="B368" s="9" t="str">
        <ns0:f>IF($F368="","",IF(INDEX('販売記録'!$B$5:$B$1004,$F368)="","",INDEX('販売記録'!$B$5:$B$1004,$F368)))</ns0:f>
        <ns0:v/>
      </ns0:c>
      <ns0:c r="C368" s="9" t="str">
        <ns0:f>IF($F368="","",IF(INDEX('販売記録'!$C$5:$C$1004,$F368)="","",INDEX('販売記録'!$C$5:$C$1004,$F368)))</ns0:f>
        <ns0:v/>
      </ns0:c>
      <ns0:c r="D368" s="8" t="str">
        <ns0:f>IF($F368="","",IF(INDEX('販売記録'!$D$5:$D$1004,$F368)="","",INDEX('販売記録'!$D$5:$D$1004,$F368)))</ns0:f>
        <ns0:v/>
      </ns0:c>
      <ns0:c r="E368" s="12" t="str">
        <ns0:f>IF(OR(A368="",B368=""),"",MAX(0,TODAY()-A368))</ns0:f>
        <ns0:v/>
      </ns0:c>
      <ns0:c r="F368" s="9" t="str">
        <ns0:f>IFERROR(MATCH(ROW()-4,'販売記録'!$L$5:$L$1004,0),"")</ns0:f>
        <ns0:v/>
      </ns0:c>
    </ns0:row>
    <ns0:row r="369">
      <ns0:c r="A369" s="11" t="str">
        <ns0:f>IF($F369="","",IF(INDEX('販売記録'!$K$5:$K$1004,$F369)="","",INDEX('販売記録'!$K$5:$K$1004,$F369)))</ns0:f>
        <ns0:v/>
      </ns0:c>
      <ns0:c r="B369" s="9" t="str">
        <ns0:f>IF($F369="","",IF(INDEX('販売記録'!$B$5:$B$1004,$F369)="","",INDEX('販売記録'!$B$5:$B$1004,$F369)))</ns0:f>
        <ns0:v/>
      </ns0:c>
      <ns0:c r="C369" s="9" t="str">
        <ns0:f>IF($F369="","",IF(INDEX('販売記録'!$C$5:$C$1004,$F369)="","",INDEX('販売記録'!$C$5:$C$1004,$F369)))</ns0:f>
        <ns0:v/>
      </ns0:c>
      <ns0:c r="D369" s="8" t="str">
        <ns0:f>IF($F369="","",IF(INDEX('販売記録'!$D$5:$D$1004,$F369)="","",INDEX('販売記録'!$D$5:$D$1004,$F369)))</ns0:f>
        <ns0:v/>
      </ns0:c>
      <ns0:c r="E369" s="12" t="str">
        <ns0:f>IF(OR(A369="",B369=""),"",MAX(0,TODAY()-A369))</ns0:f>
        <ns0:v/>
      </ns0:c>
      <ns0:c r="F369" s="9" t="str">
        <ns0:f>IFERROR(MATCH(ROW()-4,'販売記録'!$L$5:$L$1004,0),"")</ns0:f>
        <ns0:v/>
      </ns0:c>
    </ns0:row>
    <ns0:row r="370">
      <ns0:c r="A370" s="11" t="str">
        <ns0:f>IF($F370="","",IF(INDEX('販売記録'!$K$5:$K$1004,$F370)="","",INDEX('販売記録'!$K$5:$K$1004,$F370)))</ns0:f>
        <ns0:v/>
      </ns0:c>
      <ns0:c r="B370" s="9" t="str">
        <ns0:f>IF($F370="","",IF(INDEX('販売記録'!$B$5:$B$1004,$F370)="","",INDEX('販売記録'!$B$5:$B$1004,$F370)))</ns0:f>
        <ns0:v/>
      </ns0:c>
      <ns0:c r="C370" s="9" t="str">
        <ns0:f>IF($F370="","",IF(INDEX('販売記録'!$C$5:$C$1004,$F370)="","",INDEX('販売記録'!$C$5:$C$1004,$F370)))</ns0:f>
        <ns0:v/>
      </ns0:c>
      <ns0:c r="D370" s="8" t="str">
        <ns0:f>IF($F370="","",IF(INDEX('販売記録'!$D$5:$D$1004,$F370)="","",INDEX('販売記録'!$D$5:$D$1004,$F370)))</ns0:f>
        <ns0:v/>
      </ns0:c>
      <ns0:c r="E370" s="12" t="str">
        <ns0:f>IF(OR(A370="",B370=""),"",MAX(0,TODAY()-A370))</ns0:f>
        <ns0:v/>
      </ns0:c>
      <ns0:c r="F370" s="9" t="str">
        <ns0:f>IFERROR(MATCH(ROW()-4,'販売記録'!$L$5:$L$1004,0),"")</ns0:f>
        <ns0:v/>
      </ns0:c>
    </ns0:row>
    <ns0:row r="371">
      <ns0:c r="A371" s="11" t="str">
        <ns0:f>IF($F371="","",IF(INDEX('販売記録'!$K$5:$K$1004,$F371)="","",INDEX('販売記録'!$K$5:$K$1004,$F371)))</ns0:f>
        <ns0:v/>
      </ns0:c>
      <ns0:c r="B371" s="9" t="str">
        <ns0:f>IF($F371="","",IF(INDEX('販売記録'!$B$5:$B$1004,$F371)="","",INDEX('販売記録'!$B$5:$B$1004,$F371)))</ns0:f>
        <ns0:v/>
      </ns0:c>
      <ns0:c r="C371" s="9" t="str">
        <ns0:f>IF($F371="","",IF(INDEX('販売記録'!$C$5:$C$1004,$F371)="","",INDEX('販売記録'!$C$5:$C$1004,$F371)))</ns0:f>
        <ns0:v/>
      </ns0:c>
      <ns0:c r="D371" s="8" t="str">
        <ns0:f>IF($F371="","",IF(INDEX('販売記録'!$D$5:$D$1004,$F371)="","",INDEX('販売記録'!$D$5:$D$1004,$F371)))</ns0:f>
        <ns0:v/>
      </ns0:c>
      <ns0:c r="E371" s="12" t="str">
        <ns0:f>IF(OR(A371="",B371=""),"",MAX(0,TODAY()-A371))</ns0:f>
        <ns0:v/>
      </ns0:c>
      <ns0:c r="F371" s="9" t="str">
        <ns0:f>IFERROR(MATCH(ROW()-4,'販売記録'!$L$5:$L$1004,0),"")</ns0:f>
        <ns0:v/>
      </ns0:c>
    </ns0:row>
    <ns0:row r="372">
      <ns0:c r="A372" s="11" t="str">
        <ns0:f>IF($F372="","",IF(INDEX('販売記録'!$K$5:$K$1004,$F372)="","",INDEX('販売記録'!$K$5:$K$1004,$F372)))</ns0:f>
        <ns0:v/>
      </ns0:c>
      <ns0:c r="B372" s="9" t="str">
        <ns0:f>IF($F372="","",IF(INDEX('販売記録'!$B$5:$B$1004,$F372)="","",INDEX('販売記録'!$B$5:$B$1004,$F372)))</ns0:f>
        <ns0:v/>
      </ns0:c>
      <ns0:c r="C372" s="9" t="str">
        <ns0:f>IF($F372="","",IF(INDEX('販売記録'!$C$5:$C$1004,$F372)="","",INDEX('販売記録'!$C$5:$C$1004,$F372)))</ns0:f>
        <ns0:v/>
      </ns0:c>
      <ns0:c r="D372" s="8" t="str">
        <ns0:f>IF($F372="","",IF(INDEX('販売記録'!$D$5:$D$1004,$F372)="","",INDEX('販売記録'!$D$5:$D$1004,$F372)))</ns0:f>
        <ns0:v/>
      </ns0:c>
      <ns0:c r="E372" s="12" t="str">
        <ns0:f>IF(OR(A372="",B372=""),"",MAX(0,TODAY()-A372))</ns0:f>
        <ns0:v/>
      </ns0:c>
      <ns0:c r="F372" s="9" t="str">
        <ns0:f>IFERROR(MATCH(ROW()-4,'販売記録'!$L$5:$L$1004,0),"")</ns0:f>
        <ns0:v/>
      </ns0:c>
    </ns0:row>
    <ns0:row r="373">
      <ns0:c r="A373" s="11" t="str">
        <ns0:f>IF($F373="","",IF(INDEX('販売記録'!$K$5:$K$1004,$F373)="","",INDEX('販売記録'!$K$5:$K$1004,$F373)))</ns0:f>
        <ns0:v/>
      </ns0:c>
      <ns0:c r="B373" s="9" t="str">
        <ns0:f>IF($F373="","",IF(INDEX('販売記録'!$B$5:$B$1004,$F373)="","",INDEX('販売記録'!$B$5:$B$1004,$F373)))</ns0:f>
        <ns0:v/>
      </ns0:c>
      <ns0:c r="C373" s="9" t="str">
        <ns0:f>IF($F373="","",IF(INDEX('販売記録'!$C$5:$C$1004,$F373)="","",INDEX('販売記録'!$C$5:$C$1004,$F373)))</ns0:f>
        <ns0:v/>
      </ns0:c>
      <ns0:c r="D373" s="8" t="str">
        <ns0:f>IF($F373="","",IF(INDEX('販売記録'!$D$5:$D$1004,$F373)="","",INDEX('販売記録'!$D$5:$D$1004,$F373)))</ns0:f>
        <ns0:v/>
      </ns0:c>
      <ns0:c r="E373" s="12" t="str">
        <ns0:f>IF(OR(A373="",B373=""),"",MAX(0,TODAY()-A373))</ns0:f>
        <ns0:v/>
      </ns0:c>
      <ns0:c r="F373" s="9" t="str">
        <ns0:f>IFERROR(MATCH(ROW()-4,'販売記録'!$L$5:$L$1004,0),"")</ns0:f>
        <ns0:v/>
      </ns0:c>
    </ns0:row>
    <ns0:row r="374">
      <ns0:c r="A374" s="11" t="str">
        <ns0:f>IF($F374="","",IF(INDEX('販売記録'!$K$5:$K$1004,$F374)="","",INDEX('販売記録'!$K$5:$K$1004,$F374)))</ns0:f>
        <ns0:v/>
      </ns0:c>
      <ns0:c r="B374" s="9" t="str">
        <ns0:f>IF($F374="","",IF(INDEX('販売記録'!$B$5:$B$1004,$F374)="","",INDEX('販売記録'!$B$5:$B$1004,$F374)))</ns0:f>
        <ns0:v/>
      </ns0:c>
      <ns0:c r="C374" s="9" t="str">
        <ns0:f>IF($F374="","",IF(INDEX('販売記録'!$C$5:$C$1004,$F374)="","",INDEX('販売記録'!$C$5:$C$1004,$F374)))</ns0:f>
        <ns0:v/>
      </ns0:c>
      <ns0:c r="D374" s="8" t="str">
        <ns0:f>IF($F374="","",IF(INDEX('販売記録'!$D$5:$D$1004,$F374)="","",INDEX('販売記録'!$D$5:$D$1004,$F374)))</ns0:f>
        <ns0:v/>
      </ns0:c>
      <ns0:c r="E374" s="12" t="str">
        <ns0:f>IF(OR(A374="",B374=""),"",MAX(0,TODAY()-A374))</ns0:f>
        <ns0:v/>
      </ns0:c>
      <ns0:c r="F374" s="9" t="str">
        <ns0:f>IFERROR(MATCH(ROW()-4,'販売記録'!$L$5:$L$1004,0),"")</ns0:f>
        <ns0:v/>
      </ns0:c>
    </ns0:row>
    <ns0:row r="375">
      <ns0:c r="A375" s="11" t="str">
        <ns0:f>IF($F375="","",IF(INDEX('販売記録'!$K$5:$K$1004,$F375)="","",INDEX('販売記録'!$K$5:$K$1004,$F375)))</ns0:f>
        <ns0:v/>
      </ns0:c>
      <ns0:c r="B375" s="9" t="str">
        <ns0:f>IF($F375="","",IF(INDEX('販売記録'!$B$5:$B$1004,$F375)="","",INDEX('販売記録'!$B$5:$B$1004,$F375)))</ns0:f>
        <ns0:v/>
      </ns0:c>
      <ns0:c r="C375" s="9" t="str">
        <ns0:f>IF($F375="","",IF(INDEX('販売記録'!$C$5:$C$1004,$F375)="","",INDEX('販売記録'!$C$5:$C$1004,$F375)))</ns0:f>
        <ns0:v/>
      </ns0:c>
      <ns0:c r="D375" s="8" t="str">
        <ns0:f>IF($F375="","",IF(INDEX('販売記録'!$D$5:$D$1004,$F375)="","",INDEX('販売記録'!$D$5:$D$1004,$F375)))</ns0:f>
        <ns0:v/>
      </ns0:c>
      <ns0:c r="E375" s="12" t="str">
        <ns0:f>IF(OR(A375="",B375=""),"",MAX(0,TODAY()-A375))</ns0:f>
        <ns0:v/>
      </ns0:c>
      <ns0:c r="F375" s="9" t="str">
        <ns0:f>IFERROR(MATCH(ROW()-4,'販売記録'!$L$5:$L$1004,0),"")</ns0:f>
        <ns0:v/>
      </ns0:c>
    </ns0:row>
    <ns0:row r="376">
      <ns0:c r="A376" s="11" t="str">
        <ns0:f>IF($F376="","",IF(INDEX('販売記録'!$K$5:$K$1004,$F376)="","",INDEX('販売記録'!$K$5:$K$1004,$F376)))</ns0:f>
        <ns0:v/>
      </ns0:c>
      <ns0:c r="B376" s="9" t="str">
        <ns0:f>IF($F376="","",IF(INDEX('販売記録'!$B$5:$B$1004,$F376)="","",INDEX('販売記録'!$B$5:$B$1004,$F376)))</ns0:f>
        <ns0:v/>
      </ns0:c>
      <ns0:c r="C376" s="9" t="str">
        <ns0:f>IF($F376="","",IF(INDEX('販売記録'!$C$5:$C$1004,$F376)="","",INDEX('販売記録'!$C$5:$C$1004,$F376)))</ns0:f>
        <ns0:v/>
      </ns0:c>
      <ns0:c r="D376" s="8" t="str">
        <ns0:f>IF($F376="","",IF(INDEX('販売記録'!$D$5:$D$1004,$F376)="","",INDEX('販売記録'!$D$5:$D$1004,$F376)))</ns0:f>
        <ns0:v/>
      </ns0:c>
      <ns0:c r="E376" s="12" t="str">
        <ns0:f>IF(OR(A376="",B376=""),"",MAX(0,TODAY()-A376))</ns0:f>
        <ns0:v/>
      </ns0:c>
      <ns0:c r="F376" s="9" t="str">
        <ns0:f>IFERROR(MATCH(ROW()-4,'販売記録'!$L$5:$L$1004,0),"")</ns0:f>
        <ns0:v/>
      </ns0:c>
    </ns0:row>
    <ns0:row r="377">
      <ns0:c r="A377" s="11" t="str">
        <ns0:f>IF($F377="","",IF(INDEX('販売記録'!$K$5:$K$1004,$F377)="","",INDEX('販売記録'!$K$5:$K$1004,$F377)))</ns0:f>
        <ns0:v/>
      </ns0:c>
      <ns0:c r="B377" s="9" t="str">
        <ns0:f>IF($F377="","",IF(INDEX('販売記録'!$B$5:$B$1004,$F377)="","",INDEX('販売記録'!$B$5:$B$1004,$F377)))</ns0:f>
        <ns0:v/>
      </ns0:c>
      <ns0:c r="C377" s="9" t="str">
        <ns0:f>IF($F377="","",IF(INDEX('販売記録'!$C$5:$C$1004,$F377)="","",INDEX('販売記録'!$C$5:$C$1004,$F377)))</ns0:f>
        <ns0:v/>
      </ns0:c>
      <ns0:c r="D377" s="8" t="str">
        <ns0:f>IF($F377="","",IF(INDEX('販売記録'!$D$5:$D$1004,$F377)="","",INDEX('販売記録'!$D$5:$D$1004,$F377)))</ns0:f>
        <ns0:v/>
      </ns0:c>
      <ns0:c r="E377" s="12" t="str">
        <ns0:f>IF(OR(A377="",B377=""),"",MAX(0,TODAY()-A377))</ns0:f>
        <ns0:v/>
      </ns0:c>
      <ns0:c r="F377" s="9" t="str">
        <ns0:f>IFERROR(MATCH(ROW()-4,'販売記録'!$L$5:$L$1004,0),"")</ns0:f>
        <ns0:v/>
      </ns0:c>
    </ns0:row>
    <ns0:row r="378">
      <ns0:c r="A378" s="11" t="str">
        <ns0:f>IF($F378="","",IF(INDEX('販売記録'!$K$5:$K$1004,$F378)="","",INDEX('販売記録'!$K$5:$K$1004,$F378)))</ns0:f>
        <ns0:v/>
      </ns0:c>
      <ns0:c r="B378" s="9" t="str">
        <ns0:f>IF($F378="","",IF(INDEX('販売記録'!$B$5:$B$1004,$F378)="","",INDEX('販売記録'!$B$5:$B$1004,$F378)))</ns0:f>
        <ns0:v/>
      </ns0:c>
      <ns0:c r="C378" s="9" t="str">
        <ns0:f>IF($F378="","",IF(INDEX('販売記録'!$C$5:$C$1004,$F378)="","",INDEX('販売記録'!$C$5:$C$1004,$F378)))</ns0:f>
        <ns0:v/>
      </ns0:c>
      <ns0:c r="D378" s="8" t="str">
        <ns0:f>IF($F378="","",IF(INDEX('販売記録'!$D$5:$D$1004,$F378)="","",INDEX('販売記録'!$D$5:$D$1004,$F378)))</ns0:f>
        <ns0:v/>
      </ns0:c>
      <ns0:c r="E378" s="12" t="str">
        <ns0:f>IF(OR(A378="",B378=""),"",MAX(0,TODAY()-A378))</ns0:f>
        <ns0:v/>
      </ns0:c>
      <ns0:c r="F378" s="9" t="str">
        <ns0:f>IFERROR(MATCH(ROW()-4,'販売記録'!$L$5:$L$1004,0),"")</ns0:f>
        <ns0:v/>
      </ns0:c>
    </ns0:row>
    <ns0:row r="379">
      <ns0:c r="A379" s="11" t="str">
        <ns0:f>IF($F379="","",IF(INDEX('販売記録'!$K$5:$K$1004,$F379)="","",INDEX('販売記録'!$K$5:$K$1004,$F379)))</ns0:f>
        <ns0:v/>
      </ns0:c>
      <ns0:c r="B379" s="9" t="str">
        <ns0:f>IF($F379="","",IF(INDEX('販売記録'!$B$5:$B$1004,$F379)="","",INDEX('販売記録'!$B$5:$B$1004,$F379)))</ns0:f>
        <ns0:v/>
      </ns0:c>
      <ns0:c r="C379" s="9" t="str">
        <ns0:f>IF($F379="","",IF(INDEX('販売記録'!$C$5:$C$1004,$F379)="","",INDEX('販売記録'!$C$5:$C$1004,$F379)))</ns0:f>
        <ns0:v/>
      </ns0:c>
      <ns0:c r="D379" s="8" t="str">
        <ns0:f>IF($F379="","",IF(INDEX('販売記録'!$D$5:$D$1004,$F379)="","",INDEX('販売記録'!$D$5:$D$1004,$F379)))</ns0:f>
        <ns0:v/>
      </ns0:c>
      <ns0:c r="E379" s="12" t="str">
        <ns0:f>IF(OR(A379="",B379=""),"",MAX(0,TODAY()-A379))</ns0:f>
        <ns0:v/>
      </ns0:c>
      <ns0:c r="F379" s="9" t="str">
        <ns0:f>IFERROR(MATCH(ROW()-4,'販売記録'!$L$5:$L$1004,0),"")</ns0:f>
        <ns0:v/>
      </ns0:c>
    </ns0:row>
    <ns0:row r="380">
      <ns0:c r="A380" s="11" t="str">
        <ns0:f>IF($F380="","",IF(INDEX('販売記録'!$K$5:$K$1004,$F380)="","",INDEX('販売記録'!$K$5:$K$1004,$F380)))</ns0:f>
        <ns0:v/>
      </ns0:c>
      <ns0:c r="B380" s="9" t="str">
        <ns0:f>IF($F380="","",IF(INDEX('販売記録'!$B$5:$B$1004,$F380)="","",INDEX('販売記録'!$B$5:$B$1004,$F380)))</ns0:f>
        <ns0:v/>
      </ns0:c>
      <ns0:c r="C380" s="9" t="str">
        <ns0:f>IF($F380="","",IF(INDEX('販売記録'!$C$5:$C$1004,$F380)="","",INDEX('販売記録'!$C$5:$C$1004,$F380)))</ns0:f>
        <ns0:v/>
      </ns0:c>
      <ns0:c r="D380" s="8" t="str">
        <ns0:f>IF($F380="","",IF(INDEX('販売記録'!$D$5:$D$1004,$F380)="","",INDEX('販売記録'!$D$5:$D$1004,$F380)))</ns0:f>
        <ns0:v/>
      </ns0:c>
      <ns0:c r="E380" s="12" t="str">
        <ns0:f>IF(OR(A380="",B380=""),"",MAX(0,TODAY()-A380))</ns0:f>
        <ns0:v/>
      </ns0:c>
      <ns0:c r="F380" s="9" t="str">
        <ns0:f>IFERROR(MATCH(ROW()-4,'販売記録'!$L$5:$L$1004,0),"")</ns0:f>
        <ns0:v/>
      </ns0:c>
    </ns0:row>
    <ns0:row r="381">
      <ns0:c r="A381" s="11" t="str">
        <ns0:f>IF($F381="","",IF(INDEX('販売記録'!$K$5:$K$1004,$F381)="","",INDEX('販売記録'!$K$5:$K$1004,$F381)))</ns0:f>
        <ns0:v/>
      </ns0:c>
      <ns0:c r="B381" s="9" t="str">
        <ns0:f>IF($F381="","",IF(INDEX('販売記録'!$B$5:$B$1004,$F381)="","",INDEX('販売記録'!$B$5:$B$1004,$F381)))</ns0:f>
        <ns0:v/>
      </ns0:c>
      <ns0:c r="C381" s="9" t="str">
        <ns0:f>IF($F381="","",IF(INDEX('販売記録'!$C$5:$C$1004,$F381)="","",INDEX('販売記録'!$C$5:$C$1004,$F381)))</ns0:f>
        <ns0:v/>
      </ns0:c>
      <ns0:c r="D381" s="8" t="str">
        <ns0:f>IF($F381="","",IF(INDEX('販売記録'!$D$5:$D$1004,$F381)="","",INDEX('販売記録'!$D$5:$D$1004,$F381)))</ns0:f>
        <ns0:v/>
      </ns0:c>
      <ns0:c r="E381" s="12" t="str">
        <ns0:f>IF(OR(A381="",B381=""),"",MAX(0,TODAY()-A381))</ns0:f>
        <ns0:v/>
      </ns0:c>
      <ns0:c r="F381" s="9" t="str">
        <ns0:f>IFERROR(MATCH(ROW()-4,'販売記録'!$L$5:$L$1004,0),"")</ns0:f>
        <ns0:v/>
      </ns0:c>
    </ns0:row>
    <ns0:row r="382">
      <ns0:c r="A382" s="11" t="str">
        <ns0:f>IF($F382="","",IF(INDEX('販売記録'!$K$5:$K$1004,$F382)="","",INDEX('販売記録'!$K$5:$K$1004,$F382)))</ns0:f>
        <ns0:v/>
      </ns0:c>
      <ns0:c r="B382" s="9" t="str">
        <ns0:f>IF($F382="","",IF(INDEX('販売記録'!$B$5:$B$1004,$F382)="","",INDEX('販売記録'!$B$5:$B$1004,$F382)))</ns0:f>
        <ns0:v/>
      </ns0:c>
      <ns0:c r="C382" s="9" t="str">
        <ns0:f>IF($F382="","",IF(INDEX('販売記録'!$C$5:$C$1004,$F382)="","",INDEX('販売記録'!$C$5:$C$1004,$F382)))</ns0:f>
        <ns0:v/>
      </ns0:c>
      <ns0:c r="D382" s="8" t="str">
        <ns0:f>IF($F382="","",IF(INDEX('販売記録'!$D$5:$D$1004,$F382)="","",INDEX('販売記録'!$D$5:$D$1004,$F382)))</ns0:f>
        <ns0:v/>
      </ns0:c>
      <ns0:c r="E382" s="12" t="str">
        <ns0:f>IF(OR(A382="",B382=""),"",MAX(0,TODAY()-A382))</ns0:f>
        <ns0:v/>
      </ns0:c>
      <ns0:c r="F382" s="9" t="str">
        <ns0:f>IFERROR(MATCH(ROW()-4,'販売記録'!$L$5:$L$1004,0),"")</ns0:f>
        <ns0:v/>
      </ns0:c>
    </ns0:row>
    <ns0:row r="383">
      <ns0:c r="A383" s="11" t="str">
        <ns0:f>IF($F383="","",IF(INDEX('販売記録'!$K$5:$K$1004,$F383)="","",INDEX('販売記録'!$K$5:$K$1004,$F383)))</ns0:f>
        <ns0:v/>
      </ns0:c>
      <ns0:c r="B383" s="9" t="str">
        <ns0:f>IF($F383="","",IF(INDEX('販売記録'!$B$5:$B$1004,$F383)="","",INDEX('販売記録'!$B$5:$B$1004,$F383)))</ns0:f>
        <ns0:v/>
      </ns0:c>
      <ns0:c r="C383" s="9" t="str">
        <ns0:f>IF($F383="","",IF(INDEX('販売記録'!$C$5:$C$1004,$F383)="","",INDEX('販売記録'!$C$5:$C$1004,$F383)))</ns0:f>
        <ns0:v/>
      </ns0:c>
      <ns0:c r="D383" s="8" t="str">
        <ns0:f>IF($F383="","",IF(INDEX('販売記録'!$D$5:$D$1004,$F383)="","",INDEX('販売記録'!$D$5:$D$1004,$F383)))</ns0:f>
        <ns0:v/>
      </ns0:c>
      <ns0:c r="E383" s="12" t="str">
        <ns0:f>IF(OR(A383="",B383=""),"",MAX(0,TODAY()-A383))</ns0:f>
        <ns0:v/>
      </ns0:c>
      <ns0:c r="F383" s="9" t="str">
        <ns0:f>IFERROR(MATCH(ROW()-4,'販売記録'!$L$5:$L$1004,0),"")</ns0:f>
        <ns0:v/>
      </ns0:c>
    </ns0:row>
    <ns0:row r="384">
      <ns0:c r="A384" s="11" t="str">
        <ns0:f>IF($F384="","",IF(INDEX('販売記録'!$K$5:$K$1004,$F384)="","",INDEX('販売記録'!$K$5:$K$1004,$F384)))</ns0:f>
        <ns0:v/>
      </ns0:c>
      <ns0:c r="B384" s="9" t="str">
        <ns0:f>IF($F384="","",IF(INDEX('販売記録'!$B$5:$B$1004,$F384)="","",INDEX('販売記録'!$B$5:$B$1004,$F384)))</ns0:f>
        <ns0:v/>
      </ns0:c>
      <ns0:c r="C384" s="9" t="str">
        <ns0:f>IF($F384="","",IF(INDEX('販売記録'!$C$5:$C$1004,$F384)="","",INDEX('販売記録'!$C$5:$C$1004,$F384)))</ns0:f>
        <ns0:v/>
      </ns0:c>
      <ns0:c r="D384" s="8" t="str">
        <ns0:f>IF($F384="","",IF(INDEX('販売記録'!$D$5:$D$1004,$F384)="","",INDEX('販売記録'!$D$5:$D$1004,$F384)))</ns0:f>
        <ns0:v/>
      </ns0:c>
      <ns0:c r="E384" s="12" t="str">
        <ns0:f>IF(OR(A384="",B384=""),"",MAX(0,TODAY()-A384))</ns0:f>
        <ns0:v/>
      </ns0:c>
      <ns0:c r="F384" s="9" t="str">
        <ns0:f>IFERROR(MATCH(ROW()-4,'販売記録'!$L$5:$L$1004,0),"")</ns0:f>
        <ns0:v/>
      </ns0:c>
    </ns0:row>
    <ns0:row r="385">
      <ns0:c r="A385" s="11" t="str">
        <ns0:f>IF($F385="","",IF(INDEX('販売記録'!$K$5:$K$1004,$F385)="","",INDEX('販売記録'!$K$5:$K$1004,$F385)))</ns0:f>
        <ns0:v/>
      </ns0:c>
      <ns0:c r="B385" s="9" t="str">
        <ns0:f>IF($F385="","",IF(INDEX('販売記録'!$B$5:$B$1004,$F385)="","",INDEX('販売記録'!$B$5:$B$1004,$F385)))</ns0:f>
        <ns0:v/>
      </ns0:c>
      <ns0:c r="C385" s="9" t="str">
        <ns0:f>IF($F385="","",IF(INDEX('販売記録'!$C$5:$C$1004,$F385)="","",INDEX('販売記録'!$C$5:$C$1004,$F385)))</ns0:f>
        <ns0:v/>
      </ns0:c>
      <ns0:c r="D385" s="8" t="str">
        <ns0:f>IF($F385="","",IF(INDEX('販売記録'!$D$5:$D$1004,$F385)="","",INDEX('販売記録'!$D$5:$D$1004,$F385)))</ns0:f>
        <ns0:v/>
      </ns0:c>
      <ns0:c r="E385" s="12" t="str">
        <ns0:f>IF(OR(A385="",B385=""),"",MAX(0,TODAY()-A385))</ns0:f>
        <ns0:v/>
      </ns0:c>
      <ns0:c r="F385" s="9" t="str">
        <ns0:f>IFERROR(MATCH(ROW()-4,'販売記録'!$L$5:$L$1004,0),"")</ns0:f>
        <ns0:v/>
      </ns0:c>
    </ns0:row>
    <ns0:row r="386">
      <ns0:c r="A386" s="11" t="str">
        <ns0:f>IF($F386="","",IF(INDEX('販売記録'!$K$5:$K$1004,$F386)="","",INDEX('販売記録'!$K$5:$K$1004,$F386)))</ns0:f>
        <ns0:v/>
      </ns0:c>
      <ns0:c r="B386" s="9" t="str">
        <ns0:f>IF($F386="","",IF(INDEX('販売記録'!$B$5:$B$1004,$F386)="","",INDEX('販売記録'!$B$5:$B$1004,$F386)))</ns0:f>
        <ns0:v/>
      </ns0:c>
      <ns0:c r="C386" s="9" t="str">
        <ns0:f>IF($F386="","",IF(INDEX('販売記録'!$C$5:$C$1004,$F386)="","",INDEX('販売記録'!$C$5:$C$1004,$F386)))</ns0:f>
        <ns0:v/>
      </ns0:c>
      <ns0:c r="D386" s="8" t="str">
        <ns0:f>IF($F386="","",IF(INDEX('販売記録'!$D$5:$D$1004,$F386)="","",INDEX('販売記録'!$D$5:$D$1004,$F386)))</ns0:f>
        <ns0:v/>
      </ns0:c>
      <ns0:c r="E386" s="12" t="str">
        <ns0:f>IF(OR(A386="",B386=""),"",MAX(0,TODAY()-A386))</ns0:f>
        <ns0:v/>
      </ns0:c>
      <ns0:c r="F386" s="9" t="str">
        <ns0:f>IFERROR(MATCH(ROW()-4,'販売記録'!$L$5:$L$1004,0),"")</ns0:f>
        <ns0:v/>
      </ns0:c>
    </ns0:row>
    <ns0:row r="387">
      <ns0:c r="A387" s="11" t="str">
        <ns0:f>IF($F387="","",IF(INDEX('販売記録'!$K$5:$K$1004,$F387)="","",INDEX('販売記録'!$K$5:$K$1004,$F387)))</ns0:f>
        <ns0:v/>
      </ns0:c>
      <ns0:c r="B387" s="9" t="str">
        <ns0:f>IF($F387="","",IF(INDEX('販売記録'!$B$5:$B$1004,$F387)="","",INDEX('販売記録'!$B$5:$B$1004,$F387)))</ns0:f>
        <ns0:v/>
      </ns0:c>
      <ns0:c r="C387" s="9" t="str">
        <ns0:f>IF($F387="","",IF(INDEX('販売記録'!$C$5:$C$1004,$F387)="","",INDEX('販売記録'!$C$5:$C$1004,$F387)))</ns0:f>
        <ns0:v/>
      </ns0:c>
      <ns0:c r="D387" s="8" t="str">
        <ns0:f>IF($F387="","",IF(INDEX('販売記録'!$D$5:$D$1004,$F387)="","",INDEX('販売記録'!$D$5:$D$1004,$F387)))</ns0:f>
        <ns0:v/>
      </ns0:c>
      <ns0:c r="E387" s="12" t="str">
        <ns0:f>IF(OR(A387="",B387=""),"",MAX(0,TODAY()-A387))</ns0:f>
        <ns0:v/>
      </ns0:c>
      <ns0:c r="F387" s="9" t="str">
        <ns0:f>IFERROR(MATCH(ROW()-4,'販売記録'!$L$5:$L$1004,0),"")</ns0:f>
        <ns0:v/>
      </ns0:c>
    </ns0:row>
    <ns0:row r="388">
      <ns0:c r="A388" s="11" t="str">
        <ns0:f>IF($F388="","",IF(INDEX('販売記録'!$K$5:$K$1004,$F388)="","",INDEX('販売記録'!$K$5:$K$1004,$F388)))</ns0:f>
        <ns0:v/>
      </ns0:c>
      <ns0:c r="B388" s="9" t="str">
        <ns0:f>IF($F388="","",IF(INDEX('販売記録'!$B$5:$B$1004,$F388)="","",INDEX('販売記録'!$B$5:$B$1004,$F388)))</ns0:f>
        <ns0:v/>
      </ns0:c>
      <ns0:c r="C388" s="9" t="str">
        <ns0:f>IF($F388="","",IF(INDEX('販売記録'!$C$5:$C$1004,$F388)="","",INDEX('販売記録'!$C$5:$C$1004,$F388)))</ns0:f>
        <ns0:v/>
      </ns0:c>
      <ns0:c r="D388" s="8" t="str">
        <ns0:f>IF($F388="","",IF(INDEX('販売記録'!$D$5:$D$1004,$F388)="","",INDEX('販売記録'!$D$5:$D$1004,$F388)))</ns0:f>
        <ns0:v/>
      </ns0:c>
      <ns0:c r="E388" s="12" t="str">
        <ns0:f>IF(OR(A388="",B388=""),"",MAX(0,TODAY()-A388))</ns0:f>
        <ns0:v/>
      </ns0:c>
      <ns0:c r="F388" s="9" t="str">
        <ns0:f>IFERROR(MATCH(ROW()-4,'販売記録'!$L$5:$L$1004,0),"")</ns0:f>
        <ns0:v/>
      </ns0:c>
    </ns0:row>
    <ns0:row r="389">
      <ns0:c r="A389" s="11" t="str">
        <ns0:f>IF($F389="","",IF(INDEX('販売記録'!$K$5:$K$1004,$F389)="","",INDEX('販売記録'!$K$5:$K$1004,$F389)))</ns0:f>
        <ns0:v/>
      </ns0:c>
      <ns0:c r="B389" s="9" t="str">
        <ns0:f>IF($F389="","",IF(INDEX('販売記録'!$B$5:$B$1004,$F389)="","",INDEX('販売記録'!$B$5:$B$1004,$F389)))</ns0:f>
        <ns0:v/>
      </ns0:c>
      <ns0:c r="C389" s="9" t="str">
        <ns0:f>IF($F389="","",IF(INDEX('販売記録'!$C$5:$C$1004,$F389)="","",INDEX('販売記録'!$C$5:$C$1004,$F389)))</ns0:f>
        <ns0:v/>
      </ns0:c>
      <ns0:c r="D389" s="8" t="str">
        <ns0:f>IF($F389="","",IF(INDEX('販売記録'!$D$5:$D$1004,$F389)="","",INDEX('販売記録'!$D$5:$D$1004,$F389)))</ns0:f>
        <ns0:v/>
      </ns0:c>
      <ns0:c r="E389" s="12" t="str">
        <ns0:f>IF(OR(A389="",B389=""),"",MAX(0,TODAY()-A389))</ns0:f>
        <ns0:v/>
      </ns0:c>
      <ns0:c r="F389" s="9" t="str">
        <ns0:f>IFERROR(MATCH(ROW()-4,'販売記録'!$L$5:$L$1004,0),"")</ns0:f>
        <ns0:v/>
      </ns0:c>
    </ns0:row>
    <ns0:row r="390">
      <ns0:c r="A390" s="11" t="str">
        <ns0:f>IF($F390="","",IF(INDEX('販売記録'!$K$5:$K$1004,$F390)="","",INDEX('販売記録'!$K$5:$K$1004,$F390)))</ns0:f>
        <ns0:v/>
      </ns0:c>
      <ns0:c r="B390" s="9" t="str">
        <ns0:f>IF($F390="","",IF(INDEX('販売記録'!$B$5:$B$1004,$F390)="","",INDEX('販売記録'!$B$5:$B$1004,$F390)))</ns0:f>
        <ns0:v/>
      </ns0:c>
      <ns0:c r="C390" s="9" t="str">
        <ns0:f>IF($F390="","",IF(INDEX('販売記録'!$C$5:$C$1004,$F390)="","",INDEX('販売記録'!$C$5:$C$1004,$F390)))</ns0:f>
        <ns0:v/>
      </ns0:c>
      <ns0:c r="D390" s="8" t="str">
        <ns0:f>IF($F390="","",IF(INDEX('販売記録'!$D$5:$D$1004,$F390)="","",INDEX('販売記録'!$D$5:$D$1004,$F390)))</ns0:f>
        <ns0:v/>
      </ns0:c>
      <ns0:c r="E390" s="12" t="str">
        <ns0:f>IF(OR(A390="",B390=""),"",MAX(0,TODAY()-A390))</ns0:f>
        <ns0:v/>
      </ns0:c>
      <ns0:c r="F390" s="9" t="str">
        <ns0:f>IFERROR(MATCH(ROW()-4,'販売記録'!$L$5:$L$1004,0),"")</ns0:f>
        <ns0:v/>
      </ns0:c>
    </ns0:row>
    <ns0:row r="391">
      <ns0:c r="A391" s="11" t="str">
        <ns0:f>IF($F391="","",IF(INDEX('販売記録'!$K$5:$K$1004,$F391)="","",INDEX('販売記録'!$K$5:$K$1004,$F391)))</ns0:f>
        <ns0:v/>
      </ns0:c>
      <ns0:c r="B391" s="9" t="str">
        <ns0:f>IF($F391="","",IF(INDEX('販売記録'!$B$5:$B$1004,$F391)="","",INDEX('販売記録'!$B$5:$B$1004,$F391)))</ns0:f>
        <ns0:v/>
      </ns0:c>
      <ns0:c r="C391" s="9" t="str">
        <ns0:f>IF($F391="","",IF(INDEX('販売記録'!$C$5:$C$1004,$F391)="","",INDEX('販売記録'!$C$5:$C$1004,$F391)))</ns0:f>
        <ns0:v/>
      </ns0:c>
      <ns0:c r="D391" s="8" t="str">
        <ns0:f>IF($F391="","",IF(INDEX('販売記録'!$D$5:$D$1004,$F391)="","",INDEX('販売記録'!$D$5:$D$1004,$F391)))</ns0:f>
        <ns0:v/>
      </ns0:c>
      <ns0:c r="E391" s="12" t="str">
        <ns0:f>IF(OR(A391="",B391=""),"",MAX(0,TODAY()-A391))</ns0:f>
        <ns0:v/>
      </ns0:c>
      <ns0:c r="F391" s="9" t="str">
        <ns0:f>IFERROR(MATCH(ROW()-4,'販売記録'!$L$5:$L$1004,0),"")</ns0:f>
        <ns0:v/>
      </ns0:c>
    </ns0:row>
    <ns0:row r="392">
      <ns0:c r="A392" s="11" t="str">
        <ns0:f>IF($F392="","",IF(INDEX('販売記録'!$K$5:$K$1004,$F392)="","",INDEX('販売記録'!$K$5:$K$1004,$F392)))</ns0:f>
        <ns0:v/>
      </ns0:c>
      <ns0:c r="B392" s="9" t="str">
        <ns0:f>IF($F392="","",IF(INDEX('販売記録'!$B$5:$B$1004,$F392)="","",INDEX('販売記録'!$B$5:$B$1004,$F392)))</ns0:f>
        <ns0:v/>
      </ns0:c>
      <ns0:c r="C392" s="9" t="str">
        <ns0:f>IF($F392="","",IF(INDEX('販売記録'!$C$5:$C$1004,$F392)="","",INDEX('販売記録'!$C$5:$C$1004,$F392)))</ns0:f>
        <ns0:v/>
      </ns0:c>
      <ns0:c r="D392" s="8" t="str">
        <ns0:f>IF($F392="","",IF(INDEX('販売記録'!$D$5:$D$1004,$F392)="","",INDEX('販売記録'!$D$5:$D$1004,$F392)))</ns0:f>
        <ns0:v/>
      </ns0:c>
      <ns0:c r="E392" s="12" t="str">
        <ns0:f>IF(OR(A392="",B392=""),"",MAX(0,TODAY()-A392))</ns0:f>
        <ns0:v/>
      </ns0:c>
      <ns0:c r="F392" s="9" t="str">
        <ns0:f>IFERROR(MATCH(ROW()-4,'販売記録'!$L$5:$L$1004,0),"")</ns0:f>
        <ns0:v/>
      </ns0:c>
    </ns0:row>
    <ns0:row r="393">
      <ns0:c r="A393" s="11" t="str">
        <ns0:f>IF($F393="","",IF(INDEX('販売記録'!$K$5:$K$1004,$F393)="","",INDEX('販売記録'!$K$5:$K$1004,$F393)))</ns0:f>
        <ns0:v/>
      </ns0:c>
      <ns0:c r="B393" s="9" t="str">
        <ns0:f>IF($F393="","",IF(INDEX('販売記録'!$B$5:$B$1004,$F393)="","",INDEX('販売記録'!$B$5:$B$1004,$F393)))</ns0:f>
        <ns0:v/>
      </ns0:c>
      <ns0:c r="C393" s="9" t="str">
        <ns0:f>IF($F393="","",IF(INDEX('販売記録'!$C$5:$C$1004,$F393)="","",INDEX('販売記録'!$C$5:$C$1004,$F393)))</ns0:f>
        <ns0:v/>
      </ns0:c>
      <ns0:c r="D393" s="8" t="str">
        <ns0:f>IF($F393="","",IF(INDEX('販売記録'!$D$5:$D$1004,$F393)="","",INDEX('販売記録'!$D$5:$D$1004,$F393)))</ns0:f>
        <ns0:v/>
      </ns0:c>
      <ns0:c r="E393" s="12" t="str">
        <ns0:f>IF(OR(A393="",B393=""),"",MAX(0,TODAY()-A393))</ns0:f>
        <ns0:v/>
      </ns0:c>
      <ns0:c r="F393" s="9" t="str">
        <ns0:f>IFERROR(MATCH(ROW()-4,'販売記録'!$L$5:$L$1004,0),"")</ns0:f>
        <ns0:v/>
      </ns0:c>
    </ns0:row>
    <ns0:row r="394">
      <ns0:c r="A394" s="11" t="str">
        <ns0:f>IF($F394="","",IF(INDEX('販売記録'!$K$5:$K$1004,$F394)="","",INDEX('販売記録'!$K$5:$K$1004,$F394)))</ns0:f>
        <ns0:v/>
      </ns0:c>
      <ns0:c r="B394" s="9" t="str">
        <ns0:f>IF($F394="","",IF(INDEX('販売記録'!$B$5:$B$1004,$F394)="","",INDEX('販売記録'!$B$5:$B$1004,$F394)))</ns0:f>
        <ns0:v/>
      </ns0:c>
      <ns0:c r="C394" s="9" t="str">
        <ns0:f>IF($F394="","",IF(INDEX('販売記録'!$C$5:$C$1004,$F394)="","",INDEX('販売記録'!$C$5:$C$1004,$F394)))</ns0:f>
        <ns0:v/>
      </ns0:c>
      <ns0:c r="D394" s="8" t="str">
        <ns0:f>IF($F394="","",IF(INDEX('販売記録'!$D$5:$D$1004,$F394)="","",INDEX('販売記録'!$D$5:$D$1004,$F394)))</ns0:f>
        <ns0:v/>
      </ns0:c>
      <ns0:c r="E394" s="12" t="str">
        <ns0:f>IF(OR(A394="",B394=""),"",MAX(0,TODAY()-A394))</ns0:f>
        <ns0:v/>
      </ns0:c>
      <ns0:c r="F394" s="9" t="str">
        <ns0:f>IFERROR(MATCH(ROW()-4,'販売記録'!$L$5:$L$1004,0),"")</ns0:f>
        <ns0:v/>
      </ns0:c>
    </ns0:row>
    <ns0:row r="395">
      <ns0:c r="A395" s="11" t="str">
        <ns0:f>IF($F395="","",IF(INDEX('販売記録'!$K$5:$K$1004,$F395)="","",INDEX('販売記録'!$K$5:$K$1004,$F395)))</ns0:f>
        <ns0:v/>
      </ns0:c>
      <ns0:c r="B395" s="9" t="str">
        <ns0:f>IF($F395="","",IF(INDEX('販売記録'!$B$5:$B$1004,$F395)="","",INDEX('販売記録'!$B$5:$B$1004,$F395)))</ns0:f>
        <ns0:v/>
      </ns0:c>
      <ns0:c r="C395" s="9" t="str">
        <ns0:f>IF($F395="","",IF(INDEX('販売記録'!$C$5:$C$1004,$F395)="","",INDEX('販売記録'!$C$5:$C$1004,$F395)))</ns0:f>
        <ns0:v/>
      </ns0:c>
      <ns0:c r="D395" s="8" t="str">
        <ns0:f>IF($F395="","",IF(INDEX('販売記録'!$D$5:$D$1004,$F395)="","",INDEX('販売記録'!$D$5:$D$1004,$F395)))</ns0:f>
        <ns0:v/>
      </ns0:c>
      <ns0:c r="E395" s="12" t="str">
        <ns0:f>IF(OR(A395="",B395=""),"",MAX(0,TODAY()-A395))</ns0:f>
        <ns0:v/>
      </ns0:c>
      <ns0:c r="F395" s="9" t="str">
        <ns0:f>IFERROR(MATCH(ROW()-4,'販売記録'!$L$5:$L$1004,0),"")</ns0:f>
        <ns0:v/>
      </ns0:c>
    </ns0:row>
    <ns0:row r="396">
      <ns0:c r="A396" s="11" t="str">
        <ns0:f>IF($F396="","",IF(INDEX('販売記録'!$K$5:$K$1004,$F396)="","",INDEX('販売記録'!$K$5:$K$1004,$F396)))</ns0:f>
        <ns0:v/>
      </ns0:c>
      <ns0:c r="B396" s="9" t="str">
        <ns0:f>IF($F396="","",IF(INDEX('販売記録'!$B$5:$B$1004,$F396)="","",INDEX('販売記録'!$B$5:$B$1004,$F396)))</ns0:f>
        <ns0:v/>
      </ns0:c>
      <ns0:c r="C396" s="9" t="str">
        <ns0:f>IF($F396="","",IF(INDEX('販売記録'!$C$5:$C$1004,$F396)="","",INDEX('販売記録'!$C$5:$C$1004,$F396)))</ns0:f>
        <ns0:v/>
      </ns0:c>
      <ns0:c r="D396" s="8" t="str">
        <ns0:f>IF($F396="","",IF(INDEX('販売記録'!$D$5:$D$1004,$F396)="","",INDEX('販売記録'!$D$5:$D$1004,$F396)))</ns0:f>
        <ns0:v/>
      </ns0:c>
      <ns0:c r="E396" s="12" t="str">
        <ns0:f>IF(OR(A396="",B396=""),"",MAX(0,TODAY()-A396))</ns0:f>
        <ns0:v/>
      </ns0:c>
      <ns0:c r="F396" s="9" t="str">
        <ns0:f>IFERROR(MATCH(ROW()-4,'販売記録'!$L$5:$L$1004,0),"")</ns0:f>
        <ns0:v/>
      </ns0:c>
    </ns0:row>
    <ns0:row r="397">
      <ns0:c r="A397" s="11" t="str">
        <ns0:f>IF($F397="","",IF(INDEX('販売記録'!$K$5:$K$1004,$F397)="","",INDEX('販売記録'!$K$5:$K$1004,$F397)))</ns0:f>
        <ns0:v/>
      </ns0:c>
      <ns0:c r="B397" s="9" t="str">
        <ns0:f>IF($F397="","",IF(INDEX('販売記録'!$B$5:$B$1004,$F397)="","",INDEX('販売記録'!$B$5:$B$1004,$F397)))</ns0:f>
        <ns0:v/>
      </ns0:c>
      <ns0:c r="C397" s="9" t="str">
        <ns0:f>IF($F397="","",IF(INDEX('販売記録'!$C$5:$C$1004,$F397)="","",INDEX('販売記録'!$C$5:$C$1004,$F397)))</ns0:f>
        <ns0:v/>
      </ns0:c>
      <ns0:c r="D397" s="8" t="str">
        <ns0:f>IF($F397="","",IF(INDEX('販売記録'!$D$5:$D$1004,$F397)="","",INDEX('販売記録'!$D$5:$D$1004,$F397)))</ns0:f>
        <ns0:v/>
      </ns0:c>
      <ns0:c r="E397" s="12" t="str">
        <ns0:f>IF(OR(A397="",B397=""),"",MAX(0,TODAY()-A397))</ns0:f>
        <ns0:v/>
      </ns0:c>
      <ns0:c r="F397" s="9" t="str">
        <ns0:f>IFERROR(MATCH(ROW()-4,'販売記録'!$L$5:$L$1004,0),"")</ns0:f>
        <ns0:v/>
      </ns0:c>
    </ns0:row>
    <ns0:row r="398">
      <ns0:c r="A398" s="11" t="str">
        <ns0:f>IF($F398="","",IF(INDEX('販売記録'!$K$5:$K$1004,$F398)="","",INDEX('販売記録'!$K$5:$K$1004,$F398)))</ns0:f>
        <ns0:v/>
      </ns0:c>
      <ns0:c r="B398" s="9" t="str">
        <ns0:f>IF($F398="","",IF(INDEX('販売記録'!$B$5:$B$1004,$F398)="","",INDEX('販売記録'!$B$5:$B$1004,$F398)))</ns0:f>
        <ns0:v/>
      </ns0:c>
      <ns0:c r="C398" s="9" t="str">
        <ns0:f>IF($F398="","",IF(INDEX('販売記録'!$C$5:$C$1004,$F398)="","",INDEX('販売記録'!$C$5:$C$1004,$F398)))</ns0:f>
        <ns0:v/>
      </ns0:c>
      <ns0:c r="D398" s="8" t="str">
        <ns0:f>IF($F398="","",IF(INDEX('販売記録'!$D$5:$D$1004,$F398)="","",INDEX('販売記録'!$D$5:$D$1004,$F398)))</ns0:f>
        <ns0:v/>
      </ns0:c>
      <ns0:c r="E398" s="12" t="str">
        <ns0:f>IF(OR(A398="",B398=""),"",MAX(0,TODAY()-A398))</ns0:f>
        <ns0:v/>
      </ns0:c>
      <ns0:c r="F398" s="9" t="str">
        <ns0:f>IFERROR(MATCH(ROW()-4,'販売記録'!$L$5:$L$1004,0),"")</ns0:f>
        <ns0:v/>
      </ns0:c>
    </ns0:row>
    <ns0:row r="399">
      <ns0:c r="A399" s="11" t="str">
        <ns0:f>IF($F399="","",IF(INDEX('販売記録'!$K$5:$K$1004,$F399)="","",INDEX('販売記録'!$K$5:$K$1004,$F399)))</ns0:f>
        <ns0:v/>
      </ns0:c>
      <ns0:c r="B399" s="9" t="str">
        <ns0:f>IF($F399="","",IF(INDEX('販売記録'!$B$5:$B$1004,$F399)="","",INDEX('販売記録'!$B$5:$B$1004,$F399)))</ns0:f>
        <ns0:v/>
      </ns0:c>
      <ns0:c r="C399" s="9" t="str">
        <ns0:f>IF($F399="","",IF(INDEX('販売記録'!$C$5:$C$1004,$F399)="","",INDEX('販売記録'!$C$5:$C$1004,$F399)))</ns0:f>
        <ns0:v/>
      </ns0:c>
      <ns0:c r="D399" s="8" t="str">
        <ns0:f>IF($F399="","",IF(INDEX('販売記録'!$D$5:$D$1004,$F399)="","",INDEX('販売記録'!$D$5:$D$1004,$F399)))</ns0:f>
        <ns0:v/>
      </ns0:c>
      <ns0:c r="E399" s="12" t="str">
        <ns0:f>IF(OR(A399="",B399=""),"",MAX(0,TODAY()-A399))</ns0:f>
        <ns0:v/>
      </ns0:c>
      <ns0:c r="F399" s="9" t="str">
        <ns0:f>IFERROR(MATCH(ROW()-4,'販売記録'!$L$5:$L$1004,0),"")</ns0:f>
        <ns0:v/>
      </ns0:c>
    </ns0:row>
    <ns0:row r="400">
      <ns0:c r="A400" s="11" t="str">
        <ns0:f>IF($F400="","",IF(INDEX('販売記録'!$K$5:$K$1004,$F400)="","",INDEX('販売記録'!$K$5:$K$1004,$F400)))</ns0:f>
        <ns0:v/>
      </ns0:c>
      <ns0:c r="B400" s="9" t="str">
        <ns0:f>IF($F400="","",IF(INDEX('販売記録'!$B$5:$B$1004,$F400)="","",INDEX('販売記録'!$B$5:$B$1004,$F400)))</ns0:f>
        <ns0:v/>
      </ns0:c>
      <ns0:c r="C400" s="9" t="str">
        <ns0:f>IF($F400="","",IF(INDEX('販売記録'!$C$5:$C$1004,$F400)="","",INDEX('販売記録'!$C$5:$C$1004,$F400)))</ns0:f>
        <ns0:v/>
      </ns0:c>
      <ns0:c r="D400" s="8" t="str">
        <ns0:f>IF($F400="","",IF(INDEX('販売記録'!$D$5:$D$1004,$F400)="","",INDEX('販売記録'!$D$5:$D$1004,$F400)))</ns0:f>
        <ns0:v/>
      </ns0:c>
      <ns0:c r="E400" s="12" t="str">
        <ns0:f>IF(OR(A400="",B400=""),"",MAX(0,TODAY()-A400))</ns0:f>
        <ns0:v/>
      </ns0:c>
      <ns0:c r="F400" s="9" t="str">
        <ns0:f>IFERROR(MATCH(ROW()-4,'販売記録'!$L$5:$L$1004,0),"")</ns0:f>
        <ns0:v/>
      </ns0:c>
    </ns0:row>
    <ns0:row r="401">
      <ns0:c r="A401" s="11" t="str">
        <ns0:f>IF($F401="","",IF(INDEX('販売記録'!$K$5:$K$1004,$F401)="","",INDEX('販売記録'!$K$5:$K$1004,$F401)))</ns0:f>
        <ns0:v/>
      </ns0:c>
      <ns0:c r="B401" s="9" t="str">
        <ns0:f>IF($F401="","",IF(INDEX('販売記録'!$B$5:$B$1004,$F401)="","",INDEX('販売記録'!$B$5:$B$1004,$F401)))</ns0:f>
        <ns0:v/>
      </ns0:c>
      <ns0:c r="C401" s="9" t="str">
        <ns0:f>IF($F401="","",IF(INDEX('販売記録'!$C$5:$C$1004,$F401)="","",INDEX('販売記録'!$C$5:$C$1004,$F401)))</ns0:f>
        <ns0:v/>
      </ns0:c>
      <ns0:c r="D401" s="8" t="str">
        <ns0:f>IF($F401="","",IF(INDEX('販売記録'!$D$5:$D$1004,$F401)="","",INDEX('販売記録'!$D$5:$D$1004,$F401)))</ns0:f>
        <ns0:v/>
      </ns0:c>
      <ns0:c r="E401" s="12" t="str">
        <ns0:f>IF(OR(A401="",B401=""),"",MAX(0,TODAY()-A401))</ns0:f>
        <ns0:v/>
      </ns0:c>
      <ns0:c r="F401" s="9" t="str">
        <ns0:f>IFERROR(MATCH(ROW()-4,'販売記録'!$L$5:$L$1004,0),"")</ns0:f>
        <ns0:v/>
      </ns0:c>
    </ns0:row>
    <ns0:row r="402">
      <ns0:c r="A402" s="11" t="str">
        <ns0:f>IF($F402="","",IF(INDEX('販売記録'!$K$5:$K$1004,$F402)="","",INDEX('販売記録'!$K$5:$K$1004,$F402)))</ns0:f>
        <ns0:v/>
      </ns0:c>
      <ns0:c r="B402" s="9" t="str">
        <ns0:f>IF($F402="","",IF(INDEX('販売記録'!$B$5:$B$1004,$F402)="","",INDEX('販売記録'!$B$5:$B$1004,$F402)))</ns0:f>
        <ns0:v/>
      </ns0:c>
      <ns0:c r="C402" s="9" t="str">
        <ns0:f>IF($F402="","",IF(INDEX('販売記録'!$C$5:$C$1004,$F402)="","",INDEX('販売記録'!$C$5:$C$1004,$F402)))</ns0:f>
        <ns0:v/>
      </ns0:c>
      <ns0:c r="D402" s="8" t="str">
        <ns0:f>IF($F402="","",IF(INDEX('販売記録'!$D$5:$D$1004,$F402)="","",INDEX('販売記録'!$D$5:$D$1004,$F402)))</ns0:f>
        <ns0:v/>
      </ns0:c>
      <ns0:c r="E402" s="12" t="str">
        <ns0:f>IF(OR(A402="",B402=""),"",MAX(0,TODAY()-A402))</ns0:f>
        <ns0:v/>
      </ns0:c>
      <ns0:c r="F402" s="9" t="str">
        <ns0:f>IFERROR(MATCH(ROW()-4,'販売記録'!$L$5:$L$1004,0),"")</ns0:f>
        <ns0:v/>
      </ns0:c>
    </ns0:row>
    <ns0:row r="403">
      <ns0:c r="A403" s="11" t="str">
        <ns0:f>IF($F403="","",IF(INDEX('販売記録'!$K$5:$K$1004,$F403)="","",INDEX('販売記録'!$K$5:$K$1004,$F403)))</ns0:f>
        <ns0:v/>
      </ns0:c>
      <ns0:c r="B403" s="9" t="str">
        <ns0:f>IF($F403="","",IF(INDEX('販売記録'!$B$5:$B$1004,$F403)="","",INDEX('販売記録'!$B$5:$B$1004,$F403)))</ns0:f>
        <ns0:v/>
      </ns0:c>
      <ns0:c r="C403" s="9" t="str">
        <ns0:f>IF($F403="","",IF(INDEX('販売記録'!$C$5:$C$1004,$F403)="","",INDEX('販売記録'!$C$5:$C$1004,$F403)))</ns0:f>
        <ns0:v/>
      </ns0:c>
      <ns0:c r="D403" s="8" t="str">
        <ns0:f>IF($F403="","",IF(INDEX('販売記録'!$D$5:$D$1004,$F403)="","",INDEX('販売記録'!$D$5:$D$1004,$F403)))</ns0:f>
        <ns0:v/>
      </ns0:c>
      <ns0:c r="E403" s="12" t="str">
        <ns0:f>IF(OR(A403="",B403=""),"",MAX(0,TODAY()-A403))</ns0:f>
        <ns0:v/>
      </ns0:c>
      <ns0:c r="F403" s="9" t="str">
        <ns0:f>IFERROR(MATCH(ROW()-4,'販売記録'!$L$5:$L$1004,0),"")</ns0:f>
        <ns0:v/>
      </ns0:c>
    </ns0:row>
    <ns0:row r="404">
      <ns0:c r="A404" s="11" t="str">
        <ns0:f>IF($F404="","",IF(INDEX('販売記録'!$K$5:$K$1004,$F404)="","",INDEX('販売記録'!$K$5:$K$1004,$F404)))</ns0:f>
        <ns0:v/>
      </ns0:c>
      <ns0:c r="B404" s="9" t="str">
        <ns0:f>IF($F404="","",IF(INDEX('販売記録'!$B$5:$B$1004,$F404)="","",INDEX('販売記録'!$B$5:$B$1004,$F404)))</ns0:f>
        <ns0:v/>
      </ns0:c>
      <ns0:c r="C404" s="9" t="str">
        <ns0:f>IF($F404="","",IF(INDEX('販売記録'!$C$5:$C$1004,$F404)="","",INDEX('販売記録'!$C$5:$C$1004,$F404)))</ns0:f>
        <ns0:v/>
      </ns0:c>
      <ns0:c r="D404" s="8" t="str">
        <ns0:f>IF($F404="","",IF(INDEX('販売記録'!$D$5:$D$1004,$F404)="","",INDEX('販売記録'!$D$5:$D$1004,$F404)))</ns0:f>
        <ns0:v/>
      </ns0:c>
      <ns0:c r="E404" s="12" t="str">
        <ns0:f>IF(OR(A404="",B404=""),"",MAX(0,TODAY()-A404))</ns0:f>
        <ns0:v/>
      </ns0:c>
      <ns0:c r="F404" s="9" t="str">
        <ns0:f>IFERROR(MATCH(ROW()-4,'販売記録'!$L$5:$L$1004,0),"")</ns0:f>
        <ns0:v/>
      </ns0:c>
    </ns0:row>
    <ns0:row r="405">
      <ns0:c r="A405" s="11" t="str">
        <ns0:f>IF($F405="","",IF(INDEX('販売記録'!$K$5:$K$1004,$F405)="","",INDEX('販売記録'!$K$5:$K$1004,$F405)))</ns0:f>
        <ns0:v/>
      </ns0:c>
      <ns0:c r="B405" s="9" t="str">
        <ns0:f>IF($F405="","",IF(INDEX('販売記録'!$B$5:$B$1004,$F405)="","",INDEX('販売記録'!$B$5:$B$1004,$F405)))</ns0:f>
        <ns0:v/>
      </ns0:c>
      <ns0:c r="C405" s="9" t="str">
        <ns0:f>IF($F405="","",IF(INDEX('販売記録'!$C$5:$C$1004,$F405)="","",INDEX('販売記録'!$C$5:$C$1004,$F405)))</ns0:f>
        <ns0:v/>
      </ns0:c>
      <ns0:c r="D405" s="8" t="str">
        <ns0:f>IF($F405="","",IF(INDEX('販売記録'!$D$5:$D$1004,$F405)="","",INDEX('販売記録'!$D$5:$D$1004,$F405)))</ns0:f>
        <ns0:v/>
      </ns0:c>
      <ns0:c r="E405" s="12" t="str">
        <ns0:f>IF(OR(A405="",B405=""),"",MAX(0,TODAY()-A405))</ns0:f>
        <ns0:v/>
      </ns0:c>
      <ns0:c r="F405" s="9" t="str">
        <ns0:f>IFERROR(MATCH(ROW()-4,'販売記録'!$L$5:$L$1004,0),"")</ns0:f>
        <ns0:v/>
      </ns0:c>
    </ns0:row>
    <ns0:row r="406">
      <ns0:c r="A406" s="11" t="str">
        <ns0:f>IF($F406="","",IF(INDEX('販売記録'!$K$5:$K$1004,$F406)="","",INDEX('販売記録'!$K$5:$K$1004,$F406)))</ns0:f>
        <ns0:v/>
      </ns0:c>
      <ns0:c r="B406" s="9" t="str">
        <ns0:f>IF($F406="","",IF(INDEX('販売記録'!$B$5:$B$1004,$F406)="","",INDEX('販売記録'!$B$5:$B$1004,$F406)))</ns0:f>
        <ns0:v/>
      </ns0:c>
      <ns0:c r="C406" s="9" t="str">
        <ns0:f>IF($F406="","",IF(INDEX('販売記録'!$C$5:$C$1004,$F406)="","",INDEX('販売記録'!$C$5:$C$1004,$F406)))</ns0:f>
        <ns0:v/>
      </ns0:c>
      <ns0:c r="D406" s="8" t="str">
        <ns0:f>IF($F406="","",IF(INDEX('販売記録'!$D$5:$D$1004,$F406)="","",INDEX('販売記録'!$D$5:$D$1004,$F406)))</ns0:f>
        <ns0:v/>
      </ns0:c>
      <ns0:c r="E406" s="12" t="str">
        <ns0:f>IF(OR(A406="",B406=""),"",MAX(0,TODAY()-A406))</ns0:f>
        <ns0:v/>
      </ns0:c>
      <ns0:c r="F406" s="9" t="str">
        <ns0:f>IFERROR(MATCH(ROW()-4,'販売記録'!$L$5:$L$1004,0),"")</ns0:f>
        <ns0:v/>
      </ns0:c>
    </ns0:row>
    <ns0:row r="407">
      <ns0:c r="A407" s="11" t="str">
        <ns0:f>IF($F407="","",IF(INDEX('販売記録'!$K$5:$K$1004,$F407)="","",INDEX('販売記録'!$K$5:$K$1004,$F407)))</ns0:f>
        <ns0:v/>
      </ns0:c>
      <ns0:c r="B407" s="9" t="str">
        <ns0:f>IF($F407="","",IF(INDEX('販売記録'!$B$5:$B$1004,$F407)="","",INDEX('販売記録'!$B$5:$B$1004,$F407)))</ns0:f>
        <ns0:v/>
      </ns0:c>
      <ns0:c r="C407" s="9" t="str">
        <ns0:f>IF($F407="","",IF(INDEX('販売記録'!$C$5:$C$1004,$F407)="","",INDEX('販売記録'!$C$5:$C$1004,$F407)))</ns0:f>
        <ns0:v/>
      </ns0:c>
      <ns0:c r="D407" s="8" t="str">
        <ns0:f>IF($F407="","",IF(INDEX('販売記録'!$D$5:$D$1004,$F407)="","",INDEX('販売記録'!$D$5:$D$1004,$F407)))</ns0:f>
        <ns0:v/>
      </ns0:c>
      <ns0:c r="E407" s="12" t="str">
        <ns0:f>IF(OR(A407="",B407=""),"",MAX(0,TODAY()-A407))</ns0:f>
        <ns0:v/>
      </ns0:c>
      <ns0:c r="F407" s="9" t="str">
        <ns0:f>IFERROR(MATCH(ROW()-4,'販売記録'!$L$5:$L$1004,0),"")</ns0:f>
        <ns0:v/>
      </ns0:c>
    </ns0:row>
    <ns0:row r="408">
      <ns0:c r="A408" s="11" t="str">
        <ns0:f>IF($F408="","",IF(INDEX('販売記録'!$K$5:$K$1004,$F408)="","",INDEX('販売記録'!$K$5:$K$1004,$F408)))</ns0:f>
        <ns0:v/>
      </ns0:c>
      <ns0:c r="B408" s="9" t="str">
        <ns0:f>IF($F408="","",IF(INDEX('販売記録'!$B$5:$B$1004,$F408)="","",INDEX('販売記録'!$B$5:$B$1004,$F408)))</ns0:f>
        <ns0:v/>
      </ns0:c>
      <ns0:c r="C408" s="9" t="str">
        <ns0:f>IF($F408="","",IF(INDEX('販売記録'!$C$5:$C$1004,$F408)="","",INDEX('販売記録'!$C$5:$C$1004,$F408)))</ns0:f>
        <ns0:v/>
      </ns0:c>
      <ns0:c r="D408" s="8" t="str">
        <ns0:f>IF($F408="","",IF(INDEX('販売記録'!$D$5:$D$1004,$F408)="","",INDEX('販売記録'!$D$5:$D$1004,$F408)))</ns0:f>
        <ns0:v/>
      </ns0:c>
      <ns0:c r="E408" s="12" t="str">
        <ns0:f>IF(OR(A408="",B408=""),"",MAX(0,TODAY()-A408))</ns0:f>
        <ns0:v/>
      </ns0:c>
      <ns0:c r="F408" s="9" t="str">
        <ns0:f>IFERROR(MATCH(ROW()-4,'販売記録'!$L$5:$L$1004,0),"")</ns0:f>
        <ns0:v/>
      </ns0:c>
    </ns0:row>
    <ns0:row r="409">
      <ns0:c r="A409" s="11" t="str">
        <ns0:f>IF($F409="","",IF(INDEX('販売記録'!$K$5:$K$1004,$F409)="","",INDEX('販売記録'!$K$5:$K$1004,$F409)))</ns0:f>
        <ns0:v/>
      </ns0:c>
      <ns0:c r="B409" s="9" t="str">
        <ns0:f>IF($F409="","",IF(INDEX('販売記録'!$B$5:$B$1004,$F409)="","",INDEX('販売記録'!$B$5:$B$1004,$F409)))</ns0:f>
        <ns0:v/>
      </ns0:c>
      <ns0:c r="C409" s="9" t="str">
        <ns0:f>IF($F409="","",IF(INDEX('販売記録'!$C$5:$C$1004,$F409)="","",INDEX('販売記録'!$C$5:$C$1004,$F409)))</ns0:f>
        <ns0:v/>
      </ns0:c>
      <ns0:c r="D409" s="8" t="str">
        <ns0:f>IF($F409="","",IF(INDEX('販売記録'!$D$5:$D$1004,$F409)="","",INDEX('販売記録'!$D$5:$D$1004,$F409)))</ns0:f>
        <ns0:v/>
      </ns0:c>
      <ns0:c r="E409" s="12" t="str">
        <ns0:f>IF(OR(A409="",B409=""),"",MAX(0,TODAY()-A409))</ns0:f>
        <ns0:v/>
      </ns0:c>
      <ns0:c r="F409" s="9" t="str">
        <ns0:f>IFERROR(MATCH(ROW()-4,'販売記録'!$L$5:$L$1004,0),"")</ns0:f>
        <ns0:v/>
      </ns0:c>
    </ns0:row>
    <ns0:row r="410">
      <ns0:c r="A410" s="11" t="str">
        <ns0:f>IF($F410="","",IF(INDEX('販売記録'!$K$5:$K$1004,$F410)="","",INDEX('販売記録'!$K$5:$K$1004,$F410)))</ns0:f>
        <ns0:v/>
      </ns0:c>
      <ns0:c r="B410" s="9" t="str">
        <ns0:f>IF($F410="","",IF(INDEX('販売記録'!$B$5:$B$1004,$F410)="","",INDEX('販売記録'!$B$5:$B$1004,$F410)))</ns0:f>
        <ns0:v/>
      </ns0:c>
      <ns0:c r="C410" s="9" t="str">
        <ns0:f>IF($F410="","",IF(INDEX('販売記録'!$C$5:$C$1004,$F410)="","",INDEX('販売記録'!$C$5:$C$1004,$F410)))</ns0:f>
        <ns0:v/>
      </ns0:c>
      <ns0:c r="D410" s="8" t="str">
        <ns0:f>IF($F410="","",IF(INDEX('販売記録'!$D$5:$D$1004,$F410)="","",INDEX('販売記録'!$D$5:$D$1004,$F410)))</ns0:f>
        <ns0:v/>
      </ns0:c>
      <ns0:c r="E410" s="12" t="str">
        <ns0:f>IF(OR(A410="",B410=""),"",MAX(0,TODAY()-A410))</ns0:f>
        <ns0:v/>
      </ns0:c>
      <ns0:c r="F410" s="9" t="str">
        <ns0:f>IFERROR(MATCH(ROW()-4,'販売記録'!$L$5:$L$1004,0),"")</ns0:f>
        <ns0:v/>
      </ns0:c>
    </ns0:row>
    <ns0:row r="411">
      <ns0:c r="A411" s="11" t="str">
        <ns0:f>IF($F411="","",IF(INDEX('販売記録'!$K$5:$K$1004,$F411)="","",INDEX('販売記録'!$K$5:$K$1004,$F411)))</ns0:f>
        <ns0:v/>
      </ns0:c>
      <ns0:c r="B411" s="9" t="str">
        <ns0:f>IF($F411="","",IF(INDEX('販売記録'!$B$5:$B$1004,$F411)="","",INDEX('販売記録'!$B$5:$B$1004,$F411)))</ns0:f>
        <ns0:v/>
      </ns0:c>
      <ns0:c r="C411" s="9" t="str">
        <ns0:f>IF($F411="","",IF(INDEX('販売記録'!$C$5:$C$1004,$F411)="","",INDEX('販売記録'!$C$5:$C$1004,$F411)))</ns0:f>
        <ns0:v/>
      </ns0:c>
      <ns0:c r="D411" s="8" t="str">
        <ns0:f>IF($F411="","",IF(INDEX('販売記録'!$D$5:$D$1004,$F411)="","",INDEX('販売記録'!$D$5:$D$1004,$F411)))</ns0:f>
        <ns0:v/>
      </ns0:c>
      <ns0:c r="E411" s="12" t="str">
        <ns0:f>IF(OR(A411="",B411=""),"",MAX(0,TODAY()-A411))</ns0:f>
        <ns0:v/>
      </ns0:c>
      <ns0:c r="F411" s="9" t="str">
        <ns0:f>IFERROR(MATCH(ROW()-4,'販売記録'!$L$5:$L$1004,0),"")</ns0:f>
        <ns0:v/>
      </ns0:c>
    </ns0:row>
    <ns0:row r="412">
      <ns0:c r="A412" s="11" t="str">
        <ns0:f>IF($F412="","",IF(INDEX('販売記録'!$K$5:$K$1004,$F412)="","",INDEX('販売記録'!$K$5:$K$1004,$F412)))</ns0:f>
        <ns0:v/>
      </ns0:c>
      <ns0:c r="B412" s="9" t="str">
        <ns0:f>IF($F412="","",IF(INDEX('販売記録'!$B$5:$B$1004,$F412)="","",INDEX('販売記録'!$B$5:$B$1004,$F412)))</ns0:f>
        <ns0:v/>
      </ns0:c>
      <ns0:c r="C412" s="9" t="str">
        <ns0:f>IF($F412="","",IF(INDEX('販売記録'!$C$5:$C$1004,$F412)="","",INDEX('販売記録'!$C$5:$C$1004,$F412)))</ns0:f>
        <ns0:v/>
      </ns0:c>
      <ns0:c r="D412" s="8" t="str">
        <ns0:f>IF($F412="","",IF(INDEX('販売記録'!$D$5:$D$1004,$F412)="","",INDEX('販売記録'!$D$5:$D$1004,$F412)))</ns0:f>
        <ns0:v/>
      </ns0:c>
      <ns0:c r="E412" s="12" t="str">
        <ns0:f>IF(OR(A412="",B412=""),"",MAX(0,TODAY()-A412))</ns0:f>
        <ns0:v/>
      </ns0:c>
      <ns0:c r="F412" s="9" t="str">
        <ns0:f>IFERROR(MATCH(ROW()-4,'販売記録'!$L$5:$L$1004,0),"")</ns0:f>
        <ns0:v/>
      </ns0:c>
    </ns0:row>
    <ns0:row r="413">
      <ns0:c r="A413" s="11" t="str">
        <ns0:f>IF($F413="","",IF(INDEX('販売記録'!$K$5:$K$1004,$F413)="","",INDEX('販売記録'!$K$5:$K$1004,$F413)))</ns0:f>
        <ns0:v/>
      </ns0:c>
      <ns0:c r="B413" s="9" t="str">
        <ns0:f>IF($F413="","",IF(INDEX('販売記録'!$B$5:$B$1004,$F413)="","",INDEX('販売記録'!$B$5:$B$1004,$F413)))</ns0:f>
        <ns0:v/>
      </ns0:c>
      <ns0:c r="C413" s="9" t="str">
        <ns0:f>IF($F413="","",IF(INDEX('販売記録'!$C$5:$C$1004,$F413)="","",INDEX('販売記録'!$C$5:$C$1004,$F413)))</ns0:f>
        <ns0:v/>
      </ns0:c>
      <ns0:c r="D413" s="8" t="str">
        <ns0:f>IF($F413="","",IF(INDEX('販売記録'!$D$5:$D$1004,$F413)="","",INDEX('販売記録'!$D$5:$D$1004,$F413)))</ns0:f>
        <ns0:v/>
      </ns0:c>
      <ns0:c r="E413" s="12" t="str">
        <ns0:f>IF(OR(A413="",B413=""),"",MAX(0,TODAY()-A413))</ns0:f>
        <ns0:v/>
      </ns0:c>
      <ns0:c r="F413" s="9" t="str">
        <ns0:f>IFERROR(MATCH(ROW()-4,'販売記録'!$L$5:$L$1004,0),"")</ns0:f>
        <ns0:v/>
      </ns0:c>
    </ns0:row>
    <ns0:row r="414">
      <ns0:c r="A414" s="11" t="str">
        <ns0:f>IF($F414="","",IF(INDEX('販売記録'!$K$5:$K$1004,$F414)="","",INDEX('販売記録'!$K$5:$K$1004,$F414)))</ns0:f>
        <ns0:v/>
      </ns0:c>
      <ns0:c r="B414" s="9" t="str">
        <ns0:f>IF($F414="","",IF(INDEX('販売記録'!$B$5:$B$1004,$F414)="","",INDEX('販売記録'!$B$5:$B$1004,$F414)))</ns0:f>
        <ns0:v/>
      </ns0:c>
      <ns0:c r="C414" s="9" t="str">
        <ns0:f>IF($F414="","",IF(INDEX('販売記録'!$C$5:$C$1004,$F414)="","",INDEX('販売記録'!$C$5:$C$1004,$F414)))</ns0:f>
        <ns0:v/>
      </ns0:c>
      <ns0:c r="D414" s="8" t="str">
        <ns0:f>IF($F414="","",IF(INDEX('販売記録'!$D$5:$D$1004,$F414)="","",INDEX('販売記録'!$D$5:$D$1004,$F414)))</ns0:f>
        <ns0:v/>
      </ns0:c>
      <ns0:c r="E414" s="12" t="str">
        <ns0:f>IF(OR(A414="",B414=""),"",MAX(0,TODAY()-A414))</ns0:f>
        <ns0:v/>
      </ns0:c>
      <ns0:c r="F414" s="9" t="str">
        <ns0:f>IFERROR(MATCH(ROW()-4,'販売記録'!$L$5:$L$1004,0),"")</ns0:f>
        <ns0:v/>
      </ns0:c>
    </ns0:row>
    <ns0:row r="415">
      <ns0:c r="A415" s="11" t="str">
        <ns0:f>IF($F415="","",IF(INDEX('販売記録'!$K$5:$K$1004,$F415)="","",INDEX('販売記録'!$K$5:$K$1004,$F415)))</ns0:f>
        <ns0:v/>
      </ns0:c>
      <ns0:c r="B415" s="9" t="str">
        <ns0:f>IF($F415="","",IF(INDEX('販売記録'!$B$5:$B$1004,$F415)="","",INDEX('販売記録'!$B$5:$B$1004,$F415)))</ns0:f>
        <ns0:v/>
      </ns0:c>
      <ns0:c r="C415" s="9" t="str">
        <ns0:f>IF($F415="","",IF(INDEX('販売記録'!$C$5:$C$1004,$F415)="","",INDEX('販売記録'!$C$5:$C$1004,$F415)))</ns0:f>
        <ns0:v/>
      </ns0:c>
      <ns0:c r="D415" s="8" t="str">
        <ns0:f>IF($F415="","",IF(INDEX('販売記録'!$D$5:$D$1004,$F415)="","",INDEX('販売記録'!$D$5:$D$1004,$F415)))</ns0:f>
        <ns0:v/>
      </ns0:c>
      <ns0:c r="E415" s="12" t="str">
        <ns0:f>IF(OR(A415="",B415=""),"",MAX(0,TODAY()-A415))</ns0:f>
        <ns0:v/>
      </ns0:c>
      <ns0:c r="F415" s="9" t="str">
        <ns0:f>IFERROR(MATCH(ROW()-4,'販売記録'!$L$5:$L$1004,0),"")</ns0:f>
        <ns0:v/>
      </ns0:c>
    </ns0:row>
    <ns0:row r="416">
      <ns0:c r="A416" s="11" t="str">
        <ns0:f>IF($F416="","",IF(INDEX('販売記録'!$K$5:$K$1004,$F416)="","",INDEX('販売記録'!$K$5:$K$1004,$F416)))</ns0:f>
        <ns0:v/>
      </ns0:c>
      <ns0:c r="B416" s="9" t="str">
        <ns0:f>IF($F416="","",IF(INDEX('販売記録'!$B$5:$B$1004,$F416)="","",INDEX('販売記録'!$B$5:$B$1004,$F416)))</ns0:f>
        <ns0:v/>
      </ns0:c>
      <ns0:c r="C416" s="9" t="str">
        <ns0:f>IF($F416="","",IF(INDEX('販売記録'!$C$5:$C$1004,$F416)="","",INDEX('販売記録'!$C$5:$C$1004,$F416)))</ns0:f>
        <ns0:v/>
      </ns0:c>
      <ns0:c r="D416" s="8" t="str">
        <ns0:f>IF($F416="","",IF(INDEX('販売記録'!$D$5:$D$1004,$F416)="","",INDEX('販売記録'!$D$5:$D$1004,$F416)))</ns0:f>
        <ns0:v/>
      </ns0:c>
      <ns0:c r="E416" s="12" t="str">
        <ns0:f>IF(OR(A416="",B416=""),"",MAX(0,TODAY()-A416))</ns0:f>
        <ns0:v/>
      </ns0:c>
      <ns0:c r="F416" s="9" t="str">
        <ns0:f>IFERROR(MATCH(ROW()-4,'販売記録'!$L$5:$L$1004,0),"")</ns0:f>
        <ns0:v/>
      </ns0:c>
    </ns0:row>
    <ns0:row r="417">
      <ns0:c r="A417" s="11" t="str">
        <ns0:f>IF($F417="","",IF(INDEX('販売記録'!$K$5:$K$1004,$F417)="","",INDEX('販売記録'!$K$5:$K$1004,$F417)))</ns0:f>
        <ns0:v/>
      </ns0:c>
      <ns0:c r="B417" s="9" t="str">
        <ns0:f>IF($F417="","",IF(INDEX('販売記録'!$B$5:$B$1004,$F417)="","",INDEX('販売記録'!$B$5:$B$1004,$F417)))</ns0:f>
        <ns0:v/>
      </ns0:c>
      <ns0:c r="C417" s="9" t="str">
        <ns0:f>IF($F417="","",IF(INDEX('販売記録'!$C$5:$C$1004,$F417)="","",INDEX('販売記録'!$C$5:$C$1004,$F417)))</ns0:f>
        <ns0:v/>
      </ns0:c>
      <ns0:c r="D417" s="8" t="str">
        <ns0:f>IF($F417="","",IF(INDEX('販売記録'!$D$5:$D$1004,$F417)="","",INDEX('販売記録'!$D$5:$D$1004,$F417)))</ns0:f>
        <ns0:v/>
      </ns0:c>
      <ns0:c r="E417" s="12" t="str">
        <ns0:f>IF(OR(A417="",B417=""),"",MAX(0,TODAY()-A417))</ns0:f>
        <ns0:v/>
      </ns0:c>
      <ns0:c r="F417" s="9" t="str">
        <ns0:f>IFERROR(MATCH(ROW()-4,'販売記録'!$L$5:$L$1004,0),"")</ns0:f>
        <ns0:v/>
      </ns0:c>
    </ns0:row>
    <ns0:row r="418">
      <ns0:c r="A418" s="11" t="str">
        <ns0:f>IF($F418="","",IF(INDEX('販売記録'!$K$5:$K$1004,$F418)="","",INDEX('販売記録'!$K$5:$K$1004,$F418)))</ns0:f>
        <ns0:v/>
      </ns0:c>
      <ns0:c r="B418" s="9" t="str">
        <ns0:f>IF($F418="","",IF(INDEX('販売記録'!$B$5:$B$1004,$F418)="","",INDEX('販売記録'!$B$5:$B$1004,$F418)))</ns0:f>
        <ns0:v/>
      </ns0:c>
      <ns0:c r="C418" s="9" t="str">
        <ns0:f>IF($F418="","",IF(INDEX('販売記録'!$C$5:$C$1004,$F418)="","",INDEX('販売記録'!$C$5:$C$1004,$F418)))</ns0:f>
        <ns0:v/>
      </ns0:c>
      <ns0:c r="D418" s="8" t="str">
        <ns0:f>IF($F418="","",IF(INDEX('販売記録'!$D$5:$D$1004,$F418)="","",INDEX('販売記録'!$D$5:$D$1004,$F418)))</ns0:f>
        <ns0:v/>
      </ns0:c>
      <ns0:c r="E418" s="12" t="str">
        <ns0:f>IF(OR(A418="",B418=""),"",MAX(0,TODAY()-A418))</ns0:f>
        <ns0:v/>
      </ns0:c>
      <ns0:c r="F418" s="9" t="str">
        <ns0:f>IFERROR(MATCH(ROW()-4,'販売記録'!$L$5:$L$1004,0),"")</ns0:f>
        <ns0:v/>
      </ns0:c>
    </ns0:row>
    <ns0:row r="419">
      <ns0:c r="A419" s="11" t="str">
        <ns0:f>IF($F419="","",IF(INDEX('販売記録'!$K$5:$K$1004,$F419)="","",INDEX('販売記録'!$K$5:$K$1004,$F419)))</ns0:f>
        <ns0:v/>
      </ns0:c>
      <ns0:c r="B419" s="9" t="str">
        <ns0:f>IF($F419="","",IF(INDEX('販売記録'!$B$5:$B$1004,$F419)="","",INDEX('販売記録'!$B$5:$B$1004,$F419)))</ns0:f>
        <ns0:v/>
      </ns0:c>
      <ns0:c r="C419" s="9" t="str">
        <ns0:f>IF($F419="","",IF(INDEX('販売記録'!$C$5:$C$1004,$F419)="","",INDEX('販売記録'!$C$5:$C$1004,$F419)))</ns0:f>
        <ns0:v/>
      </ns0:c>
      <ns0:c r="D419" s="8" t="str">
        <ns0:f>IF($F419="","",IF(INDEX('販売記録'!$D$5:$D$1004,$F419)="","",INDEX('販売記録'!$D$5:$D$1004,$F419)))</ns0:f>
        <ns0:v/>
      </ns0:c>
      <ns0:c r="E419" s="12" t="str">
        <ns0:f>IF(OR(A419="",B419=""),"",MAX(0,TODAY()-A419))</ns0:f>
        <ns0:v/>
      </ns0:c>
      <ns0:c r="F419" s="9" t="str">
        <ns0:f>IFERROR(MATCH(ROW()-4,'販売記録'!$L$5:$L$1004,0),"")</ns0:f>
        <ns0:v/>
      </ns0:c>
    </ns0:row>
    <ns0:row r="420">
      <ns0:c r="A420" s="11" t="str">
        <ns0:f>IF($F420="","",IF(INDEX('販売記録'!$K$5:$K$1004,$F420)="","",INDEX('販売記録'!$K$5:$K$1004,$F420)))</ns0:f>
        <ns0:v/>
      </ns0:c>
      <ns0:c r="B420" s="9" t="str">
        <ns0:f>IF($F420="","",IF(INDEX('販売記録'!$B$5:$B$1004,$F420)="","",INDEX('販売記録'!$B$5:$B$1004,$F420)))</ns0:f>
        <ns0:v/>
      </ns0:c>
      <ns0:c r="C420" s="9" t="str">
        <ns0:f>IF($F420="","",IF(INDEX('販売記録'!$C$5:$C$1004,$F420)="","",INDEX('販売記録'!$C$5:$C$1004,$F420)))</ns0:f>
        <ns0:v/>
      </ns0:c>
      <ns0:c r="D420" s="8" t="str">
        <ns0:f>IF($F420="","",IF(INDEX('販売記録'!$D$5:$D$1004,$F420)="","",INDEX('販売記録'!$D$5:$D$1004,$F420)))</ns0:f>
        <ns0:v/>
      </ns0:c>
      <ns0:c r="E420" s="12" t="str">
        <ns0:f>IF(OR(A420="",B420=""),"",MAX(0,TODAY()-A420))</ns0:f>
        <ns0:v/>
      </ns0:c>
      <ns0:c r="F420" s="9" t="str">
        <ns0:f>IFERROR(MATCH(ROW()-4,'販売記録'!$L$5:$L$1004,0),"")</ns0:f>
        <ns0:v/>
      </ns0:c>
    </ns0:row>
    <ns0:row r="421">
      <ns0:c r="A421" s="11" t="str">
        <ns0:f>IF($F421="","",IF(INDEX('販売記録'!$K$5:$K$1004,$F421)="","",INDEX('販売記録'!$K$5:$K$1004,$F421)))</ns0:f>
        <ns0:v/>
      </ns0:c>
      <ns0:c r="B421" s="9" t="str">
        <ns0:f>IF($F421="","",IF(INDEX('販売記録'!$B$5:$B$1004,$F421)="","",INDEX('販売記録'!$B$5:$B$1004,$F421)))</ns0:f>
        <ns0:v/>
      </ns0:c>
      <ns0:c r="C421" s="9" t="str">
        <ns0:f>IF($F421="","",IF(INDEX('販売記録'!$C$5:$C$1004,$F421)="","",INDEX('販売記録'!$C$5:$C$1004,$F421)))</ns0:f>
        <ns0:v/>
      </ns0:c>
      <ns0:c r="D421" s="8" t="str">
        <ns0:f>IF($F421="","",IF(INDEX('販売記録'!$D$5:$D$1004,$F421)="","",INDEX('販売記録'!$D$5:$D$1004,$F421)))</ns0:f>
        <ns0:v/>
      </ns0:c>
      <ns0:c r="E421" s="12" t="str">
        <ns0:f>IF(OR(A421="",B421=""),"",MAX(0,TODAY()-A421))</ns0:f>
        <ns0:v/>
      </ns0:c>
      <ns0:c r="F421" s="9" t="str">
        <ns0:f>IFERROR(MATCH(ROW()-4,'販売記録'!$L$5:$L$1004,0),"")</ns0:f>
        <ns0:v/>
      </ns0:c>
    </ns0:row>
    <ns0:row r="422">
      <ns0:c r="A422" s="11" t="str">
        <ns0:f>IF($F422="","",IF(INDEX('販売記録'!$K$5:$K$1004,$F422)="","",INDEX('販売記録'!$K$5:$K$1004,$F422)))</ns0:f>
        <ns0:v/>
      </ns0:c>
      <ns0:c r="B422" s="9" t="str">
        <ns0:f>IF($F422="","",IF(INDEX('販売記録'!$B$5:$B$1004,$F422)="","",INDEX('販売記録'!$B$5:$B$1004,$F422)))</ns0:f>
        <ns0:v/>
      </ns0:c>
      <ns0:c r="C422" s="9" t="str">
        <ns0:f>IF($F422="","",IF(INDEX('販売記録'!$C$5:$C$1004,$F422)="","",INDEX('販売記録'!$C$5:$C$1004,$F422)))</ns0:f>
        <ns0:v/>
      </ns0:c>
      <ns0:c r="D422" s="8" t="str">
        <ns0:f>IF($F422="","",IF(INDEX('販売記録'!$D$5:$D$1004,$F422)="","",INDEX('販売記録'!$D$5:$D$1004,$F422)))</ns0:f>
        <ns0:v/>
      </ns0:c>
      <ns0:c r="E422" s="12" t="str">
        <ns0:f>IF(OR(A422="",B422=""),"",MAX(0,TODAY()-A422))</ns0:f>
        <ns0:v/>
      </ns0:c>
      <ns0:c r="F422" s="9" t="str">
        <ns0:f>IFERROR(MATCH(ROW()-4,'販売記録'!$L$5:$L$1004,0),"")</ns0:f>
        <ns0:v/>
      </ns0:c>
    </ns0:row>
    <ns0:row r="423">
      <ns0:c r="A423" s="11" t="str">
        <ns0:f>IF($F423="","",IF(INDEX('販売記録'!$K$5:$K$1004,$F423)="","",INDEX('販売記録'!$K$5:$K$1004,$F423)))</ns0:f>
        <ns0:v/>
      </ns0:c>
      <ns0:c r="B423" s="9" t="str">
        <ns0:f>IF($F423="","",IF(INDEX('販売記録'!$B$5:$B$1004,$F423)="","",INDEX('販売記録'!$B$5:$B$1004,$F423)))</ns0:f>
        <ns0:v/>
      </ns0:c>
      <ns0:c r="C423" s="9" t="str">
        <ns0:f>IF($F423="","",IF(INDEX('販売記録'!$C$5:$C$1004,$F423)="","",INDEX('販売記録'!$C$5:$C$1004,$F423)))</ns0:f>
        <ns0:v/>
      </ns0:c>
      <ns0:c r="D423" s="8" t="str">
        <ns0:f>IF($F423="","",IF(INDEX('販売記録'!$D$5:$D$1004,$F423)="","",INDEX('販売記録'!$D$5:$D$1004,$F423)))</ns0:f>
        <ns0:v/>
      </ns0:c>
      <ns0:c r="E423" s="12" t="str">
        <ns0:f>IF(OR(A423="",B423=""),"",MAX(0,TODAY()-A423))</ns0:f>
        <ns0:v/>
      </ns0:c>
      <ns0:c r="F423" s="9" t="str">
        <ns0:f>IFERROR(MATCH(ROW()-4,'販売記録'!$L$5:$L$1004,0),"")</ns0:f>
        <ns0:v/>
      </ns0:c>
    </ns0:row>
    <ns0:row r="424">
      <ns0:c r="A424" s="11" t="str">
        <ns0:f>IF($F424="","",IF(INDEX('販売記録'!$K$5:$K$1004,$F424)="","",INDEX('販売記録'!$K$5:$K$1004,$F424)))</ns0:f>
        <ns0:v/>
      </ns0:c>
      <ns0:c r="B424" s="9" t="str">
        <ns0:f>IF($F424="","",IF(INDEX('販売記録'!$B$5:$B$1004,$F424)="","",INDEX('販売記録'!$B$5:$B$1004,$F424)))</ns0:f>
        <ns0:v/>
      </ns0:c>
      <ns0:c r="C424" s="9" t="str">
        <ns0:f>IF($F424="","",IF(INDEX('販売記録'!$C$5:$C$1004,$F424)="","",INDEX('販売記録'!$C$5:$C$1004,$F424)))</ns0:f>
        <ns0:v/>
      </ns0:c>
      <ns0:c r="D424" s="8" t="str">
        <ns0:f>IF($F424="","",IF(INDEX('販売記録'!$D$5:$D$1004,$F424)="","",INDEX('販売記録'!$D$5:$D$1004,$F424)))</ns0:f>
        <ns0:v/>
      </ns0:c>
      <ns0:c r="E424" s="12" t="str">
        <ns0:f>IF(OR(A424="",B424=""),"",MAX(0,TODAY()-A424))</ns0:f>
        <ns0:v/>
      </ns0:c>
      <ns0:c r="F424" s="9" t="str">
        <ns0:f>IFERROR(MATCH(ROW()-4,'販売記録'!$L$5:$L$1004,0),"")</ns0:f>
        <ns0:v/>
      </ns0:c>
    </ns0:row>
    <ns0:row r="425">
      <ns0:c r="A425" s="11" t="str">
        <ns0:f>IF($F425="","",IF(INDEX('販売記録'!$K$5:$K$1004,$F425)="","",INDEX('販売記録'!$K$5:$K$1004,$F425)))</ns0:f>
        <ns0:v/>
      </ns0:c>
      <ns0:c r="B425" s="9" t="str">
        <ns0:f>IF($F425="","",IF(INDEX('販売記録'!$B$5:$B$1004,$F425)="","",INDEX('販売記録'!$B$5:$B$1004,$F425)))</ns0:f>
        <ns0:v/>
      </ns0:c>
      <ns0:c r="C425" s="9" t="str">
        <ns0:f>IF($F425="","",IF(INDEX('販売記録'!$C$5:$C$1004,$F425)="","",INDEX('販売記録'!$C$5:$C$1004,$F425)))</ns0:f>
        <ns0:v/>
      </ns0:c>
      <ns0:c r="D425" s="8" t="str">
        <ns0:f>IF($F425="","",IF(INDEX('販売記録'!$D$5:$D$1004,$F425)="","",INDEX('販売記録'!$D$5:$D$1004,$F425)))</ns0:f>
        <ns0:v/>
      </ns0:c>
      <ns0:c r="E425" s="12" t="str">
        <ns0:f>IF(OR(A425="",B425=""),"",MAX(0,TODAY()-A425))</ns0:f>
        <ns0:v/>
      </ns0:c>
      <ns0:c r="F425" s="9" t="str">
        <ns0:f>IFERROR(MATCH(ROW()-4,'販売記録'!$L$5:$L$1004,0),"")</ns0:f>
        <ns0:v/>
      </ns0:c>
    </ns0:row>
    <ns0:row r="426">
      <ns0:c r="A426" s="11" t="str">
        <ns0:f>IF($F426="","",IF(INDEX('販売記録'!$K$5:$K$1004,$F426)="","",INDEX('販売記録'!$K$5:$K$1004,$F426)))</ns0:f>
        <ns0:v/>
      </ns0:c>
      <ns0:c r="B426" s="9" t="str">
        <ns0:f>IF($F426="","",IF(INDEX('販売記録'!$B$5:$B$1004,$F426)="","",INDEX('販売記録'!$B$5:$B$1004,$F426)))</ns0:f>
        <ns0:v/>
      </ns0:c>
      <ns0:c r="C426" s="9" t="str">
        <ns0:f>IF($F426="","",IF(INDEX('販売記録'!$C$5:$C$1004,$F426)="","",INDEX('販売記録'!$C$5:$C$1004,$F426)))</ns0:f>
        <ns0:v/>
      </ns0:c>
      <ns0:c r="D426" s="8" t="str">
        <ns0:f>IF($F426="","",IF(INDEX('販売記録'!$D$5:$D$1004,$F426)="","",INDEX('販売記録'!$D$5:$D$1004,$F426)))</ns0:f>
        <ns0:v/>
      </ns0:c>
      <ns0:c r="E426" s="12" t="str">
        <ns0:f>IF(OR(A426="",B426=""),"",MAX(0,TODAY()-A426))</ns0:f>
        <ns0:v/>
      </ns0:c>
      <ns0:c r="F426" s="9" t="str">
        <ns0:f>IFERROR(MATCH(ROW()-4,'販売記録'!$L$5:$L$1004,0),"")</ns0:f>
        <ns0:v/>
      </ns0:c>
    </ns0:row>
    <ns0:row r="427">
      <ns0:c r="A427" s="11" t="str">
        <ns0:f>IF($F427="","",IF(INDEX('販売記録'!$K$5:$K$1004,$F427)="","",INDEX('販売記録'!$K$5:$K$1004,$F427)))</ns0:f>
        <ns0:v/>
      </ns0:c>
      <ns0:c r="B427" s="9" t="str">
        <ns0:f>IF($F427="","",IF(INDEX('販売記録'!$B$5:$B$1004,$F427)="","",INDEX('販売記録'!$B$5:$B$1004,$F427)))</ns0:f>
        <ns0:v/>
      </ns0:c>
      <ns0:c r="C427" s="9" t="str">
        <ns0:f>IF($F427="","",IF(INDEX('販売記録'!$C$5:$C$1004,$F427)="","",INDEX('販売記録'!$C$5:$C$1004,$F427)))</ns0:f>
        <ns0:v/>
      </ns0:c>
      <ns0:c r="D427" s="8" t="str">
        <ns0:f>IF($F427="","",IF(INDEX('販売記録'!$D$5:$D$1004,$F427)="","",INDEX('販売記録'!$D$5:$D$1004,$F427)))</ns0:f>
        <ns0:v/>
      </ns0:c>
      <ns0:c r="E427" s="12" t="str">
        <ns0:f>IF(OR(A427="",B427=""),"",MAX(0,TODAY()-A427))</ns0:f>
        <ns0:v/>
      </ns0:c>
      <ns0:c r="F427" s="9" t="str">
        <ns0:f>IFERROR(MATCH(ROW()-4,'販売記録'!$L$5:$L$1004,0),"")</ns0:f>
        <ns0:v/>
      </ns0:c>
    </ns0:row>
    <ns0:row r="428">
      <ns0:c r="A428" s="11" t="str">
        <ns0:f>IF($F428="","",IF(INDEX('販売記録'!$K$5:$K$1004,$F428)="","",INDEX('販売記録'!$K$5:$K$1004,$F428)))</ns0:f>
        <ns0:v/>
      </ns0:c>
      <ns0:c r="B428" s="9" t="str">
        <ns0:f>IF($F428="","",IF(INDEX('販売記録'!$B$5:$B$1004,$F428)="","",INDEX('販売記録'!$B$5:$B$1004,$F428)))</ns0:f>
        <ns0:v/>
      </ns0:c>
      <ns0:c r="C428" s="9" t="str">
        <ns0:f>IF($F428="","",IF(INDEX('販売記録'!$C$5:$C$1004,$F428)="","",INDEX('販売記録'!$C$5:$C$1004,$F428)))</ns0:f>
        <ns0:v/>
      </ns0:c>
      <ns0:c r="D428" s="8" t="str">
        <ns0:f>IF($F428="","",IF(INDEX('販売記録'!$D$5:$D$1004,$F428)="","",INDEX('販売記録'!$D$5:$D$1004,$F428)))</ns0:f>
        <ns0:v/>
      </ns0:c>
      <ns0:c r="E428" s="12" t="str">
        <ns0:f>IF(OR(A428="",B428=""),"",MAX(0,TODAY()-A428))</ns0:f>
        <ns0:v/>
      </ns0:c>
      <ns0:c r="F428" s="9" t="str">
        <ns0:f>IFERROR(MATCH(ROW()-4,'販売記録'!$L$5:$L$1004,0),"")</ns0:f>
        <ns0:v/>
      </ns0:c>
    </ns0:row>
    <ns0:row r="429">
      <ns0:c r="A429" s="11" t="str">
        <ns0:f>IF($F429="","",IF(INDEX('販売記録'!$K$5:$K$1004,$F429)="","",INDEX('販売記録'!$K$5:$K$1004,$F429)))</ns0:f>
        <ns0:v/>
      </ns0:c>
      <ns0:c r="B429" s="9" t="str">
        <ns0:f>IF($F429="","",IF(INDEX('販売記録'!$B$5:$B$1004,$F429)="","",INDEX('販売記録'!$B$5:$B$1004,$F429)))</ns0:f>
        <ns0:v/>
      </ns0:c>
      <ns0:c r="C429" s="9" t="str">
        <ns0:f>IF($F429="","",IF(INDEX('販売記録'!$C$5:$C$1004,$F429)="","",INDEX('販売記録'!$C$5:$C$1004,$F429)))</ns0:f>
        <ns0:v/>
      </ns0:c>
      <ns0:c r="D429" s="8" t="str">
        <ns0:f>IF($F429="","",IF(INDEX('販売記録'!$D$5:$D$1004,$F429)="","",INDEX('販売記録'!$D$5:$D$1004,$F429)))</ns0:f>
        <ns0:v/>
      </ns0:c>
      <ns0:c r="E429" s="12" t="str">
        <ns0:f>IF(OR(A429="",B429=""),"",MAX(0,TODAY()-A429))</ns0:f>
        <ns0:v/>
      </ns0:c>
      <ns0:c r="F429" s="9" t="str">
        <ns0:f>IFERROR(MATCH(ROW()-4,'販売記録'!$L$5:$L$1004,0),"")</ns0:f>
        <ns0:v/>
      </ns0:c>
    </ns0:row>
    <ns0:row r="430">
      <ns0:c r="A430" s="11" t="str">
        <ns0:f>IF($F430="","",IF(INDEX('販売記録'!$K$5:$K$1004,$F430)="","",INDEX('販売記録'!$K$5:$K$1004,$F430)))</ns0:f>
        <ns0:v/>
      </ns0:c>
      <ns0:c r="B430" s="9" t="str">
        <ns0:f>IF($F430="","",IF(INDEX('販売記録'!$B$5:$B$1004,$F430)="","",INDEX('販売記録'!$B$5:$B$1004,$F430)))</ns0:f>
        <ns0:v/>
      </ns0:c>
      <ns0:c r="C430" s="9" t="str">
        <ns0:f>IF($F430="","",IF(INDEX('販売記録'!$C$5:$C$1004,$F430)="","",INDEX('販売記録'!$C$5:$C$1004,$F430)))</ns0:f>
        <ns0:v/>
      </ns0:c>
      <ns0:c r="D430" s="8" t="str">
        <ns0:f>IF($F430="","",IF(INDEX('販売記録'!$D$5:$D$1004,$F430)="","",INDEX('販売記録'!$D$5:$D$1004,$F430)))</ns0:f>
        <ns0:v/>
      </ns0:c>
      <ns0:c r="E430" s="12" t="str">
        <ns0:f>IF(OR(A430="",B430=""),"",MAX(0,TODAY()-A430))</ns0:f>
        <ns0:v/>
      </ns0:c>
      <ns0:c r="F430" s="9" t="str">
        <ns0:f>IFERROR(MATCH(ROW()-4,'販売記録'!$L$5:$L$1004,0),"")</ns0:f>
        <ns0:v/>
      </ns0:c>
    </ns0:row>
    <ns0:row r="431">
      <ns0:c r="A431" s="11" t="str">
        <ns0:f>IF($F431="","",IF(INDEX('販売記録'!$K$5:$K$1004,$F431)="","",INDEX('販売記録'!$K$5:$K$1004,$F431)))</ns0:f>
        <ns0:v/>
      </ns0:c>
      <ns0:c r="B431" s="9" t="str">
        <ns0:f>IF($F431="","",IF(INDEX('販売記録'!$B$5:$B$1004,$F431)="","",INDEX('販売記録'!$B$5:$B$1004,$F431)))</ns0:f>
        <ns0:v/>
      </ns0:c>
      <ns0:c r="C431" s="9" t="str">
        <ns0:f>IF($F431="","",IF(INDEX('販売記録'!$C$5:$C$1004,$F431)="","",INDEX('販売記録'!$C$5:$C$1004,$F431)))</ns0:f>
        <ns0:v/>
      </ns0:c>
      <ns0:c r="D431" s="8" t="str">
        <ns0:f>IF($F431="","",IF(INDEX('販売記録'!$D$5:$D$1004,$F431)="","",INDEX('販売記録'!$D$5:$D$1004,$F431)))</ns0:f>
        <ns0:v/>
      </ns0:c>
      <ns0:c r="E431" s="12" t="str">
        <ns0:f>IF(OR(A431="",B431=""),"",MAX(0,TODAY()-A431))</ns0:f>
        <ns0:v/>
      </ns0:c>
      <ns0:c r="F431" s="9" t="str">
        <ns0:f>IFERROR(MATCH(ROW()-4,'販売記録'!$L$5:$L$1004,0),"")</ns0:f>
        <ns0:v/>
      </ns0:c>
    </ns0:row>
    <ns0:row r="432">
      <ns0:c r="A432" s="11" t="str">
        <ns0:f>IF($F432="","",IF(INDEX('販売記録'!$K$5:$K$1004,$F432)="","",INDEX('販売記録'!$K$5:$K$1004,$F432)))</ns0:f>
        <ns0:v/>
      </ns0:c>
      <ns0:c r="B432" s="9" t="str">
        <ns0:f>IF($F432="","",IF(INDEX('販売記録'!$B$5:$B$1004,$F432)="","",INDEX('販売記録'!$B$5:$B$1004,$F432)))</ns0:f>
        <ns0:v/>
      </ns0:c>
      <ns0:c r="C432" s="9" t="str">
        <ns0:f>IF($F432="","",IF(INDEX('販売記録'!$C$5:$C$1004,$F432)="","",INDEX('販売記録'!$C$5:$C$1004,$F432)))</ns0:f>
        <ns0:v/>
      </ns0:c>
      <ns0:c r="D432" s="8" t="str">
        <ns0:f>IF($F432="","",IF(INDEX('販売記録'!$D$5:$D$1004,$F432)="","",INDEX('販売記録'!$D$5:$D$1004,$F432)))</ns0:f>
        <ns0:v/>
      </ns0:c>
      <ns0:c r="E432" s="12" t="str">
        <ns0:f>IF(OR(A432="",B432=""),"",MAX(0,TODAY()-A432))</ns0:f>
        <ns0:v/>
      </ns0:c>
      <ns0:c r="F432" s="9" t="str">
        <ns0:f>IFERROR(MATCH(ROW()-4,'販売記録'!$L$5:$L$1004,0),"")</ns0:f>
        <ns0:v/>
      </ns0:c>
    </ns0:row>
    <ns0:row r="433">
      <ns0:c r="A433" s="11" t="str">
        <ns0:f>IF($F433="","",IF(INDEX('販売記録'!$K$5:$K$1004,$F433)="","",INDEX('販売記録'!$K$5:$K$1004,$F433)))</ns0:f>
        <ns0:v/>
      </ns0:c>
      <ns0:c r="B433" s="9" t="str">
        <ns0:f>IF($F433="","",IF(INDEX('販売記録'!$B$5:$B$1004,$F433)="","",INDEX('販売記録'!$B$5:$B$1004,$F433)))</ns0:f>
        <ns0:v/>
      </ns0:c>
      <ns0:c r="C433" s="9" t="str">
        <ns0:f>IF($F433="","",IF(INDEX('販売記録'!$C$5:$C$1004,$F433)="","",INDEX('販売記録'!$C$5:$C$1004,$F433)))</ns0:f>
        <ns0:v/>
      </ns0:c>
      <ns0:c r="D433" s="8" t="str">
        <ns0:f>IF($F433="","",IF(INDEX('販売記録'!$D$5:$D$1004,$F433)="","",INDEX('販売記録'!$D$5:$D$1004,$F433)))</ns0:f>
        <ns0:v/>
      </ns0:c>
      <ns0:c r="E433" s="12" t="str">
        <ns0:f>IF(OR(A433="",B433=""),"",MAX(0,TODAY()-A433))</ns0:f>
        <ns0:v/>
      </ns0:c>
      <ns0:c r="F433" s="9" t="str">
        <ns0:f>IFERROR(MATCH(ROW()-4,'販売記録'!$L$5:$L$1004,0),"")</ns0:f>
        <ns0:v/>
      </ns0:c>
    </ns0:row>
    <ns0:row r="434">
      <ns0:c r="A434" s="11" t="str">
        <ns0:f>IF($F434="","",IF(INDEX('販売記録'!$K$5:$K$1004,$F434)="","",INDEX('販売記録'!$K$5:$K$1004,$F434)))</ns0:f>
        <ns0:v/>
      </ns0:c>
      <ns0:c r="B434" s="9" t="str">
        <ns0:f>IF($F434="","",IF(INDEX('販売記録'!$B$5:$B$1004,$F434)="","",INDEX('販売記録'!$B$5:$B$1004,$F434)))</ns0:f>
        <ns0:v/>
      </ns0:c>
      <ns0:c r="C434" s="9" t="str">
        <ns0:f>IF($F434="","",IF(INDEX('販売記録'!$C$5:$C$1004,$F434)="","",INDEX('販売記録'!$C$5:$C$1004,$F434)))</ns0:f>
        <ns0:v/>
      </ns0:c>
      <ns0:c r="D434" s="8" t="str">
        <ns0:f>IF($F434="","",IF(INDEX('販売記録'!$D$5:$D$1004,$F434)="","",INDEX('販売記録'!$D$5:$D$1004,$F434)))</ns0:f>
        <ns0:v/>
      </ns0:c>
      <ns0:c r="E434" s="12" t="str">
        <ns0:f>IF(OR(A434="",B434=""),"",MAX(0,TODAY()-A434))</ns0:f>
        <ns0:v/>
      </ns0:c>
      <ns0:c r="F434" s="9" t="str">
        <ns0:f>IFERROR(MATCH(ROW()-4,'販売記録'!$L$5:$L$1004,0),"")</ns0:f>
        <ns0:v/>
      </ns0:c>
    </ns0:row>
    <ns0:row r="435">
      <ns0:c r="A435" s="11" t="str">
        <ns0:f>IF($F435="","",IF(INDEX('販売記録'!$K$5:$K$1004,$F435)="","",INDEX('販売記録'!$K$5:$K$1004,$F435)))</ns0:f>
        <ns0:v/>
      </ns0:c>
      <ns0:c r="B435" s="9" t="str">
        <ns0:f>IF($F435="","",IF(INDEX('販売記録'!$B$5:$B$1004,$F435)="","",INDEX('販売記録'!$B$5:$B$1004,$F435)))</ns0:f>
        <ns0:v/>
      </ns0:c>
      <ns0:c r="C435" s="9" t="str">
        <ns0:f>IF($F435="","",IF(INDEX('販売記録'!$C$5:$C$1004,$F435)="","",INDEX('販売記録'!$C$5:$C$1004,$F435)))</ns0:f>
        <ns0:v/>
      </ns0:c>
      <ns0:c r="D435" s="8" t="str">
        <ns0:f>IF($F435="","",IF(INDEX('販売記録'!$D$5:$D$1004,$F435)="","",INDEX('販売記録'!$D$5:$D$1004,$F435)))</ns0:f>
        <ns0:v/>
      </ns0:c>
      <ns0:c r="E435" s="12" t="str">
        <ns0:f>IF(OR(A435="",B435=""),"",MAX(0,TODAY()-A435))</ns0:f>
        <ns0:v/>
      </ns0:c>
      <ns0:c r="F435" s="9" t="str">
        <ns0:f>IFERROR(MATCH(ROW()-4,'販売記録'!$L$5:$L$1004,0),"")</ns0:f>
        <ns0:v/>
      </ns0:c>
    </ns0:row>
    <ns0:row r="436">
      <ns0:c r="A436" s="11" t="str">
        <ns0:f>IF($F436="","",IF(INDEX('販売記録'!$K$5:$K$1004,$F436)="","",INDEX('販売記録'!$K$5:$K$1004,$F436)))</ns0:f>
        <ns0:v/>
      </ns0:c>
      <ns0:c r="B436" s="9" t="str">
        <ns0:f>IF($F436="","",IF(INDEX('販売記録'!$B$5:$B$1004,$F436)="","",INDEX('販売記録'!$B$5:$B$1004,$F436)))</ns0:f>
        <ns0:v/>
      </ns0:c>
      <ns0:c r="C436" s="9" t="str">
        <ns0:f>IF($F436="","",IF(INDEX('販売記録'!$C$5:$C$1004,$F436)="","",INDEX('販売記録'!$C$5:$C$1004,$F436)))</ns0:f>
        <ns0:v/>
      </ns0:c>
      <ns0:c r="D436" s="8" t="str">
        <ns0:f>IF($F436="","",IF(INDEX('販売記録'!$D$5:$D$1004,$F436)="","",INDEX('販売記録'!$D$5:$D$1004,$F436)))</ns0:f>
        <ns0:v/>
      </ns0:c>
      <ns0:c r="E436" s="12" t="str">
        <ns0:f>IF(OR(A436="",B436=""),"",MAX(0,TODAY()-A436))</ns0:f>
        <ns0:v/>
      </ns0:c>
      <ns0:c r="F436" s="9" t="str">
        <ns0:f>IFERROR(MATCH(ROW()-4,'販売記録'!$L$5:$L$1004,0),"")</ns0:f>
        <ns0:v/>
      </ns0:c>
    </ns0:row>
    <ns0:row r="437">
      <ns0:c r="A437" s="11" t="str">
        <ns0:f>IF($F437="","",IF(INDEX('販売記録'!$K$5:$K$1004,$F437)="","",INDEX('販売記録'!$K$5:$K$1004,$F437)))</ns0:f>
        <ns0:v/>
      </ns0:c>
      <ns0:c r="B437" s="9" t="str">
        <ns0:f>IF($F437="","",IF(INDEX('販売記録'!$B$5:$B$1004,$F437)="","",INDEX('販売記録'!$B$5:$B$1004,$F437)))</ns0:f>
        <ns0:v/>
      </ns0:c>
      <ns0:c r="C437" s="9" t="str">
        <ns0:f>IF($F437="","",IF(INDEX('販売記録'!$C$5:$C$1004,$F437)="","",INDEX('販売記録'!$C$5:$C$1004,$F437)))</ns0:f>
        <ns0:v/>
      </ns0:c>
      <ns0:c r="D437" s="8" t="str">
        <ns0:f>IF($F437="","",IF(INDEX('販売記録'!$D$5:$D$1004,$F437)="","",INDEX('販売記録'!$D$5:$D$1004,$F437)))</ns0:f>
        <ns0:v/>
      </ns0:c>
      <ns0:c r="E437" s="12" t="str">
        <ns0:f>IF(OR(A437="",B437=""),"",MAX(0,TODAY()-A437))</ns0:f>
        <ns0:v/>
      </ns0:c>
      <ns0:c r="F437" s="9" t="str">
        <ns0:f>IFERROR(MATCH(ROW()-4,'販売記録'!$L$5:$L$1004,0),"")</ns0:f>
        <ns0:v/>
      </ns0:c>
    </ns0:row>
    <ns0:row r="438">
      <ns0:c r="A438" s="11" t="str">
        <ns0:f>IF($F438="","",IF(INDEX('販売記録'!$K$5:$K$1004,$F438)="","",INDEX('販売記録'!$K$5:$K$1004,$F438)))</ns0:f>
        <ns0:v/>
      </ns0:c>
      <ns0:c r="B438" s="9" t="str">
        <ns0:f>IF($F438="","",IF(INDEX('販売記録'!$B$5:$B$1004,$F438)="","",INDEX('販売記録'!$B$5:$B$1004,$F438)))</ns0:f>
        <ns0:v/>
      </ns0:c>
      <ns0:c r="C438" s="9" t="str">
        <ns0:f>IF($F438="","",IF(INDEX('販売記録'!$C$5:$C$1004,$F438)="","",INDEX('販売記録'!$C$5:$C$1004,$F438)))</ns0:f>
        <ns0:v/>
      </ns0:c>
      <ns0:c r="D438" s="8" t="str">
        <ns0:f>IF($F438="","",IF(INDEX('販売記録'!$D$5:$D$1004,$F438)="","",INDEX('販売記録'!$D$5:$D$1004,$F438)))</ns0:f>
        <ns0:v/>
      </ns0:c>
      <ns0:c r="E438" s="12" t="str">
        <ns0:f>IF(OR(A438="",B438=""),"",MAX(0,TODAY()-A438))</ns0:f>
        <ns0:v/>
      </ns0:c>
      <ns0:c r="F438" s="9" t="str">
        <ns0:f>IFERROR(MATCH(ROW()-4,'販売記録'!$L$5:$L$1004,0),"")</ns0:f>
        <ns0:v/>
      </ns0:c>
    </ns0:row>
    <ns0:row r="439">
      <ns0:c r="A439" s="11" t="str">
        <ns0:f>IF($F439="","",IF(INDEX('販売記録'!$K$5:$K$1004,$F439)="","",INDEX('販売記録'!$K$5:$K$1004,$F439)))</ns0:f>
        <ns0:v/>
      </ns0:c>
      <ns0:c r="B439" s="9" t="str">
        <ns0:f>IF($F439="","",IF(INDEX('販売記録'!$B$5:$B$1004,$F439)="","",INDEX('販売記録'!$B$5:$B$1004,$F439)))</ns0:f>
        <ns0:v/>
      </ns0:c>
      <ns0:c r="C439" s="9" t="str">
        <ns0:f>IF($F439="","",IF(INDEX('販売記録'!$C$5:$C$1004,$F439)="","",INDEX('販売記録'!$C$5:$C$1004,$F439)))</ns0:f>
        <ns0:v/>
      </ns0:c>
      <ns0:c r="D439" s="8" t="str">
        <ns0:f>IF($F439="","",IF(INDEX('販売記録'!$D$5:$D$1004,$F439)="","",INDEX('販売記録'!$D$5:$D$1004,$F439)))</ns0:f>
        <ns0:v/>
      </ns0:c>
      <ns0:c r="E439" s="12" t="str">
        <ns0:f>IF(OR(A439="",B439=""),"",MAX(0,TODAY()-A439))</ns0:f>
        <ns0:v/>
      </ns0:c>
      <ns0:c r="F439" s="9" t="str">
        <ns0:f>IFERROR(MATCH(ROW()-4,'販売記録'!$L$5:$L$1004,0),"")</ns0:f>
        <ns0:v/>
      </ns0:c>
    </ns0:row>
    <ns0:row r="440">
      <ns0:c r="A440" s="11" t="str">
        <ns0:f>IF($F440="","",IF(INDEX('販売記録'!$K$5:$K$1004,$F440)="","",INDEX('販売記録'!$K$5:$K$1004,$F440)))</ns0:f>
        <ns0:v/>
      </ns0:c>
      <ns0:c r="B440" s="9" t="str">
        <ns0:f>IF($F440="","",IF(INDEX('販売記録'!$B$5:$B$1004,$F440)="","",INDEX('販売記録'!$B$5:$B$1004,$F440)))</ns0:f>
        <ns0:v/>
      </ns0:c>
      <ns0:c r="C440" s="9" t="str">
        <ns0:f>IF($F440="","",IF(INDEX('販売記録'!$C$5:$C$1004,$F440)="","",INDEX('販売記録'!$C$5:$C$1004,$F440)))</ns0:f>
        <ns0:v/>
      </ns0:c>
      <ns0:c r="D440" s="8" t="str">
        <ns0:f>IF($F440="","",IF(INDEX('販売記録'!$D$5:$D$1004,$F440)="","",INDEX('販売記録'!$D$5:$D$1004,$F440)))</ns0:f>
        <ns0:v/>
      </ns0:c>
      <ns0:c r="E440" s="12" t="str">
        <ns0:f>IF(OR(A440="",B440=""),"",MAX(0,TODAY()-A440))</ns0:f>
        <ns0:v/>
      </ns0:c>
      <ns0:c r="F440" s="9" t="str">
        <ns0:f>IFERROR(MATCH(ROW()-4,'販売記録'!$L$5:$L$1004,0),"")</ns0:f>
        <ns0:v/>
      </ns0:c>
    </ns0:row>
    <ns0:row r="441">
      <ns0:c r="A441" s="11" t="str">
        <ns0:f>IF($F441="","",IF(INDEX('販売記録'!$K$5:$K$1004,$F441)="","",INDEX('販売記録'!$K$5:$K$1004,$F441)))</ns0:f>
        <ns0:v/>
      </ns0:c>
      <ns0:c r="B441" s="9" t="str">
        <ns0:f>IF($F441="","",IF(INDEX('販売記録'!$B$5:$B$1004,$F441)="","",INDEX('販売記録'!$B$5:$B$1004,$F441)))</ns0:f>
        <ns0:v/>
      </ns0:c>
      <ns0:c r="C441" s="9" t="str">
        <ns0:f>IF($F441="","",IF(INDEX('販売記録'!$C$5:$C$1004,$F441)="","",INDEX('販売記録'!$C$5:$C$1004,$F441)))</ns0:f>
        <ns0:v/>
      </ns0:c>
      <ns0:c r="D441" s="8" t="str">
        <ns0:f>IF($F441="","",IF(INDEX('販売記録'!$D$5:$D$1004,$F441)="","",INDEX('販売記録'!$D$5:$D$1004,$F441)))</ns0:f>
        <ns0:v/>
      </ns0:c>
      <ns0:c r="E441" s="12" t="str">
        <ns0:f>IF(OR(A441="",B441=""),"",MAX(0,TODAY()-A441))</ns0:f>
        <ns0:v/>
      </ns0:c>
      <ns0:c r="F441" s="9" t="str">
        <ns0:f>IFERROR(MATCH(ROW()-4,'販売記録'!$L$5:$L$1004,0),"")</ns0:f>
        <ns0:v/>
      </ns0:c>
    </ns0:row>
    <ns0:row r="442">
      <ns0:c r="A442" s="11" t="str">
        <ns0:f>IF($F442="","",IF(INDEX('販売記録'!$K$5:$K$1004,$F442)="","",INDEX('販売記録'!$K$5:$K$1004,$F442)))</ns0:f>
        <ns0:v/>
      </ns0:c>
      <ns0:c r="B442" s="9" t="str">
        <ns0:f>IF($F442="","",IF(INDEX('販売記録'!$B$5:$B$1004,$F442)="","",INDEX('販売記録'!$B$5:$B$1004,$F442)))</ns0:f>
        <ns0:v/>
      </ns0:c>
      <ns0:c r="C442" s="9" t="str">
        <ns0:f>IF($F442="","",IF(INDEX('販売記録'!$C$5:$C$1004,$F442)="","",INDEX('販売記録'!$C$5:$C$1004,$F442)))</ns0:f>
        <ns0:v/>
      </ns0:c>
      <ns0:c r="D442" s="8" t="str">
        <ns0:f>IF($F442="","",IF(INDEX('販売記録'!$D$5:$D$1004,$F442)="","",INDEX('販売記録'!$D$5:$D$1004,$F442)))</ns0:f>
        <ns0:v/>
      </ns0:c>
      <ns0:c r="E442" s="12" t="str">
        <ns0:f>IF(OR(A442="",B442=""),"",MAX(0,TODAY()-A442))</ns0:f>
        <ns0:v/>
      </ns0:c>
      <ns0:c r="F442" s="9" t="str">
        <ns0:f>IFERROR(MATCH(ROW()-4,'販売記録'!$L$5:$L$1004,0),"")</ns0:f>
        <ns0:v/>
      </ns0:c>
    </ns0:row>
    <ns0:row r="443">
      <ns0:c r="A443" s="11" t="str">
        <ns0:f>IF($F443="","",IF(INDEX('販売記録'!$K$5:$K$1004,$F443)="","",INDEX('販売記録'!$K$5:$K$1004,$F443)))</ns0:f>
        <ns0:v/>
      </ns0:c>
      <ns0:c r="B443" s="9" t="str">
        <ns0:f>IF($F443="","",IF(INDEX('販売記録'!$B$5:$B$1004,$F443)="","",INDEX('販売記録'!$B$5:$B$1004,$F443)))</ns0:f>
        <ns0:v/>
      </ns0:c>
      <ns0:c r="C443" s="9" t="str">
        <ns0:f>IF($F443="","",IF(INDEX('販売記録'!$C$5:$C$1004,$F443)="","",INDEX('販売記録'!$C$5:$C$1004,$F443)))</ns0:f>
        <ns0:v/>
      </ns0:c>
      <ns0:c r="D443" s="8" t="str">
        <ns0:f>IF($F443="","",IF(INDEX('販売記録'!$D$5:$D$1004,$F443)="","",INDEX('販売記録'!$D$5:$D$1004,$F443)))</ns0:f>
        <ns0:v/>
      </ns0:c>
      <ns0:c r="E443" s="12" t="str">
        <ns0:f>IF(OR(A443="",B443=""),"",MAX(0,TODAY()-A443))</ns0:f>
        <ns0:v/>
      </ns0:c>
      <ns0:c r="F443" s="9" t="str">
        <ns0:f>IFERROR(MATCH(ROW()-4,'販売記録'!$L$5:$L$1004,0),"")</ns0:f>
        <ns0:v/>
      </ns0:c>
    </ns0:row>
    <ns0:row r="444">
      <ns0:c r="A444" s="11" t="str">
        <ns0:f>IF($F444="","",IF(INDEX('販売記録'!$K$5:$K$1004,$F444)="","",INDEX('販売記録'!$K$5:$K$1004,$F444)))</ns0:f>
        <ns0:v/>
      </ns0:c>
      <ns0:c r="B444" s="9" t="str">
        <ns0:f>IF($F444="","",IF(INDEX('販売記録'!$B$5:$B$1004,$F444)="","",INDEX('販売記録'!$B$5:$B$1004,$F444)))</ns0:f>
        <ns0:v/>
      </ns0:c>
      <ns0:c r="C444" s="9" t="str">
        <ns0:f>IF($F444="","",IF(INDEX('販売記録'!$C$5:$C$1004,$F444)="","",INDEX('販売記録'!$C$5:$C$1004,$F444)))</ns0:f>
        <ns0:v/>
      </ns0:c>
      <ns0:c r="D444" s="8" t="str">
        <ns0:f>IF($F444="","",IF(INDEX('販売記録'!$D$5:$D$1004,$F444)="","",INDEX('販売記録'!$D$5:$D$1004,$F444)))</ns0:f>
        <ns0:v/>
      </ns0:c>
      <ns0:c r="E444" s="12" t="str">
        <ns0:f>IF(OR(A444="",B444=""),"",MAX(0,TODAY()-A444))</ns0:f>
        <ns0:v/>
      </ns0:c>
      <ns0:c r="F444" s="9" t="str">
        <ns0:f>IFERROR(MATCH(ROW()-4,'販売記録'!$L$5:$L$1004,0),"")</ns0:f>
        <ns0:v/>
      </ns0:c>
    </ns0:row>
    <ns0:row r="445">
      <ns0:c r="A445" s="11" t="str">
        <ns0:f>IF($F445="","",IF(INDEX('販売記録'!$K$5:$K$1004,$F445)="","",INDEX('販売記録'!$K$5:$K$1004,$F445)))</ns0:f>
        <ns0:v/>
      </ns0:c>
      <ns0:c r="B445" s="9" t="str">
        <ns0:f>IF($F445="","",IF(INDEX('販売記録'!$B$5:$B$1004,$F445)="","",INDEX('販売記録'!$B$5:$B$1004,$F445)))</ns0:f>
        <ns0:v/>
      </ns0:c>
      <ns0:c r="C445" s="9" t="str">
        <ns0:f>IF($F445="","",IF(INDEX('販売記録'!$C$5:$C$1004,$F445)="","",INDEX('販売記録'!$C$5:$C$1004,$F445)))</ns0:f>
        <ns0:v/>
      </ns0:c>
      <ns0:c r="D445" s="8" t="str">
        <ns0:f>IF($F445="","",IF(INDEX('販売記録'!$D$5:$D$1004,$F445)="","",INDEX('販売記録'!$D$5:$D$1004,$F445)))</ns0:f>
        <ns0:v/>
      </ns0:c>
      <ns0:c r="E445" s="12" t="str">
        <ns0:f>IF(OR(A445="",B445=""),"",MAX(0,TODAY()-A445))</ns0:f>
        <ns0:v/>
      </ns0:c>
      <ns0:c r="F445" s="9" t="str">
        <ns0:f>IFERROR(MATCH(ROW()-4,'販売記録'!$L$5:$L$1004,0),"")</ns0:f>
        <ns0:v/>
      </ns0:c>
    </ns0:row>
    <ns0:row r="446">
      <ns0:c r="A446" s="11" t="str">
        <ns0:f>IF($F446="","",IF(INDEX('販売記録'!$K$5:$K$1004,$F446)="","",INDEX('販売記録'!$K$5:$K$1004,$F446)))</ns0:f>
        <ns0:v/>
      </ns0:c>
      <ns0:c r="B446" s="9" t="str">
        <ns0:f>IF($F446="","",IF(INDEX('販売記録'!$B$5:$B$1004,$F446)="","",INDEX('販売記録'!$B$5:$B$1004,$F446)))</ns0:f>
        <ns0:v/>
      </ns0:c>
      <ns0:c r="C446" s="9" t="str">
        <ns0:f>IF($F446="","",IF(INDEX('販売記録'!$C$5:$C$1004,$F446)="","",INDEX('販売記録'!$C$5:$C$1004,$F446)))</ns0:f>
        <ns0:v/>
      </ns0:c>
      <ns0:c r="D446" s="8" t="str">
        <ns0:f>IF($F446="","",IF(INDEX('販売記録'!$D$5:$D$1004,$F446)="","",INDEX('販売記録'!$D$5:$D$1004,$F446)))</ns0:f>
        <ns0:v/>
      </ns0:c>
      <ns0:c r="E446" s="12" t="str">
        <ns0:f>IF(OR(A446="",B446=""),"",MAX(0,TODAY()-A446))</ns0:f>
        <ns0:v/>
      </ns0:c>
      <ns0:c r="F446" s="9" t="str">
        <ns0:f>IFERROR(MATCH(ROW()-4,'販売記録'!$L$5:$L$1004,0),"")</ns0:f>
        <ns0:v/>
      </ns0:c>
    </ns0:row>
    <ns0:row r="447">
      <ns0:c r="A447" s="11" t="str">
        <ns0:f>IF($F447="","",IF(INDEX('販売記録'!$K$5:$K$1004,$F447)="","",INDEX('販売記録'!$K$5:$K$1004,$F447)))</ns0:f>
        <ns0:v/>
      </ns0:c>
      <ns0:c r="B447" s="9" t="str">
        <ns0:f>IF($F447="","",IF(INDEX('販売記録'!$B$5:$B$1004,$F447)="","",INDEX('販売記録'!$B$5:$B$1004,$F447)))</ns0:f>
        <ns0:v/>
      </ns0:c>
      <ns0:c r="C447" s="9" t="str">
        <ns0:f>IF($F447="","",IF(INDEX('販売記録'!$C$5:$C$1004,$F447)="","",INDEX('販売記録'!$C$5:$C$1004,$F447)))</ns0:f>
        <ns0:v/>
      </ns0:c>
      <ns0:c r="D447" s="8" t="str">
        <ns0:f>IF($F447="","",IF(INDEX('販売記録'!$D$5:$D$1004,$F447)="","",INDEX('販売記録'!$D$5:$D$1004,$F447)))</ns0:f>
        <ns0:v/>
      </ns0:c>
      <ns0:c r="E447" s="12" t="str">
        <ns0:f>IF(OR(A447="",B447=""),"",MAX(0,TODAY()-A447))</ns0:f>
        <ns0:v/>
      </ns0:c>
      <ns0:c r="F447" s="9" t="str">
        <ns0:f>IFERROR(MATCH(ROW()-4,'販売記録'!$L$5:$L$1004,0),"")</ns0:f>
        <ns0:v/>
      </ns0:c>
    </ns0:row>
    <ns0:row r="448">
      <ns0:c r="A448" s="11" t="str">
        <ns0:f>IF($F448="","",IF(INDEX('販売記録'!$K$5:$K$1004,$F448)="","",INDEX('販売記録'!$K$5:$K$1004,$F448)))</ns0:f>
        <ns0:v/>
      </ns0:c>
      <ns0:c r="B448" s="9" t="str">
        <ns0:f>IF($F448="","",IF(INDEX('販売記録'!$B$5:$B$1004,$F448)="","",INDEX('販売記録'!$B$5:$B$1004,$F448)))</ns0:f>
        <ns0:v/>
      </ns0:c>
      <ns0:c r="C448" s="9" t="str">
        <ns0:f>IF($F448="","",IF(INDEX('販売記録'!$C$5:$C$1004,$F448)="","",INDEX('販売記録'!$C$5:$C$1004,$F448)))</ns0:f>
        <ns0:v/>
      </ns0:c>
      <ns0:c r="D448" s="8" t="str">
        <ns0:f>IF($F448="","",IF(INDEX('販売記録'!$D$5:$D$1004,$F448)="","",INDEX('販売記録'!$D$5:$D$1004,$F448)))</ns0:f>
        <ns0:v/>
      </ns0:c>
      <ns0:c r="E448" s="12" t="str">
        <ns0:f>IF(OR(A448="",B448=""),"",MAX(0,TODAY()-A448))</ns0:f>
        <ns0:v/>
      </ns0:c>
      <ns0:c r="F448" s="9" t="str">
        <ns0:f>IFERROR(MATCH(ROW()-4,'販売記録'!$L$5:$L$1004,0),"")</ns0:f>
        <ns0:v/>
      </ns0:c>
    </ns0:row>
    <ns0:row r="449">
      <ns0:c r="A449" s="11" t="str">
        <ns0:f>IF($F449="","",IF(INDEX('販売記録'!$K$5:$K$1004,$F449)="","",INDEX('販売記録'!$K$5:$K$1004,$F449)))</ns0:f>
        <ns0:v/>
      </ns0:c>
      <ns0:c r="B449" s="9" t="str">
        <ns0:f>IF($F449="","",IF(INDEX('販売記録'!$B$5:$B$1004,$F449)="","",INDEX('販売記録'!$B$5:$B$1004,$F449)))</ns0:f>
        <ns0:v/>
      </ns0:c>
      <ns0:c r="C449" s="9" t="str">
        <ns0:f>IF($F449="","",IF(INDEX('販売記録'!$C$5:$C$1004,$F449)="","",INDEX('販売記録'!$C$5:$C$1004,$F449)))</ns0:f>
        <ns0:v/>
      </ns0:c>
      <ns0:c r="D449" s="8" t="str">
        <ns0:f>IF($F449="","",IF(INDEX('販売記録'!$D$5:$D$1004,$F449)="","",INDEX('販売記録'!$D$5:$D$1004,$F449)))</ns0:f>
        <ns0:v/>
      </ns0:c>
      <ns0:c r="E449" s="12" t="str">
        <ns0:f>IF(OR(A449="",B449=""),"",MAX(0,TODAY()-A449))</ns0:f>
        <ns0:v/>
      </ns0:c>
      <ns0:c r="F449" s="9" t="str">
        <ns0:f>IFERROR(MATCH(ROW()-4,'販売記録'!$L$5:$L$1004,0),"")</ns0:f>
        <ns0:v/>
      </ns0:c>
    </ns0:row>
    <ns0:row r="450">
      <ns0:c r="A450" s="11" t="str">
        <ns0:f>IF($F450="","",IF(INDEX('販売記録'!$K$5:$K$1004,$F450)="","",INDEX('販売記録'!$K$5:$K$1004,$F450)))</ns0:f>
        <ns0:v/>
      </ns0:c>
      <ns0:c r="B450" s="9" t="str">
        <ns0:f>IF($F450="","",IF(INDEX('販売記録'!$B$5:$B$1004,$F450)="","",INDEX('販売記録'!$B$5:$B$1004,$F450)))</ns0:f>
        <ns0:v/>
      </ns0:c>
      <ns0:c r="C450" s="9" t="str">
        <ns0:f>IF($F450="","",IF(INDEX('販売記録'!$C$5:$C$1004,$F450)="","",INDEX('販売記録'!$C$5:$C$1004,$F450)))</ns0:f>
        <ns0:v/>
      </ns0:c>
      <ns0:c r="D450" s="8" t="str">
        <ns0:f>IF($F450="","",IF(INDEX('販売記録'!$D$5:$D$1004,$F450)="","",INDEX('販売記録'!$D$5:$D$1004,$F450)))</ns0:f>
        <ns0:v/>
      </ns0:c>
      <ns0:c r="E450" s="12" t="str">
        <ns0:f>IF(OR(A450="",B450=""),"",MAX(0,TODAY()-A450))</ns0:f>
        <ns0:v/>
      </ns0:c>
      <ns0:c r="F450" s="9" t="str">
        <ns0:f>IFERROR(MATCH(ROW()-4,'販売記録'!$L$5:$L$1004,0),"")</ns0:f>
        <ns0:v/>
      </ns0:c>
    </ns0:row>
    <ns0:row r="451">
      <ns0:c r="A451" s="11" t="str">
        <ns0:f>IF($F451="","",IF(INDEX('販売記録'!$K$5:$K$1004,$F451)="","",INDEX('販売記録'!$K$5:$K$1004,$F451)))</ns0:f>
        <ns0:v/>
      </ns0:c>
      <ns0:c r="B451" s="9" t="str">
        <ns0:f>IF($F451="","",IF(INDEX('販売記録'!$B$5:$B$1004,$F451)="","",INDEX('販売記録'!$B$5:$B$1004,$F451)))</ns0:f>
        <ns0:v/>
      </ns0:c>
      <ns0:c r="C451" s="9" t="str">
        <ns0:f>IF($F451="","",IF(INDEX('販売記録'!$C$5:$C$1004,$F451)="","",INDEX('販売記録'!$C$5:$C$1004,$F451)))</ns0:f>
        <ns0:v/>
      </ns0:c>
      <ns0:c r="D451" s="8" t="str">
        <ns0:f>IF($F451="","",IF(INDEX('販売記録'!$D$5:$D$1004,$F451)="","",INDEX('販売記録'!$D$5:$D$1004,$F451)))</ns0:f>
        <ns0:v/>
      </ns0:c>
      <ns0:c r="E451" s="12" t="str">
        <ns0:f>IF(OR(A451="",B451=""),"",MAX(0,TODAY()-A451))</ns0:f>
        <ns0:v/>
      </ns0:c>
      <ns0:c r="F451" s="9" t="str">
        <ns0:f>IFERROR(MATCH(ROW()-4,'販売記録'!$L$5:$L$1004,0),"")</ns0:f>
        <ns0:v/>
      </ns0:c>
    </ns0:row>
    <ns0:row r="452">
      <ns0:c r="A452" s="11" t="str">
        <ns0:f>IF($F452="","",IF(INDEX('販売記録'!$K$5:$K$1004,$F452)="","",INDEX('販売記録'!$K$5:$K$1004,$F452)))</ns0:f>
        <ns0:v/>
      </ns0:c>
      <ns0:c r="B452" s="9" t="str">
        <ns0:f>IF($F452="","",IF(INDEX('販売記録'!$B$5:$B$1004,$F452)="","",INDEX('販売記録'!$B$5:$B$1004,$F452)))</ns0:f>
        <ns0:v/>
      </ns0:c>
      <ns0:c r="C452" s="9" t="str">
        <ns0:f>IF($F452="","",IF(INDEX('販売記録'!$C$5:$C$1004,$F452)="","",INDEX('販売記録'!$C$5:$C$1004,$F452)))</ns0:f>
        <ns0:v/>
      </ns0:c>
      <ns0:c r="D452" s="8" t="str">
        <ns0:f>IF($F452="","",IF(INDEX('販売記録'!$D$5:$D$1004,$F452)="","",INDEX('販売記録'!$D$5:$D$1004,$F452)))</ns0:f>
        <ns0:v/>
      </ns0:c>
      <ns0:c r="E452" s="12" t="str">
        <ns0:f>IF(OR(A452="",B452=""),"",MAX(0,TODAY()-A452))</ns0:f>
        <ns0:v/>
      </ns0:c>
      <ns0:c r="F452" s="9" t="str">
        <ns0:f>IFERROR(MATCH(ROW()-4,'販売記録'!$L$5:$L$1004,0),"")</ns0:f>
        <ns0:v/>
      </ns0:c>
    </ns0:row>
    <ns0:row r="453">
      <ns0:c r="A453" s="11" t="str">
        <ns0:f>IF($F453="","",IF(INDEX('販売記録'!$K$5:$K$1004,$F453)="","",INDEX('販売記録'!$K$5:$K$1004,$F453)))</ns0:f>
        <ns0:v/>
      </ns0:c>
      <ns0:c r="B453" s="9" t="str">
        <ns0:f>IF($F453="","",IF(INDEX('販売記録'!$B$5:$B$1004,$F453)="","",INDEX('販売記録'!$B$5:$B$1004,$F453)))</ns0:f>
        <ns0:v/>
      </ns0:c>
      <ns0:c r="C453" s="9" t="str">
        <ns0:f>IF($F453="","",IF(INDEX('販売記録'!$C$5:$C$1004,$F453)="","",INDEX('販売記録'!$C$5:$C$1004,$F453)))</ns0:f>
        <ns0:v/>
      </ns0:c>
      <ns0:c r="D453" s="8" t="str">
        <ns0:f>IF($F453="","",IF(INDEX('販売記録'!$D$5:$D$1004,$F453)="","",INDEX('販売記録'!$D$5:$D$1004,$F453)))</ns0:f>
        <ns0:v/>
      </ns0:c>
      <ns0:c r="E453" s="12" t="str">
        <ns0:f>IF(OR(A453="",B453=""),"",MAX(0,TODAY()-A453))</ns0:f>
        <ns0:v/>
      </ns0:c>
      <ns0:c r="F453" s="9" t="str">
        <ns0:f>IFERROR(MATCH(ROW()-4,'販売記録'!$L$5:$L$1004,0),"")</ns0:f>
        <ns0:v/>
      </ns0:c>
    </ns0:row>
    <ns0:row r="454">
      <ns0:c r="A454" s="11" t="str">
        <ns0:f>IF($F454="","",IF(INDEX('販売記録'!$K$5:$K$1004,$F454)="","",INDEX('販売記録'!$K$5:$K$1004,$F454)))</ns0:f>
        <ns0:v/>
      </ns0:c>
      <ns0:c r="B454" s="9" t="str">
        <ns0:f>IF($F454="","",IF(INDEX('販売記録'!$B$5:$B$1004,$F454)="","",INDEX('販売記録'!$B$5:$B$1004,$F454)))</ns0:f>
        <ns0:v/>
      </ns0:c>
      <ns0:c r="C454" s="9" t="str">
        <ns0:f>IF($F454="","",IF(INDEX('販売記録'!$C$5:$C$1004,$F454)="","",INDEX('販売記録'!$C$5:$C$1004,$F454)))</ns0:f>
        <ns0:v/>
      </ns0:c>
      <ns0:c r="D454" s="8" t="str">
        <ns0:f>IF($F454="","",IF(INDEX('販売記録'!$D$5:$D$1004,$F454)="","",INDEX('販売記録'!$D$5:$D$1004,$F454)))</ns0:f>
        <ns0:v/>
      </ns0:c>
      <ns0:c r="E454" s="12" t="str">
        <ns0:f>IF(OR(A454="",B454=""),"",MAX(0,TODAY()-A454))</ns0:f>
        <ns0:v/>
      </ns0:c>
      <ns0:c r="F454" s="9" t="str">
        <ns0:f>IFERROR(MATCH(ROW()-4,'販売記録'!$L$5:$L$1004,0),"")</ns0:f>
        <ns0:v/>
      </ns0:c>
    </ns0:row>
    <ns0:row r="455">
      <ns0:c r="A455" s="11" t="str">
        <ns0:f>IF($F455="","",IF(INDEX('販売記録'!$K$5:$K$1004,$F455)="","",INDEX('販売記録'!$K$5:$K$1004,$F455)))</ns0:f>
        <ns0:v/>
      </ns0:c>
      <ns0:c r="B455" s="9" t="str">
        <ns0:f>IF($F455="","",IF(INDEX('販売記録'!$B$5:$B$1004,$F455)="","",INDEX('販売記録'!$B$5:$B$1004,$F455)))</ns0:f>
        <ns0:v/>
      </ns0:c>
      <ns0:c r="C455" s="9" t="str">
        <ns0:f>IF($F455="","",IF(INDEX('販売記録'!$C$5:$C$1004,$F455)="","",INDEX('販売記録'!$C$5:$C$1004,$F455)))</ns0:f>
        <ns0:v/>
      </ns0:c>
      <ns0:c r="D455" s="8" t="str">
        <ns0:f>IF($F455="","",IF(INDEX('販売記録'!$D$5:$D$1004,$F455)="","",INDEX('販売記録'!$D$5:$D$1004,$F455)))</ns0:f>
        <ns0:v/>
      </ns0:c>
      <ns0:c r="E455" s="12" t="str">
        <ns0:f>IF(OR(A455="",B455=""),"",MAX(0,TODAY()-A455))</ns0:f>
        <ns0:v/>
      </ns0:c>
      <ns0:c r="F455" s="9" t="str">
        <ns0:f>IFERROR(MATCH(ROW()-4,'販売記録'!$L$5:$L$1004,0),"")</ns0:f>
        <ns0:v/>
      </ns0:c>
    </ns0:row>
    <ns0:row r="456">
      <ns0:c r="A456" s="11" t="str">
        <ns0:f>IF($F456="","",IF(INDEX('販売記録'!$K$5:$K$1004,$F456)="","",INDEX('販売記録'!$K$5:$K$1004,$F456)))</ns0:f>
        <ns0:v/>
      </ns0:c>
      <ns0:c r="B456" s="9" t="str">
        <ns0:f>IF($F456="","",IF(INDEX('販売記録'!$B$5:$B$1004,$F456)="","",INDEX('販売記録'!$B$5:$B$1004,$F456)))</ns0:f>
        <ns0:v/>
      </ns0:c>
      <ns0:c r="C456" s="9" t="str">
        <ns0:f>IF($F456="","",IF(INDEX('販売記録'!$C$5:$C$1004,$F456)="","",INDEX('販売記録'!$C$5:$C$1004,$F456)))</ns0:f>
        <ns0:v/>
      </ns0:c>
      <ns0:c r="D456" s="8" t="str">
        <ns0:f>IF($F456="","",IF(INDEX('販売記録'!$D$5:$D$1004,$F456)="","",INDEX('販売記録'!$D$5:$D$1004,$F456)))</ns0:f>
        <ns0:v/>
      </ns0:c>
      <ns0:c r="E456" s="12" t="str">
        <ns0:f>IF(OR(A456="",B456=""),"",MAX(0,TODAY()-A456))</ns0:f>
        <ns0:v/>
      </ns0:c>
      <ns0:c r="F456" s="9" t="str">
        <ns0:f>IFERROR(MATCH(ROW()-4,'販売記録'!$L$5:$L$1004,0),"")</ns0:f>
        <ns0:v/>
      </ns0:c>
    </ns0:row>
    <ns0:row r="457">
      <ns0:c r="A457" s="11" t="str">
        <ns0:f>IF($F457="","",IF(INDEX('販売記録'!$K$5:$K$1004,$F457)="","",INDEX('販売記録'!$K$5:$K$1004,$F457)))</ns0:f>
        <ns0:v/>
      </ns0:c>
      <ns0:c r="B457" s="9" t="str">
        <ns0:f>IF($F457="","",IF(INDEX('販売記録'!$B$5:$B$1004,$F457)="","",INDEX('販売記録'!$B$5:$B$1004,$F457)))</ns0:f>
        <ns0:v/>
      </ns0:c>
      <ns0:c r="C457" s="9" t="str">
        <ns0:f>IF($F457="","",IF(INDEX('販売記録'!$C$5:$C$1004,$F457)="","",INDEX('販売記録'!$C$5:$C$1004,$F457)))</ns0:f>
        <ns0:v/>
      </ns0:c>
      <ns0:c r="D457" s="8" t="str">
        <ns0:f>IF($F457="","",IF(INDEX('販売記録'!$D$5:$D$1004,$F457)="","",INDEX('販売記録'!$D$5:$D$1004,$F457)))</ns0:f>
        <ns0:v/>
      </ns0:c>
      <ns0:c r="E457" s="12" t="str">
        <ns0:f>IF(OR(A457="",B457=""),"",MAX(0,TODAY()-A457))</ns0:f>
        <ns0:v/>
      </ns0:c>
      <ns0:c r="F457" s="9" t="str">
        <ns0:f>IFERROR(MATCH(ROW()-4,'販売記録'!$L$5:$L$1004,0),"")</ns0:f>
        <ns0:v/>
      </ns0:c>
    </ns0:row>
    <ns0:row r="458">
      <ns0:c r="A458" s="11" t="str">
        <ns0:f>IF($F458="","",IF(INDEX('販売記録'!$K$5:$K$1004,$F458)="","",INDEX('販売記録'!$K$5:$K$1004,$F458)))</ns0:f>
        <ns0:v/>
      </ns0:c>
      <ns0:c r="B458" s="9" t="str">
        <ns0:f>IF($F458="","",IF(INDEX('販売記録'!$B$5:$B$1004,$F458)="","",INDEX('販売記録'!$B$5:$B$1004,$F458)))</ns0:f>
        <ns0:v/>
      </ns0:c>
      <ns0:c r="C458" s="9" t="str">
        <ns0:f>IF($F458="","",IF(INDEX('販売記録'!$C$5:$C$1004,$F458)="","",INDEX('販売記録'!$C$5:$C$1004,$F458)))</ns0:f>
        <ns0:v/>
      </ns0:c>
      <ns0:c r="D458" s="8" t="str">
        <ns0:f>IF($F458="","",IF(INDEX('販売記録'!$D$5:$D$1004,$F458)="","",INDEX('販売記録'!$D$5:$D$1004,$F458)))</ns0:f>
        <ns0:v/>
      </ns0:c>
      <ns0:c r="E458" s="12" t="str">
        <ns0:f>IF(OR(A458="",B458=""),"",MAX(0,TODAY()-A458))</ns0:f>
        <ns0:v/>
      </ns0:c>
      <ns0:c r="F458" s="9" t="str">
        <ns0:f>IFERROR(MATCH(ROW()-4,'販売記録'!$L$5:$L$1004,0),"")</ns0:f>
        <ns0:v/>
      </ns0:c>
    </ns0:row>
    <ns0:row r="459">
      <ns0:c r="A459" s="11" t="str">
        <ns0:f>IF($F459="","",IF(INDEX('販売記録'!$K$5:$K$1004,$F459)="","",INDEX('販売記録'!$K$5:$K$1004,$F459)))</ns0:f>
        <ns0:v/>
      </ns0:c>
      <ns0:c r="B459" s="9" t="str">
        <ns0:f>IF($F459="","",IF(INDEX('販売記録'!$B$5:$B$1004,$F459)="","",INDEX('販売記録'!$B$5:$B$1004,$F459)))</ns0:f>
        <ns0:v/>
      </ns0:c>
      <ns0:c r="C459" s="9" t="str">
        <ns0:f>IF($F459="","",IF(INDEX('販売記録'!$C$5:$C$1004,$F459)="","",INDEX('販売記録'!$C$5:$C$1004,$F459)))</ns0:f>
        <ns0:v/>
      </ns0:c>
      <ns0:c r="D459" s="8" t="str">
        <ns0:f>IF($F459="","",IF(INDEX('販売記録'!$D$5:$D$1004,$F459)="","",INDEX('販売記録'!$D$5:$D$1004,$F459)))</ns0:f>
        <ns0:v/>
      </ns0:c>
      <ns0:c r="E459" s="12" t="str">
        <ns0:f>IF(OR(A459="",B459=""),"",MAX(0,TODAY()-A459))</ns0:f>
        <ns0:v/>
      </ns0:c>
      <ns0:c r="F459" s="9" t="str">
        <ns0:f>IFERROR(MATCH(ROW()-4,'販売記録'!$L$5:$L$1004,0),"")</ns0:f>
        <ns0:v/>
      </ns0:c>
    </ns0:row>
    <ns0:row r="460">
      <ns0:c r="A460" s="11" t="str">
        <ns0:f>IF($F460="","",IF(INDEX('販売記録'!$K$5:$K$1004,$F460)="","",INDEX('販売記録'!$K$5:$K$1004,$F460)))</ns0:f>
        <ns0:v/>
      </ns0:c>
      <ns0:c r="B460" s="9" t="str">
        <ns0:f>IF($F460="","",IF(INDEX('販売記録'!$B$5:$B$1004,$F460)="","",INDEX('販売記録'!$B$5:$B$1004,$F460)))</ns0:f>
        <ns0:v/>
      </ns0:c>
      <ns0:c r="C460" s="9" t="str">
        <ns0:f>IF($F460="","",IF(INDEX('販売記録'!$C$5:$C$1004,$F460)="","",INDEX('販売記録'!$C$5:$C$1004,$F460)))</ns0:f>
        <ns0:v/>
      </ns0:c>
      <ns0:c r="D460" s="8" t="str">
        <ns0:f>IF($F460="","",IF(INDEX('販売記録'!$D$5:$D$1004,$F460)="","",INDEX('販売記録'!$D$5:$D$1004,$F460)))</ns0:f>
        <ns0:v/>
      </ns0:c>
      <ns0:c r="E460" s="12" t="str">
        <ns0:f>IF(OR(A460="",B460=""),"",MAX(0,TODAY()-A460))</ns0:f>
        <ns0:v/>
      </ns0:c>
      <ns0:c r="F460" s="9" t="str">
        <ns0:f>IFERROR(MATCH(ROW()-4,'販売記録'!$L$5:$L$1004,0),"")</ns0:f>
        <ns0:v/>
      </ns0:c>
    </ns0:row>
    <ns0:row r="461">
      <ns0:c r="A461" s="11" t="str">
        <ns0:f>IF($F461="","",IF(INDEX('販売記録'!$K$5:$K$1004,$F461)="","",INDEX('販売記録'!$K$5:$K$1004,$F461)))</ns0:f>
        <ns0:v/>
      </ns0:c>
      <ns0:c r="B461" s="9" t="str">
        <ns0:f>IF($F461="","",IF(INDEX('販売記録'!$B$5:$B$1004,$F461)="","",INDEX('販売記録'!$B$5:$B$1004,$F461)))</ns0:f>
        <ns0:v/>
      </ns0:c>
      <ns0:c r="C461" s="9" t="str">
        <ns0:f>IF($F461="","",IF(INDEX('販売記録'!$C$5:$C$1004,$F461)="","",INDEX('販売記録'!$C$5:$C$1004,$F461)))</ns0:f>
        <ns0:v/>
      </ns0:c>
      <ns0:c r="D461" s="8" t="str">
        <ns0:f>IF($F461="","",IF(INDEX('販売記録'!$D$5:$D$1004,$F461)="","",INDEX('販売記録'!$D$5:$D$1004,$F461)))</ns0:f>
        <ns0:v/>
      </ns0:c>
      <ns0:c r="E461" s="12" t="str">
        <ns0:f>IF(OR(A461="",B461=""),"",MAX(0,TODAY()-A461))</ns0:f>
        <ns0:v/>
      </ns0:c>
      <ns0:c r="F461" s="9" t="str">
        <ns0:f>IFERROR(MATCH(ROW()-4,'販売記録'!$L$5:$L$1004,0),"")</ns0:f>
        <ns0:v/>
      </ns0:c>
    </ns0:row>
    <ns0:row r="462">
      <ns0:c r="A462" s="11" t="str">
        <ns0:f>IF($F462="","",IF(INDEX('販売記録'!$K$5:$K$1004,$F462)="","",INDEX('販売記録'!$K$5:$K$1004,$F462)))</ns0:f>
        <ns0:v/>
      </ns0:c>
      <ns0:c r="B462" s="9" t="str">
        <ns0:f>IF($F462="","",IF(INDEX('販売記録'!$B$5:$B$1004,$F462)="","",INDEX('販売記録'!$B$5:$B$1004,$F462)))</ns0:f>
        <ns0:v/>
      </ns0:c>
      <ns0:c r="C462" s="9" t="str">
        <ns0:f>IF($F462="","",IF(INDEX('販売記録'!$C$5:$C$1004,$F462)="","",INDEX('販売記録'!$C$5:$C$1004,$F462)))</ns0:f>
        <ns0:v/>
      </ns0:c>
      <ns0:c r="D462" s="8" t="str">
        <ns0:f>IF($F462="","",IF(INDEX('販売記録'!$D$5:$D$1004,$F462)="","",INDEX('販売記録'!$D$5:$D$1004,$F462)))</ns0:f>
        <ns0:v/>
      </ns0:c>
      <ns0:c r="E462" s="12" t="str">
        <ns0:f>IF(OR(A462="",B462=""),"",MAX(0,TODAY()-A462))</ns0:f>
        <ns0:v/>
      </ns0:c>
      <ns0:c r="F462" s="9" t="str">
        <ns0:f>IFERROR(MATCH(ROW()-4,'販売記録'!$L$5:$L$1004,0),"")</ns0:f>
        <ns0:v/>
      </ns0:c>
    </ns0:row>
    <ns0:row r="463">
      <ns0:c r="A463" s="11" t="str">
        <ns0:f>IF($F463="","",IF(INDEX('販売記録'!$K$5:$K$1004,$F463)="","",INDEX('販売記録'!$K$5:$K$1004,$F463)))</ns0:f>
        <ns0:v/>
      </ns0:c>
      <ns0:c r="B463" s="9" t="str">
        <ns0:f>IF($F463="","",IF(INDEX('販売記録'!$B$5:$B$1004,$F463)="","",INDEX('販売記録'!$B$5:$B$1004,$F463)))</ns0:f>
        <ns0:v/>
      </ns0:c>
      <ns0:c r="C463" s="9" t="str">
        <ns0:f>IF($F463="","",IF(INDEX('販売記録'!$C$5:$C$1004,$F463)="","",INDEX('販売記録'!$C$5:$C$1004,$F463)))</ns0:f>
        <ns0:v/>
      </ns0:c>
      <ns0:c r="D463" s="8" t="str">
        <ns0:f>IF($F463="","",IF(INDEX('販売記録'!$D$5:$D$1004,$F463)="","",INDEX('販売記録'!$D$5:$D$1004,$F463)))</ns0:f>
        <ns0:v/>
      </ns0:c>
      <ns0:c r="E463" s="12" t="str">
        <ns0:f>IF(OR(A463="",B463=""),"",MAX(0,TODAY()-A463))</ns0:f>
        <ns0:v/>
      </ns0:c>
      <ns0:c r="F463" s="9" t="str">
        <ns0:f>IFERROR(MATCH(ROW()-4,'販売記録'!$L$5:$L$1004,0),"")</ns0:f>
        <ns0:v/>
      </ns0:c>
    </ns0:row>
    <ns0:row r="464">
      <ns0:c r="A464" s="11" t="str">
        <ns0:f>IF($F464="","",IF(INDEX('販売記録'!$K$5:$K$1004,$F464)="","",INDEX('販売記録'!$K$5:$K$1004,$F464)))</ns0:f>
        <ns0:v/>
      </ns0:c>
      <ns0:c r="B464" s="9" t="str">
        <ns0:f>IF($F464="","",IF(INDEX('販売記録'!$B$5:$B$1004,$F464)="","",INDEX('販売記録'!$B$5:$B$1004,$F464)))</ns0:f>
        <ns0:v/>
      </ns0:c>
      <ns0:c r="C464" s="9" t="str">
        <ns0:f>IF($F464="","",IF(INDEX('販売記録'!$C$5:$C$1004,$F464)="","",INDEX('販売記録'!$C$5:$C$1004,$F464)))</ns0:f>
        <ns0:v/>
      </ns0:c>
      <ns0:c r="D464" s="8" t="str">
        <ns0:f>IF($F464="","",IF(INDEX('販売記録'!$D$5:$D$1004,$F464)="","",INDEX('販売記録'!$D$5:$D$1004,$F464)))</ns0:f>
        <ns0:v/>
      </ns0:c>
      <ns0:c r="E464" s="12" t="str">
        <ns0:f>IF(OR(A464="",B464=""),"",MAX(0,TODAY()-A464))</ns0:f>
        <ns0:v/>
      </ns0:c>
      <ns0:c r="F464" s="9" t="str">
        <ns0:f>IFERROR(MATCH(ROW()-4,'販売記録'!$L$5:$L$1004,0),"")</ns0:f>
        <ns0:v/>
      </ns0:c>
    </ns0:row>
    <ns0:row r="465">
      <ns0:c r="A465" s="11" t="str">
        <ns0:f>IF($F465="","",IF(INDEX('販売記録'!$K$5:$K$1004,$F465)="","",INDEX('販売記録'!$K$5:$K$1004,$F465)))</ns0:f>
        <ns0:v/>
      </ns0:c>
      <ns0:c r="B465" s="9" t="str">
        <ns0:f>IF($F465="","",IF(INDEX('販売記録'!$B$5:$B$1004,$F465)="","",INDEX('販売記録'!$B$5:$B$1004,$F465)))</ns0:f>
        <ns0:v/>
      </ns0:c>
      <ns0:c r="C465" s="9" t="str">
        <ns0:f>IF($F465="","",IF(INDEX('販売記録'!$C$5:$C$1004,$F465)="","",INDEX('販売記録'!$C$5:$C$1004,$F465)))</ns0:f>
        <ns0:v/>
      </ns0:c>
      <ns0:c r="D465" s="8" t="str">
        <ns0:f>IF($F465="","",IF(INDEX('販売記録'!$D$5:$D$1004,$F465)="","",INDEX('販売記録'!$D$5:$D$1004,$F465)))</ns0:f>
        <ns0:v/>
      </ns0:c>
      <ns0:c r="E465" s="12" t="str">
        <ns0:f>IF(OR(A465="",B465=""),"",MAX(0,TODAY()-A465))</ns0:f>
        <ns0:v/>
      </ns0:c>
      <ns0:c r="F465" s="9" t="str">
        <ns0:f>IFERROR(MATCH(ROW()-4,'販売記録'!$L$5:$L$1004,0),"")</ns0:f>
        <ns0:v/>
      </ns0:c>
    </ns0:row>
    <ns0:row r="466">
      <ns0:c r="A466" s="11" t="str">
        <ns0:f>IF($F466="","",IF(INDEX('販売記録'!$K$5:$K$1004,$F466)="","",INDEX('販売記録'!$K$5:$K$1004,$F466)))</ns0:f>
        <ns0:v/>
      </ns0:c>
      <ns0:c r="B466" s="9" t="str">
        <ns0:f>IF($F466="","",IF(INDEX('販売記録'!$B$5:$B$1004,$F466)="","",INDEX('販売記録'!$B$5:$B$1004,$F466)))</ns0:f>
        <ns0:v/>
      </ns0:c>
      <ns0:c r="C466" s="9" t="str">
        <ns0:f>IF($F466="","",IF(INDEX('販売記録'!$C$5:$C$1004,$F466)="","",INDEX('販売記録'!$C$5:$C$1004,$F466)))</ns0:f>
        <ns0:v/>
      </ns0:c>
      <ns0:c r="D466" s="8" t="str">
        <ns0:f>IF($F466="","",IF(INDEX('販売記録'!$D$5:$D$1004,$F466)="","",INDEX('販売記録'!$D$5:$D$1004,$F466)))</ns0:f>
        <ns0:v/>
      </ns0:c>
      <ns0:c r="E466" s="12" t="str">
        <ns0:f>IF(OR(A466="",B466=""),"",MAX(0,TODAY()-A466))</ns0:f>
        <ns0:v/>
      </ns0:c>
      <ns0:c r="F466" s="9" t="str">
        <ns0:f>IFERROR(MATCH(ROW()-4,'販売記録'!$L$5:$L$1004,0),"")</ns0:f>
        <ns0:v/>
      </ns0:c>
    </ns0:row>
    <ns0:row r="467">
      <ns0:c r="A467" s="11" t="str">
        <ns0:f>IF($F467="","",IF(INDEX('販売記録'!$K$5:$K$1004,$F467)="","",INDEX('販売記録'!$K$5:$K$1004,$F467)))</ns0:f>
        <ns0:v/>
      </ns0:c>
      <ns0:c r="B467" s="9" t="str">
        <ns0:f>IF($F467="","",IF(INDEX('販売記録'!$B$5:$B$1004,$F467)="","",INDEX('販売記録'!$B$5:$B$1004,$F467)))</ns0:f>
        <ns0:v/>
      </ns0:c>
      <ns0:c r="C467" s="9" t="str">
        <ns0:f>IF($F467="","",IF(INDEX('販売記録'!$C$5:$C$1004,$F467)="","",INDEX('販売記録'!$C$5:$C$1004,$F467)))</ns0:f>
        <ns0:v/>
      </ns0:c>
      <ns0:c r="D467" s="8" t="str">
        <ns0:f>IF($F467="","",IF(INDEX('販売記録'!$D$5:$D$1004,$F467)="","",INDEX('販売記録'!$D$5:$D$1004,$F467)))</ns0:f>
        <ns0:v/>
      </ns0:c>
      <ns0:c r="E467" s="12" t="str">
        <ns0:f>IF(OR(A467="",B467=""),"",MAX(0,TODAY()-A467))</ns0:f>
        <ns0:v/>
      </ns0:c>
      <ns0:c r="F467" s="9" t="str">
        <ns0:f>IFERROR(MATCH(ROW()-4,'販売記録'!$L$5:$L$1004,0),"")</ns0:f>
        <ns0:v/>
      </ns0:c>
    </ns0:row>
    <ns0:row r="468">
      <ns0:c r="A468" s="11" t="str">
        <ns0:f>IF($F468="","",IF(INDEX('販売記録'!$K$5:$K$1004,$F468)="","",INDEX('販売記録'!$K$5:$K$1004,$F468)))</ns0:f>
        <ns0:v/>
      </ns0:c>
      <ns0:c r="B468" s="9" t="str">
        <ns0:f>IF($F468="","",IF(INDEX('販売記録'!$B$5:$B$1004,$F468)="","",INDEX('販売記録'!$B$5:$B$1004,$F468)))</ns0:f>
        <ns0:v/>
      </ns0:c>
      <ns0:c r="C468" s="9" t="str">
        <ns0:f>IF($F468="","",IF(INDEX('販売記録'!$C$5:$C$1004,$F468)="","",INDEX('販売記録'!$C$5:$C$1004,$F468)))</ns0:f>
        <ns0:v/>
      </ns0:c>
      <ns0:c r="D468" s="8" t="str">
        <ns0:f>IF($F468="","",IF(INDEX('販売記録'!$D$5:$D$1004,$F468)="","",INDEX('販売記録'!$D$5:$D$1004,$F468)))</ns0:f>
        <ns0:v/>
      </ns0:c>
      <ns0:c r="E468" s="12" t="str">
        <ns0:f>IF(OR(A468="",B468=""),"",MAX(0,TODAY()-A468))</ns0:f>
        <ns0:v/>
      </ns0:c>
      <ns0:c r="F468" s="9" t="str">
        <ns0:f>IFERROR(MATCH(ROW()-4,'販売記録'!$L$5:$L$1004,0),"")</ns0:f>
        <ns0:v/>
      </ns0:c>
    </ns0:row>
    <ns0:row r="469">
      <ns0:c r="A469" s="11" t="str">
        <ns0:f>IF($F469="","",IF(INDEX('販売記録'!$K$5:$K$1004,$F469)="","",INDEX('販売記録'!$K$5:$K$1004,$F469)))</ns0:f>
        <ns0:v/>
      </ns0:c>
      <ns0:c r="B469" s="9" t="str">
        <ns0:f>IF($F469="","",IF(INDEX('販売記録'!$B$5:$B$1004,$F469)="","",INDEX('販売記録'!$B$5:$B$1004,$F469)))</ns0:f>
        <ns0:v/>
      </ns0:c>
      <ns0:c r="C469" s="9" t="str">
        <ns0:f>IF($F469="","",IF(INDEX('販売記録'!$C$5:$C$1004,$F469)="","",INDEX('販売記録'!$C$5:$C$1004,$F469)))</ns0:f>
        <ns0:v/>
      </ns0:c>
      <ns0:c r="D469" s="8" t="str">
        <ns0:f>IF($F469="","",IF(INDEX('販売記録'!$D$5:$D$1004,$F469)="","",INDEX('販売記録'!$D$5:$D$1004,$F469)))</ns0:f>
        <ns0:v/>
      </ns0:c>
      <ns0:c r="E469" s="12" t="str">
        <ns0:f>IF(OR(A469="",B469=""),"",MAX(0,TODAY()-A469))</ns0:f>
        <ns0:v/>
      </ns0:c>
      <ns0:c r="F469" s="9" t="str">
        <ns0:f>IFERROR(MATCH(ROW()-4,'販売記録'!$L$5:$L$1004,0),"")</ns0:f>
        <ns0:v/>
      </ns0:c>
    </ns0:row>
    <ns0:row r="470">
      <ns0:c r="A470" s="11" t="str">
        <ns0:f>IF($F470="","",IF(INDEX('販売記録'!$K$5:$K$1004,$F470)="","",INDEX('販売記録'!$K$5:$K$1004,$F470)))</ns0:f>
        <ns0:v/>
      </ns0:c>
      <ns0:c r="B470" s="9" t="str">
        <ns0:f>IF($F470="","",IF(INDEX('販売記録'!$B$5:$B$1004,$F470)="","",INDEX('販売記録'!$B$5:$B$1004,$F470)))</ns0:f>
        <ns0:v/>
      </ns0:c>
      <ns0:c r="C470" s="9" t="str">
        <ns0:f>IF($F470="","",IF(INDEX('販売記録'!$C$5:$C$1004,$F470)="","",INDEX('販売記録'!$C$5:$C$1004,$F470)))</ns0:f>
        <ns0:v/>
      </ns0:c>
      <ns0:c r="D470" s="8" t="str">
        <ns0:f>IF($F470="","",IF(INDEX('販売記録'!$D$5:$D$1004,$F470)="","",INDEX('販売記録'!$D$5:$D$1004,$F470)))</ns0:f>
        <ns0:v/>
      </ns0:c>
      <ns0:c r="E470" s="12" t="str">
        <ns0:f>IF(OR(A470="",B470=""),"",MAX(0,TODAY()-A470))</ns0:f>
        <ns0:v/>
      </ns0:c>
      <ns0:c r="F470" s="9" t="str">
        <ns0:f>IFERROR(MATCH(ROW()-4,'販売記録'!$L$5:$L$1004,0),"")</ns0:f>
        <ns0:v/>
      </ns0:c>
    </ns0:row>
    <ns0:row r="471">
      <ns0:c r="A471" s="11" t="str">
        <ns0:f>IF($F471="","",IF(INDEX('販売記録'!$K$5:$K$1004,$F471)="","",INDEX('販売記録'!$K$5:$K$1004,$F471)))</ns0:f>
        <ns0:v/>
      </ns0:c>
      <ns0:c r="B471" s="9" t="str">
        <ns0:f>IF($F471="","",IF(INDEX('販売記録'!$B$5:$B$1004,$F471)="","",INDEX('販売記録'!$B$5:$B$1004,$F471)))</ns0:f>
        <ns0:v/>
      </ns0:c>
      <ns0:c r="C471" s="9" t="str">
        <ns0:f>IF($F471="","",IF(INDEX('販売記録'!$C$5:$C$1004,$F471)="","",INDEX('販売記録'!$C$5:$C$1004,$F471)))</ns0:f>
        <ns0:v/>
      </ns0:c>
      <ns0:c r="D471" s="8" t="str">
        <ns0:f>IF($F471="","",IF(INDEX('販売記録'!$D$5:$D$1004,$F471)="","",INDEX('販売記録'!$D$5:$D$1004,$F471)))</ns0:f>
        <ns0:v/>
      </ns0:c>
      <ns0:c r="E471" s="12" t="str">
        <ns0:f>IF(OR(A471="",B471=""),"",MAX(0,TODAY()-A471))</ns0:f>
        <ns0:v/>
      </ns0:c>
      <ns0:c r="F471" s="9" t="str">
        <ns0:f>IFERROR(MATCH(ROW()-4,'販売記録'!$L$5:$L$1004,0),"")</ns0:f>
        <ns0:v/>
      </ns0:c>
    </ns0:row>
    <ns0:row r="472">
      <ns0:c r="A472" s="11" t="str">
        <ns0:f>IF($F472="","",IF(INDEX('販売記録'!$K$5:$K$1004,$F472)="","",INDEX('販売記録'!$K$5:$K$1004,$F472)))</ns0:f>
        <ns0:v/>
      </ns0:c>
      <ns0:c r="B472" s="9" t="str">
        <ns0:f>IF($F472="","",IF(INDEX('販売記録'!$B$5:$B$1004,$F472)="","",INDEX('販売記録'!$B$5:$B$1004,$F472)))</ns0:f>
        <ns0:v/>
      </ns0:c>
      <ns0:c r="C472" s="9" t="str">
        <ns0:f>IF($F472="","",IF(INDEX('販売記録'!$C$5:$C$1004,$F472)="","",INDEX('販売記録'!$C$5:$C$1004,$F472)))</ns0:f>
        <ns0:v/>
      </ns0:c>
      <ns0:c r="D472" s="8" t="str">
        <ns0:f>IF($F472="","",IF(INDEX('販売記録'!$D$5:$D$1004,$F472)="","",INDEX('販売記録'!$D$5:$D$1004,$F472)))</ns0:f>
        <ns0:v/>
      </ns0:c>
      <ns0:c r="E472" s="12" t="str">
        <ns0:f>IF(OR(A472="",B472=""),"",MAX(0,TODAY()-A472))</ns0:f>
        <ns0:v/>
      </ns0:c>
      <ns0:c r="F472" s="9" t="str">
        <ns0:f>IFERROR(MATCH(ROW()-4,'販売記録'!$L$5:$L$1004,0),"")</ns0:f>
        <ns0:v/>
      </ns0:c>
    </ns0:row>
    <ns0:row r="473">
      <ns0:c r="A473" s="11" t="str">
        <ns0:f>IF($F473="","",IF(INDEX('販売記録'!$K$5:$K$1004,$F473)="","",INDEX('販売記録'!$K$5:$K$1004,$F473)))</ns0:f>
        <ns0:v/>
      </ns0:c>
      <ns0:c r="B473" s="9" t="str">
        <ns0:f>IF($F473="","",IF(INDEX('販売記録'!$B$5:$B$1004,$F473)="","",INDEX('販売記録'!$B$5:$B$1004,$F473)))</ns0:f>
        <ns0:v/>
      </ns0:c>
      <ns0:c r="C473" s="9" t="str">
        <ns0:f>IF($F473="","",IF(INDEX('販売記録'!$C$5:$C$1004,$F473)="","",INDEX('販売記録'!$C$5:$C$1004,$F473)))</ns0:f>
        <ns0:v/>
      </ns0:c>
      <ns0:c r="D473" s="8" t="str">
        <ns0:f>IF($F473="","",IF(INDEX('販売記録'!$D$5:$D$1004,$F473)="","",INDEX('販売記録'!$D$5:$D$1004,$F473)))</ns0:f>
        <ns0:v/>
      </ns0:c>
      <ns0:c r="E473" s="12" t="str">
        <ns0:f>IF(OR(A473="",B473=""),"",MAX(0,TODAY()-A473))</ns0:f>
        <ns0:v/>
      </ns0:c>
      <ns0:c r="F473" s="9" t="str">
        <ns0:f>IFERROR(MATCH(ROW()-4,'販売記録'!$L$5:$L$1004,0),"")</ns0:f>
        <ns0:v/>
      </ns0:c>
    </ns0:row>
    <ns0:row r="474">
      <ns0:c r="A474" s="11" t="str">
        <ns0:f>IF($F474="","",IF(INDEX('販売記録'!$K$5:$K$1004,$F474)="","",INDEX('販売記録'!$K$5:$K$1004,$F474)))</ns0:f>
        <ns0:v/>
      </ns0:c>
      <ns0:c r="B474" s="9" t="str">
        <ns0:f>IF($F474="","",IF(INDEX('販売記録'!$B$5:$B$1004,$F474)="","",INDEX('販売記録'!$B$5:$B$1004,$F474)))</ns0:f>
        <ns0:v/>
      </ns0:c>
      <ns0:c r="C474" s="9" t="str">
        <ns0:f>IF($F474="","",IF(INDEX('販売記録'!$C$5:$C$1004,$F474)="","",INDEX('販売記録'!$C$5:$C$1004,$F474)))</ns0:f>
        <ns0:v/>
      </ns0:c>
      <ns0:c r="D474" s="8" t="str">
        <ns0:f>IF($F474="","",IF(INDEX('販売記録'!$D$5:$D$1004,$F474)="","",INDEX('販売記録'!$D$5:$D$1004,$F474)))</ns0:f>
        <ns0:v/>
      </ns0:c>
      <ns0:c r="E474" s="12" t="str">
        <ns0:f>IF(OR(A474="",B474=""),"",MAX(0,TODAY()-A474))</ns0:f>
        <ns0:v/>
      </ns0:c>
      <ns0:c r="F474" s="9" t="str">
        <ns0:f>IFERROR(MATCH(ROW()-4,'販売記録'!$L$5:$L$1004,0),"")</ns0:f>
        <ns0:v/>
      </ns0:c>
    </ns0:row>
    <ns0:row r="475">
      <ns0:c r="A475" s="11" t="str">
        <ns0:f>IF($F475="","",IF(INDEX('販売記録'!$K$5:$K$1004,$F475)="","",INDEX('販売記録'!$K$5:$K$1004,$F475)))</ns0:f>
        <ns0:v/>
      </ns0:c>
      <ns0:c r="B475" s="9" t="str">
        <ns0:f>IF($F475="","",IF(INDEX('販売記録'!$B$5:$B$1004,$F475)="","",INDEX('販売記録'!$B$5:$B$1004,$F475)))</ns0:f>
        <ns0:v/>
      </ns0:c>
      <ns0:c r="C475" s="9" t="str">
        <ns0:f>IF($F475="","",IF(INDEX('販売記録'!$C$5:$C$1004,$F475)="","",INDEX('販売記録'!$C$5:$C$1004,$F475)))</ns0:f>
        <ns0:v/>
      </ns0:c>
      <ns0:c r="D475" s="8" t="str">
        <ns0:f>IF($F475="","",IF(INDEX('販売記録'!$D$5:$D$1004,$F475)="","",INDEX('販売記録'!$D$5:$D$1004,$F475)))</ns0:f>
        <ns0:v/>
      </ns0:c>
      <ns0:c r="E475" s="12" t="str">
        <ns0:f>IF(OR(A475="",B475=""),"",MAX(0,TODAY()-A475))</ns0:f>
        <ns0:v/>
      </ns0:c>
      <ns0:c r="F475" s="9" t="str">
        <ns0:f>IFERROR(MATCH(ROW()-4,'販売記録'!$L$5:$L$1004,0),"")</ns0:f>
        <ns0:v/>
      </ns0:c>
    </ns0:row>
    <ns0:row r="476">
      <ns0:c r="A476" s="11" t="str">
        <ns0:f>IF($F476="","",IF(INDEX('販売記録'!$K$5:$K$1004,$F476)="","",INDEX('販売記録'!$K$5:$K$1004,$F476)))</ns0:f>
        <ns0:v/>
      </ns0:c>
      <ns0:c r="B476" s="9" t="str">
        <ns0:f>IF($F476="","",IF(INDEX('販売記録'!$B$5:$B$1004,$F476)="","",INDEX('販売記録'!$B$5:$B$1004,$F476)))</ns0:f>
        <ns0:v/>
      </ns0:c>
      <ns0:c r="C476" s="9" t="str">
        <ns0:f>IF($F476="","",IF(INDEX('販売記録'!$C$5:$C$1004,$F476)="","",INDEX('販売記録'!$C$5:$C$1004,$F476)))</ns0:f>
        <ns0:v/>
      </ns0:c>
      <ns0:c r="D476" s="8" t="str">
        <ns0:f>IF($F476="","",IF(INDEX('販売記録'!$D$5:$D$1004,$F476)="","",INDEX('販売記録'!$D$5:$D$1004,$F476)))</ns0:f>
        <ns0:v/>
      </ns0:c>
      <ns0:c r="E476" s="12" t="str">
        <ns0:f>IF(OR(A476="",B476=""),"",MAX(0,TODAY()-A476))</ns0:f>
        <ns0:v/>
      </ns0:c>
      <ns0:c r="F476" s="9" t="str">
        <ns0:f>IFERROR(MATCH(ROW()-4,'販売記録'!$L$5:$L$1004,0),"")</ns0:f>
        <ns0:v/>
      </ns0:c>
    </ns0:row>
    <ns0:row r="477">
      <ns0:c r="A477" s="11" t="str">
        <ns0:f>IF($F477="","",IF(INDEX('販売記録'!$K$5:$K$1004,$F477)="","",INDEX('販売記録'!$K$5:$K$1004,$F477)))</ns0:f>
        <ns0:v/>
      </ns0:c>
      <ns0:c r="B477" s="9" t="str">
        <ns0:f>IF($F477="","",IF(INDEX('販売記録'!$B$5:$B$1004,$F477)="","",INDEX('販売記録'!$B$5:$B$1004,$F477)))</ns0:f>
        <ns0:v/>
      </ns0:c>
      <ns0:c r="C477" s="9" t="str">
        <ns0:f>IF($F477="","",IF(INDEX('販売記録'!$C$5:$C$1004,$F477)="","",INDEX('販売記録'!$C$5:$C$1004,$F477)))</ns0:f>
        <ns0:v/>
      </ns0:c>
      <ns0:c r="D477" s="8" t="str">
        <ns0:f>IF($F477="","",IF(INDEX('販売記録'!$D$5:$D$1004,$F477)="","",INDEX('販売記録'!$D$5:$D$1004,$F477)))</ns0:f>
        <ns0:v/>
      </ns0:c>
      <ns0:c r="E477" s="12" t="str">
        <ns0:f>IF(OR(A477="",B477=""),"",MAX(0,TODAY()-A477))</ns0:f>
        <ns0:v/>
      </ns0:c>
      <ns0:c r="F477" s="9" t="str">
        <ns0:f>IFERROR(MATCH(ROW()-4,'販売記録'!$L$5:$L$1004,0),"")</ns0:f>
        <ns0:v/>
      </ns0:c>
    </ns0:row>
    <ns0:row r="478">
      <ns0:c r="A478" s="11" t="str">
        <ns0:f>IF($F478="","",IF(INDEX('販売記録'!$K$5:$K$1004,$F478)="","",INDEX('販売記録'!$K$5:$K$1004,$F478)))</ns0:f>
        <ns0:v/>
      </ns0:c>
      <ns0:c r="B478" s="9" t="str">
        <ns0:f>IF($F478="","",IF(INDEX('販売記録'!$B$5:$B$1004,$F478)="","",INDEX('販売記録'!$B$5:$B$1004,$F478)))</ns0:f>
        <ns0:v/>
      </ns0:c>
      <ns0:c r="C478" s="9" t="str">
        <ns0:f>IF($F478="","",IF(INDEX('販売記録'!$C$5:$C$1004,$F478)="","",INDEX('販売記録'!$C$5:$C$1004,$F478)))</ns0:f>
        <ns0:v/>
      </ns0:c>
      <ns0:c r="D478" s="8" t="str">
        <ns0:f>IF($F478="","",IF(INDEX('販売記録'!$D$5:$D$1004,$F478)="","",INDEX('販売記録'!$D$5:$D$1004,$F478)))</ns0:f>
        <ns0:v/>
      </ns0:c>
      <ns0:c r="E478" s="12" t="str">
        <ns0:f>IF(OR(A478="",B478=""),"",MAX(0,TODAY()-A478))</ns0:f>
        <ns0:v/>
      </ns0:c>
      <ns0:c r="F478" s="9" t="str">
        <ns0:f>IFERROR(MATCH(ROW()-4,'販売記録'!$L$5:$L$1004,0),"")</ns0:f>
        <ns0:v/>
      </ns0:c>
    </ns0:row>
    <ns0:row r="479">
      <ns0:c r="A479" s="11" t="str">
        <ns0:f>IF($F479="","",IF(INDEX('販売記録'!$K$5:$K$1004,$F479)="","",INDEX('販売記録'!$K$5:$K$1004,$F479)))</ns0:f>
        <ns0:v/>
      </ns0:c>
      <ns0:c r="B479" s="9" t="str">
        <ns0:f>IF($F479="","",IF(INDEX('販売記録'!$B$5:$B$1004,$F479)="","",INDEX('販売記録'!$B$5:$B$1004,$F479)))</ns0:f>
        <ns0:v/>
      </ns0:c>
      <ns0:c r="C479" s="9" t="str">
        <ns0:f>IF($F479="","",IF(INDEX('販売記録'!$C$5:$C$1004,$F479)="","",INDEX('販売記録'!$C$5:$C$1004,$F479)))</ns0:f>
        <ns0:v/>
      </ns0:c>
      <ns0:c r="D479" s="8" t="str">
        <ns0:f>IF($F479="","",IF(INDEX('販売記録'!$D$5:$D$1004,$F479)="","",INDEX('販売記録'!$D$5:$D$1004,$F479)))</ns0:f>
        <ns0:v/>
      </ns0:c>
      <ns0:c r="E479" s="12" t="str">
        <ns0:f>IF(OR(A479="",B479=""),"",MAX(0,TODAY()-A479))</ns0:f>
        <ns0:v/>
      </ns0:c>
      <ns0:c r="F479" s="9" t="str">
        <ns0:f>IFERROR(MATCH(ROW()-4,'販売記録'!$L$5:$L$1004,0),"")</ns0:f>
        <ns0:v/>
      </ns0:c>
    </ns0:row>
    <ns0:row r="480">
      <ns0:c r="A480" s="11" t="str">
        <ns0:f>IF($F480="","",IF(INDEX('販売記録'!$K$5:$K$1004,$F480)="","",INDEX('販売記録'!$K$5:$K$1004,$F480)))</ns0:f>
        <ns0:v/>
      </ns0:c>
      <ns0:c r="B480" s="9" t="str">
        <ns0:f>IF($F480="","",IF(INDEX('販売記録'!$B$5:$B$1004,$F480)="","",INDEX('販売記録'!$B$5:$B$1004,$F480)))</ns0:f>
        <ns0:v/>
      </ns0:c>
      <ns0:c r="C480" s="9" t="str">
        <ns0:f>IF($F480="","",IF(INDEX('販売記録'!$C$5:$C$1004,$F480)="","",INDEX('販売記録'!$C$5:$C$1004,$F480)))</ns0:f>
        <ns0:v/>
      </ns0:c>
      <ns0:c r="D480" s="8" t="str">
        <ns0:f>IF($F480="","",IF(INDEX('販売記録'!$D$5:$D$1004,$F480)="","",INDEX('販売記録'!$D$5:$D$1004,$F480)))</ns0:f>
        <ns0:v/>
      </ns0:c>
      <ns0:c r="E480" s="12" t="str">
        <ns0:f>IF(OR(A480="",B480=""),"",MAX(0,TODAY()-A480))</ns0:f>
        <ns0:v/>
      </ns0:c>
      <ns0:c r="F480" s="9" t="str">
        <ns0:f>IFERROR(MATCH(ROW()-4,'販売記録'!$L$5:$L$1004,0),"")</ns0:f>
        <ns0:v/>
      </ns0:c>
    </ns0:row>
    <ns0:row r="481">
      <ns0:c r="A481" s="11" t="str">
        <ns0:f>IF($F481="","",IF(INDEX('販売記録'!$K$5:$K$1004,$F481)="","",INDEX('販売記録'!$K$5:$K$1004,$F481)))</ns0:f>
        <ns0:v/>
      </ns0:c>
      <ns0:c r="B481" s="9" t="str">
        <ns0:f>IF($F481="","",IF(INDEX('販売記録'!$B$5:$B$1004,$F481)="","",INDEX('販売記録'!$B$5:$B$1004,$F481)))</ns0:f>
        <ns0:v/>
      </ns0:c>
      <ns0:c r="C481" s="9" t="str">
        <ns0:f>IF($F481="","",IF(INDEX('販売記録'!$C$5:$C$1004,$F481)="","",INDEX('販売記録'!$C$5:$C$1004,$F481)))</ns0:f>
        <ns0:v/>
      </ns0:c>
      <ns0:c r="D481" s="8" t="str">
        <ns0:f>IF($F481="","",IF(INDEX('販売記録'!$D$5:$D$1004,$F481)="","",INDEX('販売記録'!$D$5:$D$1004,$F481)))</ns0:f>
        <ns0:v/>
      </ns0:c>
      <ns0:c r="E481" s="12" t="str">
        <ns0:f>IF(OR(A481="",B481=""),"",MAX(0,TODAY()-A481))</ns0:f>
        <ns0:v/>
      </ns0:c>
      <ns0:c r="F481" s="9" t="str">
        <ns0:f>IFERROR(MATCH(ROW()-4,'販売記録'!$L$5:$L$1004,0),"")</ns0:f>
        <ns0:v/>
      </ns0:c>
    </ns0:row>
    <ns0:row r="482">
      <ns0:c r="A482" s="11" t="str">
        <ns0:f>IF($F482="","",IF(INDEX('販売記録'!$K$5:$K$1004,$F482)="","",INDEX('販売記録'!$K$5:$K$1004,$F482)))</ns0:f>
        <ns0:v/>
      </ns0:c>
      <ns0:c r="B482" s="9" t="str">
        <ns0:f>IF($F482="","",IF(INDEX('販売記録'!$B$5:$B$1004,$F482)="","",INDEX('販売記録'!$B$5:$B$1004,$F482)))</ns0:f>
        <ns0:v/>
      </ns0:c>
      <ns0:c r="C482" s="9" t="str">
        <ns0:f>IF($F482="","",IF(INDEX('販売記録'!$C$5:$C$1004,$F482)="","",INDEX('販売記録'!$C$5:$C$1004,$F482)))</ns0:f>
        <ns0:v/>
      </ns0:c>
      <ns0:c r="D482" s="8" t="str">
        <ns0:f>IF($F482="","",IF(INDEX('販売記録'!$D$5:$D$1004,$F482)="","",INDEX('販売記録'!$D$5:$D$1004,$F482)))</ns0:f>
        <ns0:v/>
      </ns0:c>
      <ns0:c r="E482" s="12" t="str">
        <ns0:f>IF(OR(A482="",B482=""),"",MAX(0,TODAY()-A482))</ns0:f>
        <ns0:v/>
      </ns0:c>
      <ns0:c r="F482" s="9" t="str">
        <ns0:f>IFERROR(MATCH(ROW()-4,'販売記録'!$L$5:$L$1004,0),"")</ns0:f>
        <ns0:v/>
      </ns0:c>
    </ns0:row>
    <ns0:row r="483">
      <ns0:c r="A483" s="11" t="str">
        <ns0:f>IF($F483="","",IF(INDEX('販売記録'!$K$5:$K$1004,$F483)="","",INDEX('販売記録'!$K$5:$K$1004,$F483)))</ns0:f>
        <ns0:v/>
      </ns0:c>
      <ns0:c r="B483" s="9" t="str">
        <ns0:f>IF($F483="","",IF(INDEX('販売記録'!$B$5:$B$1004,$F483)="","",INDEX('販売記録'!$B$5:$B$1004,$F483)))</ns0:f>
        <ns0:v/>
      </ns0:c>
      <ns0:c r="C483" s="9" t="str">
        <ns0:f>IF($F483="","",IF(INDEX('販売記録'!$C$5:$C$1004,$F483)="","",INDEX('販売記録'!$C$5:$C$1004,$F483)))</ns0:f>
        <ns0:v/>
      </ns0:c>
      <ns0:c r="D483" s="8" t="str">
        <ns0:f>IF($F483="","",IF(INDEX('販売記録'!$D$5:$D$1004,$F483)="","",INDEX('販売記録'!$D$5:$D$1004,$F483)))</ns0:f>
        <ns0:v/>
      </ns0:c>
      <ns0:c r="E483" s="12" t="str">
        <ns0:f>IF(OR(A483="",B483=""),"",MAX(0,TODAY()-A483))</ns0:f>
        <ns0:v/>
      </ns0:c>
      <ns0:c r="F483" s="9" t="str">
        <ns0:f>IFERROR(MATCH(ROW()-4,'販売記録'!$L$5:$L$1004,0),"")</ns0:f>
        <ns0:v/>
      </ns0:c>
    </ns0:row>
    <ns0:row r="484">
      <ns0:c r="A484" s="11" t="str">
        <ns0:f>IF($F484="","",IF(INDEX('販売記録'!$K$5:$K$1004,$F484)="","",INDEX('販売記録'!$K$5:$K$1004,$F484)))</ns0:f>
        <ns0:v/>
      </ns0:c>
      <ns0:c r="B484" s="9" t="str">
        <ns0:f>IF($F484="","",IF(INDEX('販売記録'!$B$5:$B$1004,$F484)="","",INDEX('販売記録'!$B$5:$B$1004,$F484)))</ns0:f>
        <ns0:v/>
      </ns0:c>
      <ns0:c r="C484" s="9" t="str">
        <ns0:f>IF($F484="","",IF(INDEX('販売記録'!$C$5:$C$1004,$F484)="","",INDEX('販売記録'!$C$5:$C$1004,$F484)))</ns0:f>
        <ns0:v/>
      </ns0:c>
      <ns0:c r="D484" s="8" t="str">
        <ns0:f>IF($F484="","",IF(INDEX('販売記録'!$D$5:$D$1004,$F484)="","",INDEX('販売記録'!$D$5:$D$1004,$F484)))</ns0:f>
        <ns0:v/>
      </ns0:c>
      <ns0:c r="E484" s="12" t="str">
        <ns0:f>IF(OR(A484="",B484=""),"",MAX(0,TODAY()-A484))</ns0:f>
        <ns0:v/>
      </ns0:c>
      <ns0:c r="F484" s="9" t="str">
        <ns0:f>IFERROR(MATCH(ROW()-4,'販売記録'!$L$5:$L$1004,0),"")</ns0:f>
        <ns0:v/>
      </ns0:c>
    </ns0:row>
    <ns0:row r="485">
      <ns0:c r="A485" s="11" t="str">
        <ns0:f>IF($F485="","",IF(INDEX('販売記録'!$K$5:$K$1004,$F485)="","",INDEX('販売記録'!$K$5:$K$1004,$F485)))</ns0:f>
        <ns0:v/>
      </ns0:c>
      <ns0:c r="B485" s="9" t="str">
        <ns0:f>IF($F485="","",IF(INDEX('販売記録'!$B$5:$B$1004,$F485)="","",INDEX('販売記録'!$B$5:$B$1004,$F485)))</ns0:f>
        <ns0:v/>
      </ns0:c>
      <ns0:c r="C485" s="9" t="str">
        <ns0:f>IF($F485="","",IF(INDEX('販売記録'!$C$5:$C$1004,$F485)="","",INDEX('販売記録'!$C$5:$C$1004,$F485)))</ns0:f>
        <ns0:v/>
      </ns0:c>
      <ns0:c r="D485" s="8" t="str">
        <ns0:f>IF($F485="","",IF(INDEX('販売記録'!$D$5:$D$1004,$F485)="","",INDEX('販売記録'!$D$5:$D$1004,$F485)))</ns0:f>
        <ns0:v/>
      </ns0:c>
      <ns0:c r="E485" s="12" t="str">
        <ns0:f>IF(OR(A485="",B485=""),"",MAX(0,TODAY()-A485))</ns0:f>
        <ns0:v/>
      </ns0:c>
      <ns0:c r="F485" s="9" t="str">
        <ns0:f>IFERROR(MATCH(ROW()-4,'販売記録'!$L$5:$L$1004,0),"")</ns0:f>
        <ns0:v/>
      </ns0:c>
    </ns0:row>
    <ns0:row r="486">
      <ns0:c r="A486" s="11" t="str">
        <ns0:f>IF($F486="","",IF(INDEX('販売記録'!$K$5:$K$1004,$F486)="","",INDEX('販売記録'!$K$5:$K$1004,$F486)))</ns0:f>
        <ns0:v/>
      </ns0:c>
      <ns0:c r="B486" s="9" t="str">
        <ns0:f>IF($F486="","",IF(INDEX('販売記録'!$B$5:$B$1004,$F486)="","",INDEX('販売記録'!$B$5:$B$1004,$F486)))</ns0:f>
        <ns0:v/>
      </ns0:c>
      <ns0:c r="C486" s="9" t="str">
        <ns0:f>IF($F486="","",IF(INDEX('販売記録'!$C$5:$C$1004,$F486)="","",INDEX('販売記録'!$C$5:$C$1004,$F486)))</ns0:f>
        <ns0:v/>
      </ns0:c>
      <ns0:c r="D486" s="8" t="str">
        <ns0:f>IF($F486="","",IF(INDEX('販売記録'!$D$5:$D$1004,$F486)="","",INDEX('販売記録'!$D$5:$D$1004,$F486)))</ns0:f>
        <ns0:v/>
      </ns0:c>
      <ns0:c r="E486" s="12" t="str">
        <ns0:f>IF(OR(A486="",B486=""),"",MAX(0,TODAY()-A486))</ns0:f>
        <ns0:v/>
      </ns0:c>
      <ns0:c r="F486" s="9" t="str">
        <ns0:f>IFERROR(MATCH(ROW()-4,'販売記録'!$L$5:$L$1004,0),"")</ns0:f>
        <ns0:v/>
      </ns0:c>
    </ns0:row>
    <ns0:row r="487">
      <ns0:c r="A487" s="11" t="str">
        <ns0:f>IF($F487="","",IF(INDEX('販売記録'!$K$5:$K$1004,$F487)="","",INDEX('販売記録'!$K$5:$K$1004,$F487)))</ns0:f>
        <ns0:v/>
      </ns0:c>
      <ns0:c r="B487" s="9" t="str">
        <ns0:f>IF($F487="","",IF(INDEX('販売記録'!$B$5:$B$1004,$F487)="","",INDEX('販売記録'!$B$5:$B$1004,$F487)))</ns0:f>
        <ns0:v/>
      </ns0:c>
      <ns0:c r="C487" s="9" t="str">
        <ns0:f>IF($F487="","",IF(INDEX('販売記録'!$C$5:$C$1004,$F487)="","",INDEX('販売記録'!$C$5:$C$1004,$F487)))</ns0:f>
        <ns0:v/>
      </ns0:c>
      <ns0:c r="D487" s="8" t="str">
        <ns0:f>IF($F487="","",IF(INDEX('販売記録'!$D$5:$D$1004,$F487)="","",INDEX('販売記録'!$D$5:$D$1004,$F487)))</ns0:f>
        <ns0:v/>
      </ns0:c>
      <ns0:c r="E487" s="12" t="str">
        <ns0:f>IF(OR(A487="",B487=""),"",MAX(0,TODAY()-A487))</ns0:f>
        <ns0:v/>
      </ns0:c>
      <ns0:c r="F487" s="9" t="str">
        <ns0:f>IFERROR(MATCH(ROW()-4,'販売記録'!$L$5:$L$1004,0),"")</ns0:f>
        <ns0:v/>
      </ns0:c>
    </ns0:row>
    <ns0:row r="488">
      <ns0:c r="A488" s="11" t="str">
        <ns0:f>IF($F488="","",IF(INDEX('販売記録'!$K$5:$K$1004,$F488)="","",INDEX('販売記録'!$K$5:$K$1004,$F488)))</ns0:f>
        <ns0:v/>
      </ns0:c>
      <ns0:c r="B488" s="9" t="str">
        <ns0:f>IF($F488="","",IF(INDEX('販売記録'!$B$5:$B$1004,$F488)="","",INDEX('販売記録'!$B$5:$B$1004,$F488)))</ns0:f>
        <ns0:v/>
      </ns0:c>
      <ns0:c r="C488" s="9" t="str">
        <ns0:f>IF($F488="","",IF(INDEX('販売記録'!$C$5:$C$1004,$F488)="","",INDEX('販売記録'!$C$5:$C$1004,$F488)))</ns0:f>
        <ns0:v/>
      </ns0:c>
      <ns0:c r="D488" s="8" t="str">
        <ns0:f>IF($F488="","",IF(INDEX('販売記録'!$D$5:$D$1004,$F488)="","",INDEX('販売記録'!$D$5:$D$1004,$F488)))</ns0:f>
        <ns0:v/>
      </ns0:c>
      <ns0:c r="E488" s="12" t="str">
        <ns0:f>IF(OR(A488="",B488=""),"",MAX(0,TODAY()-A488))</ns0:f>
        <ns0:v/>
      </ns0:c>
      <ns0:c r="F488" s="9" t="str">
        <ns0:f>IFERROR(MATCH(ROW()-4,'販売記録'!$L$5:$L$1004,0),"")</ns0:f>
        <ns0:v/>
      </ns0:c>
    </ns0:row>
    <ns0:row r="489">
      <ns0:c r="A489" s="11" t="str">
        <ns0:f>IF($F489="","",IF(INDEX('販売記録'!$K$5:$K$1004,$F489)="","",INDEX('販売記録'!$K$5:$K$1004,$F489)))</ns0:f>
        <ns0:v/>
      </ns0:c>
      <ns0:c r="B489" s="9" t="str">
        <ns0:f>IF($F489="","",IF(INDEX('販売記録'!$B$5:$B$1004,$F489)="","",INDEX('販売記録'!$B$5:$B$1004,$F489)))</ns0:f>
        <ns0:v/>
      </ns0:c>
      <ns0:c r="C489" s="9" t="str">
        <ns0:f>IF($F489="","",IF(INDEX('販売記録'!$C$5:$C$1004,$F489)="","",INDEX('販売記録'!$C$5:$C$1004,$F489)))</ns0:f>
        <ns0:v/>
      </ns0:c>
      <ns0:c r="D489" s="8" t="str">
        <ns0:f>IF($F489="","",IF(INDEX('販売記録'!$D$5:$D$1004,$F489)="","",INDEX('販売記録'!$D$5:$D$1004,$F489)))</ns0:f>
        <ns0:v/>
      </ns0:c>
      <ns0:c r="E489" s="12" t="str">
        <ns0:f>IF(OR(A489="",B489=""),"",MAX(0,TODAY()-A489))</ns0:f>
        <ns0:v/>
      </ns0:c>
      <ns0:c r="F489" s="9" t="str">
        <ns0:f>IFERROR(MATCH(ROW()-4,'販売記録'!$L$5:$L$1004,0),"")</ns0:f>
        <ns0:v/>
      </ns0:c>
    </ns0:row>
    <ns0:row r="490">
      <ns0:c r="A490" s="11" t="str">
        <ns0:f>IF($F490="","",IF(INDEX('販売記録'!$K$5:$K$1004,$F490)="","",INDEX('販売記録'!$K$5:$K$1004,$F490)))</ns0:f>
        <ns0:v/>
      </ns0:c>
      <ns0:c r="B490" s="9" t="str">
        <ns0:f>IF($F490="","",IF(INDEX('販売記録'!$B$5:$B$1004,$F490)="","",INDEX('販売記録'!$B$5:$B$1004,$F490)))</ns0:f>
        <ns0:v/>
      </ns0:c>
      <ns0:c r="C490" s="9" t="str">
        <ns0:f>IF($F490="","",IF(INDEX('販売記録'!$C$5:$C$1004,$F490)="","",INDEX('販売記録'!$C$5:$C$1004,$F490)))</ns0:f>
        <ns0:v/>
      </ns0:c>
      <ns0:c r="D490" s="8" t="str">
        <ns0:f>IF($F490="","",IF(INDEX('販売記録'!$D$5:$D$1004,$F490)="","",INDEX('販売記録'!$D$5:$D$1004,$F490)))</ns0:f>
        <ns0:v/>
      </ns0:c>
      <ns0:c r="E490" s="12" t="str">
        <ns0:f>IF(OR(A490="",B490=""),"",MAX(0,TODAY()-A490))</ns0:f>
        <ns0:v/>
      </ns0:c>
      <ns0:c r="F490" s="9" t="str">
        <ns0:f>IFERROR(MATCH(ROW()-4,'販売記録'!$L$5:$L$1004,0),"")</ns0:f>
        <ns0:v/>
      </ns0:c>
    </ns0:row>
    <ns0:row r="491">
      <ns0:c r="A491" s="11" t="str">
        <ns0:f>IF($F491="","",IF(INDEX('販売記録'!$K$5:$K$1004,$F491)="","",INDEX('販売記録'!$K$5:$K$1004,$F491)))</ns0:f>
        <ns0:v/>
      </ns0:c>
      <ns0:c r="B491" s="9" t="str">
        <ns0:f>IF($F491="","",IF(INDEX('販売記録'!$B$5:$B$1004,$F491)="","",INDEX('販売記録'!$B$5:$B$1004,$F491)))</ns0:f>
        <ns0:v/>
      </ns0:c>
      <ns0:c r="C491" s="9" t="str">
        <ns0:f>IF($F491="","",IF(INDEX('販売記録'!$C$5:$C$1004,$F491)="","",INDEX('販売記録'!$C$5:$C$1004,$F491)))</ns0:f>
        <ns0:v/>
      </ns0:c>
      <ns0:c r="D491" s="8" t="str">
        <ns0:f>IF($F491="","",IF(INDEX('販売記録'!$D$5:$D$1004,$F491)="","",INDEX('販売記録'!$D$5:$D$1004,$F491)))</ns0:f>
        <ns0:v/>
      </ns0:c>
      <ns0:c r="E491" s="12" t="str">
        <ns0:f>IF(OR(A491="",B491=""),"",MAX(0,TODAY()-A491))</ns0:f>
        <ns0:v/>
      </ns0:c>
      <ns0:c r="F491" s="9" t="str">
        <ns0:f>IFERROR(MATCH(ROW()-4,'販売記録'!$L$5:$L$1004,0),"")</ns0:f>
        <ns0:v/>
      </ns0:c>
    </ns0:row>
    <ns0:row r="492">
      <ns0:c r="A492" s="11" t="str">
        <ns0:f>IF($F492="","",IF(INDEX('販売記録'!$K$5:$K$1004,$F492)="","",INDEX('販売記録'!$K$5:$K$1004,$F492)))</ns0:f>
        <ns0:v/>
      </ns0:c>
      <ns0:c r="B492" s="9" t="str">
        <ns0:f>IF($F492="","",IF(INDEX('販売記録'!$B$5:$B$1004,$F492)="","",INDEX('販売記録'!$B$5:$B$1004,$F492)))</ns0:f>
        <ns0:v/>
      </ns0:c>
      <ns0:c r="C492" s="9" t="str">
        <ns0:f>IF($F492="","",IF(INDEX('販売記録'!$C$5:$C$1004,$F492)="","",INDEX('販売記録'!$C$5:$C$1004,$F492)))</ns0:f>
        <ns0:v/>
      </ns0:c>
      <ns0:c r="D492" s="8" t="str">
        <ns0:f>IF($F492="","",IF(INDEX('販売記録'!$D$5:$D$1004,$F492)="","",INDEX('販売記録'!$D$5:$D$1004,$F492)))</ns0:f>
        <ns0:v/>
      </ns0:c>
      <ns0:c r="E492" s="12" t="str">
        <ns0:f>IF(OR(A492="",B492=""),"",MAX(0,TODAY()-A492))</ns0:f>
        <ns0:v/>
      </ns0:c>
      <ns0:c r="F492" s="9" t="str">
        <ns0:f>IFERROR(MATCH(ROW()-4,'販売記録'!$L$5:$L$1004,0),"")</ns0:f>
        <ns0:v/>
      </ns0:c>
    </ns0:row>
    <ns0:row r="493">
      <ns0:c r="A493" s="11" t="str">
        <ns0:f>IF($F493="","",IF(INDEX('販売記録'!$K$5:$K$1004,$F493)="","",INDEX('販売記録'!$K$5:$K$1004,$F493)))</ns0:f>
        <ns0:v/>
      </ns0:c>
      <ns0:c r="B493" s="9" t="str">
        <ns0:f>IF($F493="","",IF(INDEX('販売記録'!$B$5:$B$1004,$F493)="","",INDEX('販売記録'!$B$5:$B$1004,$F493)))</ns0:f>
        <ns0:v/>
      </ns0:c>
      <ns0:c r="C493" s="9" t="str">
        <ns0:f>IF($F493="","",IF(INDEX('販売記録'!$C$5:$C$1004,$F493)="","",INDEX('販売記録'!$C$5:$C$1004,$F493)))</ns0:f>
        <ns0:v/>
      </ns0:c>
      <ns0:c r="D493" s="8" t="str">
        <ns0:f>IF($F493="","",IF(INDEX('販売記録'!$D$5:$D$1004,$F493)="","",INDEX('販売記録'!$D$5:$D$1004,$F493)))</ns0:f>
        <ns0:v/>
      </ns0:c>
      <ns0:c r="E493" s="12" t="str">
        <ns0:f>IF(OR(A493="",B493=""),"",MAX(0,TODAY()-A493))</ns0:f>
        <ns0:v/>
      </ns0:c>
      <ns0:c r="F493" s="9" t="str">
        <ns0:f>IFERROR(MATCH(ROW()-4,'販売記録'!$L$5:$L$1004,0),"")</ns0:f>
        <ns0:v/>
      </ns0:c>
    </ns0:row>
    <ns0:row r="494">
      <ns0:c r="A494" s="11" t="str">
        <ns0:f>IF($F494="","",IF(INDEX('販売記録'!$K$5:$K$1004,$F494)="","",INDEX('販売記録'!$K$5:$K$1004,$F494)))</ns0:f>
        <ns0:v/>
      </ns0:c>
      <ns0:c r="B494" s="9" t="str">
        <ns0:f>IF($F494="","",IF(INDEX('販売記録'!$B$5:$B$1004,$F494)="","",INDEX('販売記録'!$B$5:$B$1004,$F494)))</ns0:f>
        <ns0:v/>
      </ns0:c>
      <ns0:c r="C494" s="9" t="str">
        <ns0:f>IF($F494="","",IF(INDEX('販売記録'!$C$5:$C$1004,$F494)="","",INDEX('販売記録'!$C$5:$C$1004,$F494)))</ns0:f>
        <ns0:v/>
      </ns0:c>
      <ns0:c r="D494" s="8" t="str">
        <ns0:f>IF($F494="","",IF(INDEX('販売記録'!$D$5:$D$1004,$F494)="","",INDEX('販売記録'!$D$5:$D$1004,$F494)))</ns0:f>
        <ns0:v/>
      </ns0:c>
      <ns0:c r="E494" s="12" t="str">
        <ns0:f>IF(OR(A494="",B494=""),"",MAX(0,TODAY()-A494))</ns0:f>
        <ns0:v/>
      </ns0:c>
      <ns0:c r="F494" s="9" t="str">
        <ns0:f>IFERROR(MATCH(ROW()-4,'販売記録'!$L$5:$L$1004,0),"")</ns0:f>
        <ns0:v/>
      </ns0:c>
    </ns0:row>
    <ns0:row r="495">
      <ns0:c r="A495" s="11" t="str">
        <ns0:f>IF($F495="","",IF(INDEX('販売記録'!$K$5:$K$1004,$F495)="","",INDEX('販売記録'!$K$5:$K$1004,$F495)))</ns0:f>
        <ns0:v/>
      </ns0:c>
      <ns0:c r="B495" s="9" t="str">
        <ns0:f>IF($F495="","",IF(INDEX('販売記録'!$B$5:$B$1004,$F495)="","",INDEX('販売記録'!$B$5:$B$1004,$F495)))</ns0:f>
        <ns0:v/>
      </ns0:c>
      <ns0:c r="C495" s="9" t="str">
        <ns0:f>IF($F495="","",IF(INDEX('販売記録'!$C$5:$C$1004,$F495)="","",INDEX('販売記録'!$C$5:$C$1004,$F495)))</ns0:f>
        <ns0:v/>
      </ns0:c>
      <ns0:c r="D495" s="8" t="str">
        <ns0:f>IF($F495="","",IF(INDEX('販売記録'!$D$5:$D$1004,$F495)="","",INDEX('販売記録'!$D$5:$D$1004,$F495)))</ns0:f>
        <ns0:v/>
      </ns0:c>
      <ns0:c r="E495" s="12" t="str">
        <ns0:f>IF(OR(A495="",B495=""),"",MAX(0,TODAY()-A495))</ns0:f>
        <ns0:v/>
      </ns0:c>
      <ns0:c r="F495" s="9" t="str">
        <ns0:f>IFERROR(MATCH(ROW()-4,'販売記録'!$L$5:$L$1004,0),"")</ns0:f>
        <ns0:v/>
      </ns0:c>
    </ns0:row>
    <ns0:row r="496">
      <ns0:c r="A496" s="11" t="str">
        <ns0:f>IF($F496="","",IF(INDEX('販売記録'!$K$5:$K$1004,$F496)="","",INDEX('販売記録'!$K$5:$K$1004,$F496)))</ns0:f>
        <ns0:v/>
      </ns0:c>
      <ns0:c r="B496" s="9" t="str">
        <ns0:f>IF($F496="","",IF(INDEX('販売記録'!$B$5:$B$1004,$F496)="","",INDEX('販売記録'!$B$5:$B$1004,$F496)))</ns0:f>
        <ns0:v/>
      </ns0:c>
      <ns0:c r="C496" s="9" t="str">
        <ns0:f>IF($F496="","",IF(INDEX('販売記録'!$C$5:$C$1004,$F496)="","",INDEX('販売記録'!$C$5:$C$1004,$F496)))</ns0:f>
        <ns0:v/>
      </ns0:c>
      <ns0:c r="D496" s="8" t="str">
        <ns0:f>IF($F496="","",IF(INDEX('販売記録'!$D$5:$D$1004,$F496)="","",INDEX('販売記録'!$D$5:$D$1004,$F496)))</ns0:f>
        <ns0:v/>
      </ns0:c>
      <ns0:c r="E496" s="12" t="str">
        <ns0:f>IF(OR(A496="",B496=""),"",MAX(0,TODAY()-A496))</ns0:f>
        <ns0:v/>
      </ns0:c>
      <ns0:c r="F496" s="9" t="str">
        <ns0:f>IFERROR(MATCH(ROW()-4,'販売記録'!$L$5:$L$1004,0),"")</ns0:f>
        <ns0:v/>
      </ns0:c>
    </ns0:row>
    <ns0:row r="497">
      <ns0:c r="A497" s="11" t="str">
        <ns0:f>IF($F497="","",IF(INDEX('販売記録'!$K$5:$K$1004,$F497)="","",INDEX('販売記録'!$K$5:$K$1004,$F497)))</ns0:f>
        <ns0:v/>
      </ns0:c>
      <ns0:c r="B497" s="9" t="str">
        <ns0:f>IF($F497="","",IF(INDEX('販売記録'!$B$5:$B$1004,$F497)="","",INDEX('販売記録'!$B$5:$B$1004,$F497)))</ns0:f>
        <ns0:v/>
      </ns0:c>
      <ns0:c r="C497" s="9" t="str">
        <ns0:f>IF($F497="","",IF(INDEX('販売記録'!$C$5:$C$1004,$F497)="","",INDEX('販売記録'!$C$5:$C$1004,$F497)))</ns0:f>
        <ns0:v/>
      </ns0:c>
      <ns0:c r="D497" s="8" t="str">
        <ns0:f>IF($F497="","",IF(INDEX('販売記録'!$D$5:$D$1004,$F497)="","",INDEX('販売記録'!$D$5:$D$1004,$F497)))</ns0:f>
        <ns0:v/>
      </ns0:c>
      <ns0:c r="E497" s="12" t="str">
        <ns0:f>IF(OR(A497="",B497=""),"",MAX(0,TODAY()-A497))</ns0:f>
        <ns0:v/>
      </ns0:c>
      <ns0:c r="F497" s="9" t="str">
        <ns0:f>IFERROR(MATCH(ROW()-4,'販売記録'!$L$5:$L$1004,0),"")</ns0:f>
        <ns0:v/>
      </ns0:c>
    </ns0:row>
    <ns0:row r="498">
      <ns0:c r="A498" s="11" t="str">
        <ns0:f>IF($F498="","",IF(INDEX('販売記録'!$K$5:$K$1004,$F498)="","",INDEX('販売記録'!$K$5:$K$1004,$F498)))</ns0:f>
        <ns0:v/>
      </ns0:c>
      <ns0:c r="B498" s="9" t="str">
        <ns0:f>IF($F498="","",IF(INDEX('販売記録'!$B$5:$B$1004,$F498)="","",INDEX('販売記録'!$B$5:$B$1004,$F498)))</ns0:f>
        <ns0:v/>
      </ns0:c>
      <ns0:c r="C498" s="9" t="str">
        <ns0:f>IF($F498="","",IF(INDEX('販売記録'!$C$5:$C$1004,$F498)="","",INDEX('販売記録'!$C$5:$C$1004,$F498)))</ns0:f>
        <ns0:v/>
      </ns0:c>
      <ns0:c r="D498" s="8" t="str">
        <ns0:f>IF($F498="","",IF(INDEX('販売記録'!$D$5:$D$1004,$F498)="","",INDEX('販売記録'!$D$5:$D$1004,$F498)))</ns0:f>
        <ns0:v/>
      </ns0:c>
      <ns0:c r="E498" s="12" t="str">
        <ns0:f>IF(OR(A498="",B498=""),"",MAX(0,TODAY()-A498))</ns0:f>
        <ns0:v/>
      </ns0:c>
      <ns0:c r="F498" s="9" t="str">
        <ns0:f>IFERROR(MATCH(ROW()-4,'販売記録'!$L$5:$L$1004,0),"")</ns0:f>
        <ns0:v/>
      </ns0:c>
    </ns0:row>
    <ns0:row r="499">
      <ns0:c r="A499" s="11" t="str">
        <ns0:f>IF($F499="","",IF(INDEX('販売記録'!$K$5:$K$1004,$F499)="","",INDEX('販売記録'!$K$5:$K$1004,$F499)))</ns0:f>
        <ns0:v/>
      </ns0:c>
      <ns0:c r="B499" s="9" t="str">
        <ns0:f>IF($F499="","",IF(INDEX('販売記録'!$B$5:$B$1004,$F499)="","",INDEX('販売記録'!$B$5:$B$1004,$F499)))</ns0:f>
        <ns0:v/>
      </ns0:c>
      <ns0:c r="C499" s="9" t="str">
        <ns0:f>IF($F499="","",IF(INDEX('販売記録'!$C$5:$C$1004,$F499)="","",INDEX('販売記録'!$C$5:$C$1004,$F499)))</ns0:f>
        <ns0:v/>
      </ns0:c>
      <ns0:c r="D499" s="8" t="str">
        <ns0:f>IF($F499="","",IF(INDEX('販売記録'!$D$5:$D$1004,$F499)="","",INDEX('販売記録'!$D$5:$D$1004,$F499)))</ns0:f>
        <ns0:v/>
      </ns0:c>
      <ns0:c r="E499" s="12" t="str">
        <ns0:f>IF(OR(A499="",B499=""),"",MAX(0,TODAY()-A499))</ns0:f>
        <ns0:v/>
      </ns0:c>
      <ns0:c r="F499" s="9" t="str">
        <ns0:f>IFERROR(MATCH(ROW()-4,'販売記録'!$L$5:$L$1004,0),"")</ns0:f>
        <ns0:v/>
      </ns0:c>
    </ns0:row>
    <ns0:row r="500">
      <ns0:c r="A500" s="11" t="str">
        <ns0:f>IF($F500="","",IF(INDEX('販売記録'!$K$5:$K$1004,$F500)="","",INDEX('販売記録'!$K$5:$K$1004,$F500)))</ns0:f>
        <ns0:v/>
      </ns0:c>
      <ns0:c r="B500" s="9" t="str">
        <ns0:f>IF($F500="","",IF(INDEX('販売記録'!$B$5:$B$1004,$F500)="","",INDEX('販売記録'!$B$5:$B$1004,$F500)))</ns0:f>
        <ns0:v/>
      </ns0:c>
      <ns0:c r="C500" s="9" t="str">
        <ns0:f>IF($F500="","",IF(INDEX('販売記録'!$C$5:$C$1004,$F500)="","",INDEX('販売記録'!$C$5:$C$1004,$F500)))</ns0:f>
        <ns0:v/>
      </ns0:c>
      <ns0:c r="D500" s="8" t="str">
        <ns0:f>IF($F500="","",IF(INDEX('販売記録'!$D$5:$D$1004,$F500)="","",INDEX('販売記録'!$D$5:$D$1004,$F500)))</ns0:f>
        <ns0:v/>
      </ns0:c>
      <ns0:c r="E500" s="12" t="str">
        <ns0:f>IF(OR(A500="",B500=""),"",MAX(0,TODAY()-A500))</ns0:f>
        <ns0:v/>
      </ns0:c>
      <ns0:c r="F500" s="9" t="str">
        <ns0:f>IFERROR(MATCH(ROW()-4,'販売記録'!$L$5:$L$1004,0),"")</ns0:f>
        <ns0:v/>
      </ns0:c>
    </ns0:row>
    <ns0:row r="501">
      <ns0:c r="A501" s="11" t="str">
        <ns0:f>IF($F501="","",IF(INDEX('販売記録'!$K$5:$K$1004,$F501)="","",INDEX('販売記録'!$K$5:$K$1004,$F501)))</ns0:f>
        <ns0:v/>
      </ns0:c>
      <ns0:c r="B501" s="9" t="str">
        <ns0:f>IF($F501="","",IF(INDEX('販売記録'!$B$5:$B$1004,$F501)="","",INDEX('販売記録'!$B$5:$B$1004,$F501)))</ns0:f>
        <ns0:v/>
      </ns0:c>
      <ns0:c r="C501" s="9" t="str">
        <ns0:f>IF($F501="","",IF(INDEX('販売記録'!$C$5:$C$1004,$F501)="","",INDEX('販売記録'!$C$5:$C$1004,$F501)))</ns0:f>
        <ns0:v/>
      </ns0:c>
      <ns0:c r="D501" s="8" t="str">
        <ns0:f>IF($F501="","",IF(INDEX('販売記録'!$D$5:$D$1004,$F501)="","",INDEX('販売記録'!$D$5:$D$1004,$F501)))</ns0:f>
        <ns0:v/>
      </ns0:c>
      <ns0:c r="E501" s="12" t="str">
        <ns0:f>IF(OR(A501="",B501=""),"",MAX(0,TODAY()-A501))</ns0:f>
        <ns0:v/>
      </ns0:c>
      <ns0:c r="F501" s="9" t="str">
        <ns0:f>IFERROR(MATCH(ROW()-4,'販売記録'!$L$5:$L$1004,0),"")</ns0:f>
        <ns0:v/>
      </ns0:c>
    </ns0:row>
    <ns0:row r="502">
      <ns0:c r="A502" s="11" t="str">
        <ns0:f>IF($F502="","",IF(INDEX('販売記録'!$K$5:$K$1004,$F502)="","",INDEX('販売記録'!$K$5:$K$1004,$F502)))</ns0:f>
        <ns0:v/>
      </ns0:c>
      <ns0:c r="B502" s="9" t="str">
        <ns0:f>IF($F502="","",IF(INDEX('販売記録'!$B$5:$B$1004,$F502)="","",INDEX('販売記録'!$B$5:$B$1004,$F502)))</ns0:f>
        <ns0:v/>
      </ns0:c>
      <ns0:c r="C502" s="9" t="str">
        <ns0:f>IF($F502="","",IF(INDEX('販売記録'!$C$5:$C$1004,$F502)="","",INDEX('販売記録'!$C$5:$C$1004,$F502)))</ns0:f>
        <ns0:v/>
      </ns0:c>
      <ns0:c r="D502" s="8" t="str">
        <ns0:f>IF($F502="","",IF(INDEX('販売記録'!$D$5:$D$1004,$F502)="","",INDEX('販売記録'!$D$5:$D$1004,$F502)))</ns0:f>
        <ns0:v/>
      </ns0:c>
      <ns0:c r="E502" s="12" t="str">
        <ns0:f>IF(OR(A502="",B502=""),"",MAX(0,TODAY()-A502))</ns0:f>
        <ns0:v/>
      </ns0:c>
      <ns0:c r="F502" s="9" t="str">
        <ns0:f>IFERROR(MATCH(ROW()-4,'販売記録'!$L$5:$L$1004,0),"")</ns0:f>
        <ns0:v/>
      </ns0:c>
    </ns0:row>
    <ns0:row r="503">
      <ns0:c r="A503" s="11" t="str">
        <ns0:f>IF($F503="","",IF(INDEX('販売記録'!$K$5:$K$1004,$F503)="","",INDEX('販売記録'!$K$5:$K$1004,$F503)))</ns0:f>
        <ns0:v/>
      </ns0:c>
      <ns0:c r="B503" s="9" t="str">
        <ns0:f>IF($F503="","",IF(INDEX('販売記録'!$B$5:$B$1004,$F503)="","",INDEX('販売記録'!$B$5:$B$1004,$F503)))</ns0:f>
        <ns0:v/>
      </ns0:c>
      <ns0:c r="C503" s="9" t="str">
        <ns0:f>IF($F503="","",IF(INDEX('販売記録'!$C$5:$C$1004,$F503)="","",INDEX('販売記録'!$C$5:$C$1004,$F503)))</ns0:f>
        <ns0:v/>
      </ns0:c>
      <ns0:c r="D503" s="8" t="str">
        <ns0:f>IF($F503="","",IF(INDEX('販売記録'!$D$5:$D$1004,$F503)="","",INDEX('販売記録'!$D$5:$D$1004,$F503)))</ns0:f>
        <ns0:v/>
      </ns0:c>
      <ns0:c r="E503" s="12" t="str">
        <ns0:f>IF(OR(A503="",B503=""),"",MAX(0,TODAY()-A503))</ns0:f>
        <ns0:v/>
      </ns0:c>
      <ns0:c r="F503" s="9" t="str">
        <ns0:f>IFERROR(MATCH(ROW()-4,'販売記録'!$L$5:$L$1004,0),"")</ns0:f>
        <ns0:v/>
      </ns0:c>
    </ns0:row>
    <ns0:row r="504">
      <ns0:c r="A504" s="11" t="str">
        <ns0:f>IF($F504="","",IF(INDEX('販売記録'!$K$5:$K$1004,$F504)="","",INDEX('販売記録'!$K$5:$K$1004,$F504)))</ns0:f>
        <ns0:v/>
      </ns0:c>
      <ns0:c r="B504" s="9" t="str">
        <ns0:f>IF($F504="","",IF(INDEX('販売記録'!$B$5:$B$1004,$F504)="","",INDEX('販売記録'!$B$5:$B$1004,$F504)))</ns0:f>
        <ns0:v/>
      </ns0:c>
      <ns0:c r="C504" s="9" t="str">
        <ns0:f>IF($F504="","",IF(INDEX('販売記録'!$C$5:$C$1004,$F504)="","",INDEX('販売記録'!$C$5:$C$1004,$F504)))</ns0:f>
        <ns0:v/>
      </ns0:c>
      <ns0:c r="D504" s="8" t="str">
        <ns0:f>IF($F504="","",IF(INDEX('販売記録'!$D$5:$D$1004,$F504)="","",INDEX('販売記録'!$D$5:$D$1004,$F504)))</ns0:f>
        <ns0:v/>
      </ns0:c>
      <ns0:c r="E504" s="12" t="str">
        <ns0:f>IF(OR(A504="",B504=""),"",MAX(0,TODAY()-A504))</ns0:f>
        <ns0:v/>
      </ns0:c>
      <ns0:c r="F504" s="9" t="str">
        <ns0:f>IFERROR(MATCH(ROW()-4,'販売記録'!$L$5:$L$1004,0),"")</ns0:f>
        <ns0:v/>
      </ns0:c>
    </ns0:row>
    <ns0:row r="505">
      <ns0:c r="A505" s="11" t="str">
        <ns0:f>IF($F505="","",IF(INDEX('販売記録'!$K$5:$K$1004,$F505)="","",INDEX('販売記録'!$K$5:$K$1004,$F505)))</ns0:f>
        <ns0:v/>
      </ns0:c>
      <ns0:c r="B505" s="9" t="str">
        <ns0:f>IF($F505="","",IF(INDEX('販売記録'!$B$5:$B$1004,$F505)="","",INDEX('販売記録'!$B$5:$B$1004,$F505)))</ns0:f>
        <ns0:v/>
      </ns0:c>
      <ns0:c r="C505" s="9" t="str">
        <ns0:f>IF($F505="","",IF(INDEX('販売記録'!$C$5:$C$1004,$F505)="","",INDEX('販売記録'!$C$5:$C$1004,$F505)))</ns0:f>
        <ns0:v/>
      </ns0:c>
      <ns0:c r="D505" s="8" t="str">
        <ns0:f>IF($F505="","",IF(INDEX('販売記録'!$D$5:$D$1004,$F505)="","",INDEX('販売記録'!$D$5:$D$1004,$F505)))</ns0:f>
        <ns0:v/>
      </ns0:c>
      <ns0:c r="E505" s="12" t="str">
        <ns0:f>IF(OR(A505="",B505=""),"",MAX(0,TODAY()-A505))</ns0:f>
        <ns0:v/>
      </ns0:c>
      <ns0:c r="F505" s="9" t="str">
        <ns0:f>IFERROR(MATCH(ROW()-4,'販売記録'!$L$5:$L$1004,0),"")</ns0:f>
        <ns0:v/>
      </ns0:c>
    </ns0:row>
    <ns0:row r="506">
      <ns0:c r="A506" s="11" t="str">
        <ns0:f>IF($F506="","",IF(INDEX('販売記録'!$K$5:$K$1004,$F506)="","",INDEX('販売記録'!$K$5:$K$1004,$F506)))</ns0:f>
        <ns0:v/>
      </ns0:c>
      <ns0:c r="B506" s="9" t="str">
        <ns0:f>IF($F506="","",IF(INDEX('販売記録'!$B$5:$B$1004,$F506)="","",INDEX('販売記録'!$B$5:$B$1004,$F506)))</ns0:f>
        <ns0:v/>
      </ns0:c>
      <ns0:c r="C506" s="9" t="str">
        <ns0:f>IF($F506="","",IF(INDEX('販売記録'!$C$5:$C$1004,$F506)="","",INDEX('販売記録'!$C$5:$C$1004,$F506)))</ns0:f>
        <ns0:v/>
      </ns0:c>
      <ns0:c r="D506" s="8" t="str">
        <ns0:f>IF($F506="","",IF(INDEX('販売記録'!$D$5:$D$1004,$F506)="","",INDEX('販売記録'!$D$5:$D$1004,$F506)))</ns0:f>
        <ns0:v/>
      </ns0:c>
      <ns0:c r="E506" s="12" t="str">
        <ns0:f>IF(OR(A506="",B506=""),"",MAX(0,TODAY()-A506))</ns0:f>
        <ns0:v/>
      </ns0:c>
      <ns0:c r="F506" s="9" t="str">
        <ns0:f>IFERROR(MATCH(ROW()-4,'販売記録'!$L$5:$L$1004,0),"")</ns0:f>
        <ns0:v/>
      </ns0:c>
    </ns0:row>
    <ns0:row r="507">
      <ns0:c r="A507" s="11" t="str">
        <ns0:f>IF($F507="","",IF(INDEX('販売記録'!$K$5:$K$1004,$F507)="","",INDEX('販売記録'!$K$5:$K$1004,$F507)))</ns0:f>
        <ns0:v/>
      </ns0:c>
      <ns0:c r="B507" s="9" t="str">
        <ns0:f>IF($F507="","",IF(INDEX('販売記録'!$B$5:$B$1004,$F507)="","",INDEX('販売記録'!$B$5:$B$1004,$F507)))</ns0:f>
        <ns0:v/>
      </ns0:c>
      <ns0:c r="C507" s="9" t="str">
        <ns0:f>IF($F507="","",IF(INDEX('販売記録'!$C$5:$C$1004,$F507)="","",INDEX('販売記録'!$C$5:$C$1004,$F507)))</ns0:f>
        <ns0:v/>
      </ns0:c>
      <ns0:c r="D507" s="8" t="str">
        <ns0:f>IF($F507="","",IF(INDEX('販売記録'!$D$5:$D$1004,$F507)="","",INDEX('販売記録'!$D$5:$D$1004,$F507)))</ns0:f>
        <ns0:v/>
      </ns0:c>
      <ns0:c r="E507" s="12" t="str">
        <ns0:f>IF(OR(A507="",B507=""),"",MAX(0,TODAY()-A507))</ns0:f>
        <ns0:v/>
      </ns0:c>
      <ns0:c r="F507" s="9" t="str">
        <ns0:f>IFERROR(MATCH(ROW()-4,'販売記録'!$L$5:$L$1004,0),"")</ns0:f>
        <ns0:v/>
      </ns0:c>
    </ns0:row>
    <ns0:row r="508">
      <ns0:c r="A508" s="11" t="str">
        <ns0:f>IF($F508="","",IF(INDEX('販売記録'!$K$5:$K$1004,$F508)="","",INDEX('販売記録'!$K$5:$K$1004,$F508)))</ns0:f>
        <ns0:v/>
      </ns0:c>
      <ns0:c r="B508" s="9" t="str">
        <ns0:f>IF($F508="","",IF(INDEX('販売記録'!$B$5:$B$1004,$F508)="","",INDEX('販売記録'!$B$5:$B$1004,$F508)))</ns0:f>
        <ns0:v/>
      </ns0:c>
      <ns0:c r="C508" s="9" t="str">
        <ns0:f>IF($F508="","",IF(INDEX('販売記録'!$C$5:$C$1004,$F508)="","",INDEX('販売記録'!$C$5:$C$1004,$F508)))</ns0:f>
        <ns0:v/>
      </ns0:c>
      <ns0:c r="D508" s="8" t="str">
        <ns0:f>IF($F508="","",IF(INDEX('販売記録'!$D$5:$D$1004,$F508)="","",INDEX('販売記録'!$D$5:$D$1004,$F508)))</ns0:f>
        <ns0:v/>
      </ns0:c>
      <ns0:c r="E508" s="12" t="str">
        <ns0:f>IF(OR(A508="",B508=""),"",MAX(0,TODAY()-A508))</ns0:f>
        <ns0:v/>
      </ns0:c>
      <ns0:c r="F508" s="9" t="str">
        <ns0:f>IFERROR(MATCH(ROW()-4,'販売記録'!$L$5:$L$1004,0),"")</ns0:f>
        <ns0:v/>
      </ns0:c>
    </ns0:row>
    <ns0:row r="509">
      <ns0:c r="A509" s="11" t="str">
        <ns0:f>IF($F509="","",IF(INDEX('販売記録'!$K$5:$K$1004,$F509)="","",INDEX('販売記録'!$K$5:$K$1004,$F509)))</ns0:f>
        <ns0:v/>
      </ns0:c>
      <ns0:c r="B509" s="9" t="str">
        <ns0:f>IF($F509="","",IF(INDEX('販売記録'!$B$5:$B$1004,$F509)="","",INDEX('販売記録'!$B$5:$B$1004,$F509)))</ns0:f>
        <ns0:v/>
      </ns0:c>
      <ns0:c r="C509" s="9" t="str">
        <ns0:f>IF($F509="","",IF(INDEX('販売記録'!$C$5:$C$1004,$F509)="","",INDEX('販売記録'!$C$5:$C$1004,$F509)))</ns0:f>
        <ns0:v/>
      </ns0:c>
      <ns0:c r="D509" s="8" t="str">
        <ns0:f>IF($F509="","",IF(INDEX('販売記録'!$D$5:$D$1004,$F509)="","",INDEX('販売記録'!$D$5:$D$1004,$F509)))</ns0:f>
        <ns0:v/>
      </ns0:c>
      <ns0:c r="E509" s="12" t="str">
        <ns0:f>IF(OR(A509="",B509=""),"",MAX(0,TODAY()-A509))</ns0:f>
        <ns0:v/>
      </ns0:c>
      <ns0:c r="F509" s="9" t="str">
        <ns0:f>IFERROR(MATCH(ROW()-4,'販売記録'!$L$5:$L$1004,0),"")</ns0:f>
        <ns0:v/>
      </ns0:c>
    </ns0:row>
    <ns0:row r="510">
      <ns0:c r="A510" s="11" t="str">
        <ns0:f>IF($F510="","",IF(INDEX('販売記録'!$K$5:$K$1004,$F510)="","",INDEX('販売記録'!$K$5:$K$1004,$F510)))</ns0:f>
        <ns0:v/>
      </ns0:c>
      <ns0:c r="B510" s="9" t="str">
        <ns0:f>IF($F510="","",IF(INDEX('販売記録'!$B$5:$B$1004,$F510)="","",INDEX('販売記録'!$B$5:$B$1004,$F510)))</ns0:f>
        <ns0:v/>
      </ns0:c>
      <ns0:c r="C510" s="9" t="str">
        <ns0:f>IF($F510="","",IF(INDEX('販売記録'!$C$5:$C$1004,$F510)="","",INDEX('販売記録'!$C$5:$C$1004,$F510)))</ns0:f>
        <ns0:v/>
      </ns0:c>
      <ns0:c r="D510" s="8" t="str">
        <ns0:f>IF($F510="","",IF(INDEX('販売記録'!$D$5:$D$1004,$F510)="","",INDEX('販売記録'!$D$5:$D$1004,$F510)))</ns0:f>
        <ns0:v/>
      </ns0:c>
      <ns0:c r="E510" s="12" t="str">
        <ns0:f>IF(OR(A510="",B510=""),"",MAX(0,TODAY()-A510))</ns0:f>
        <ns0:v/>
      </ns0:c>
      <ns0:c r="F510" s="9" t="str">
        <ns0:f>IFERROR(MATCH(ROW()-4,'販売記録'!$L$5:$L$1004,0),"")</ns0:f>
        <ns0:v/>
      </ns0:c>
    </ns0:row>
    <ns0:row r="511">
      <ns0:c r="A511" s="11" t="str">
        <ns0:f>IF($F511="","",IF(INDEX('販売記録'!$K$5:$K$1004,$F511)="","",INDEX('販売記録'!$K$5:$K$1004,$F511)))</ns0:f>
        <ns0:v/>
      </ns0:c>
      <ns0:c r="B511" s="9" t="str">
        <ns0:f>IF($F511="","",IF(INDEX('販売記録'!$B$5:$B$1004,$F511)="","",INDEX('販売記録'!$B$5:$B$1004,$F511)))</ns0:f>
        <ns0:v/>
      </ns0:c>
      <ns0:c r="C511" s="9" t="str">
        <ns0:f>IF($F511="","",IF(INDEX('販売記録'!$C$5:$C$1004,$F511)="","",INDEX('販売記録'!$C$5:$C$1004,$F511)))</ns0:f>
        <ns0:v/>
      </ns0:c>
      <ns0:c r="D511" s="8" t="str">
        <ns0:f>IF($F511="","",IF(INDEX('販売記録'!$D$5:$D$1004,$F511)="","",INDEX('販売記録'!$D$5:$D$1004,$F511)))</ns0:f>
        <ns0:v/>
      </ns0:c>
      <ns0:c r="E511" s="12" t="str">
        <ns0:f>IF(OR(A511="",B511=""),"",MAX(0,TODAY()-A511))</ns0:f>
        <ns0:v/>
      </ns0:c>
      <ns0:c r="F511" s="9" t="str">
        <ns0:f>IFERROR(MATCH(ROW()-4,'販売記録'!$L$5:$L$1004,0),"")</ns0:f>
        <ns0:v/>
      </ns0:c>
    </ns0:row>
    <ns0:row r="512">
      <ns0:c r="A512" s="11" t="str">
        <ns0:f>IF($F512="","",IF(INDEX('販売記録'!$K$5:$K$1004,$F512)="","",INDEX('販売記録'!$K$5:$K$1004,$F512)))</ns0:f>
        <ns0:v/>
      </ns0:c>
      <ns0:c r="B512" s="9" t="str">
        <ns0:f>IF($F512="","",IF(INDEX('販売記録'!$B$5:$B$1004,$F512)="","",INDEX('販売記録'!$B$5:$B$1004,$F512)))</ns0:f>
        <ns0:v/>
      </ns0:c>
      <ns0:c r="C512" s="9" t="str">
        <ns0:f>IF($F512="","",IF(INDEX('販売記録'!$C$5:$C$1004,$F512)="","",INDEX('販売記録'!$C$5:$C$1004,$F512)))</ns0:f>
        <ns0:v/>
      </ns0:c>
      <ns0:c r="D512" s="8" t="str">
        <ns0:f>IF($F512="","",IF(INDEX('販売記録'!$D$5:$D$1004,$F512)="","",INDEX('販売記録'!$D$5:$D$1004,$F512)))</ns0:f>
        <ns0:v/>
      </ns0:c>
      <ns0:c r="E512" s="12" t="str">
        <ns0:f>IF(OR(A512="",B512=""),"",MAX(0,TODAY()-A512))</ns0:f>
        <ns0:v/>
      </ns0:c>
      <ns0:c r="F512" s="9" t="str">
        <ns0:f>IFERROR(MATCH(ROW()-4,'販売記録'!$L$5:$L$1004,0),"")</ns0:f>
        <ns0:v/>
      </ns0:c>
    </ns0:row>
    <ns0:row r="513">
      <ns0:c r="A513" s="11" t="str">
        <ns0:f>IF($F513="","",IF(INDEX('販売記録'!$K$5:$K$1004,$F513)="","",INDEX('販売記録'!$K$5:$K$1004,$F513)))</ns0:f>
        <ns0:v/>
      </ns0:c>
      <ns0:c r="B513" s="9" t="str">
        <ns0:f>IF($F513="","",IF(INDEX('販売記録'!$B$5:$B$1004,$F513)="","",INDEX('販売記録'!$B$5:$B$1004,$F513)))</ns0:f>
        <ns0:v/>
      </ns0:c>
      <ns0:c r="C513" s="9" t="str">
        <ns0:f>IF($F513="","",IF(INDEX('販売記録'!$C$5:$C$1004,$F513)="","",INDEX('販売記録'!$C$5:$C$1004,$F513)))</ns0:f>
        <ns0:v/>
      </ns0:c>
      <ns0:c r="D513" s="8" t="str">
        <ns0:f>IF($F513="","",IF(INDEX('販売記録'!$D$5:$D$1004,$F513)="","",INDEX('販売記録'!$D$5:$D$1004,$F513)))</ns0:f>
        <ns0:v/>
      </ns0:c>
      <ns0:c r="E513" s="12" t="str">
        <ns0:f>IF(OR(A513="",B513=""),"",MAX(0,TODAY()-A513))</ns0:f>
        <ns0:v/>
      </ns0:c>
      <ns0:c r="F513" s="9" t="str">
        <ns0:f>IFERROR(MATCH(ROW()-4,'販売記録'!$L$5:$L$1004,0),"")</ns0:f>
        <ns0:v/>
      </ns0:c>
    </ns0:row>
    <ns0:row r="514">
      <ns0:c r="A514" s="11" t="str">
        <ns0:f>IF($F514="","",IF(INDEX('販売記録'!$K$5:$K$1004,$F514)="","",INDEX('販売記録'!$K$5:$K$1004,$F514)))</ns0:f>
        <ns0:v/>
      </ns0:c>
      <ns0:c r="B514" s="9" t="str">
        <ns0:f>IF($F514="","",IF(INDEX('販売記録'!$B$5:$B$1004,$F514)="","",INDEX('販売記録'!$B$5:$B$1004,$F514)))</ns0:f>
        <ns0:v/>
      </ns0:c>
      <ns0:c r="C514" s="9" t="str">
        <ns0:f>IF($F514="","",IF(INDEX('販売記録'!$C$5:$C$1004,$F514)="","",INDEX('販売記録'!$C$5:$C$1004,$F514)))</ns0:f>
        <ns0:v/>
      </ns0:c>
      <ns0:c r="D514" s="8" t="str">
        <ns0:f>IF($F514="","",IF(INDEX('販売記録'!$D$5:$D$1004,$F514)="","",INDEX('販売記録'!$D$5:$D$1004,$F514)))</ns0:f>
        <ns0:v/>
      </ns0:c>
      <ns0:c r="E514" s="12" t="str">
        <ns0:f>IF(OR(A514="",B514=""),"",MAX(0,TODAY()-A514))</ns0:f>
        <ns0:v/>
      </ns0:c>
      <ns0:c r="F514" s="9" t="str">
        <ns0:f>IFERROR(MATCH(ROW()-4,'販売記録'!$L$5:$L$1004,0),"")</ns0:f>
        <ns0:v/>
      </ns0:c>
    </ns0:row>
    <ns0:row r="515">
      <ns0:c r="A515" s="11" t="str">
        <ns0:f>IF($F515="","",IF(INDEX('販売記録'!$K$5:$K$1004,$F515)="","",INDEX('販売記録'!$K$5:$K$1004,$F515)))</ns0:f>
        <ns0:v/>
      </ns0:c>
      <ns0:c r="B515" s="9" t="str">
        <ns0:f>IF($F515="","",IF(INDEX('販売記録'!$B$5:$B$1004,$F515)="","",INDEX('販売記録'!$B$5:$B$1004,$F515)))</ns0:f>
        <ns0:v/>
      </ns0:c>
      <ns0:c r="C515" s="9" t="str">
        <ns0:f>IF($F515="","",IF(INDEX('販売記録'!$C$5:$C$1004,$F515)="","",INDEX('販売記録'!$C$5:$C$1004,$F515)))</ns0:f>
        <ns0:v/>
      </ns0:c>
      <ns0:c r="D515" s="8" t="str">
        <ns0:f>IF($F515="","",IF(INDEX('販売記録'!$D$5:$D$1004,$F515)="","",INDEX('販売記録'!$D$5:$D$1004,$F515)))</ns0:f>
        <ns0:v/>
      </ns0:c>
      <ns0:c r="E515" s="12" t="str">
        <ns0:f>IF(OR(A515="",B515=""),"",MAX(0,TODAY()-A515))</ns0:f>
        <ns0:v/>
      </ns0:c>
      <ns0:c r="F515" s="9" t="str">
        <ns0:f>IFERROR(MATCH(ROW()-4,'販売記録'!$L$5:$L$1004,0),"")</ns0:f>
        <ns0:v/>
      </ns0:c>
    </ns0:row>
    <ns0:row r="516">
      <ns0:c r="A516" s="11" t="str">
        <ns0:f>IF($F516="","",IF(INDEX('販売記録'!$K$5:$K$1004,$F516)="","",INDEX('販売記録'!$K$5:$K$1004,$F516)))</ns0:f>
        <ns0:v/>
      </ns0:c>
      <ns0:c r="B516" s="9" t="str">
        <ns0:f>IF($F516="","",IF(INDEX('販売記録'!$B$5:$B$1004,$F516)="","",INDEX('販売記録'!$B$5:$B$1004,$F516)))</ns0:f>
        <ns0:v/>
      </ns0:c>
      <ns0:c r="C516" s="9" t="str">
        <ns0:f>IF($F516="","",IF(INDEX('販売記録'!$C$5:$C$1004,$F516)="","",INDEX('販売記録'!$C$5:$C$1004,$F516)))</ns0:f>
        <ns0:v/>
      </ns0:c>
      <ns0:c r="D516" s="8" t="str">
        <ns0:f>IF($F516="","",IF(INDEX('販売記録'!$D$5:$D$1004,$F516)="","",INDEX('販売記録'!$D$5:$D$1004,$F516)))</ns0:f>
        <ns0:v/>
      </ns0:c>
      <ns0:c r="E516" s="12" t="str">
        <ns0:f>IF(OR(A516="",B516=""),"",MAX(0,TODAY()-A516))</ns0:f>
        <ns0:v/>
      </ns0:c>
      <ns0:c r="F516" s="9" t="str">
        <ns0:f>IFERROR(MATCH(ROW()-4,'販売記録'!$L$5:$L$1004,0),"")</ns0:f>
        <ns0:v/>
      </ns0:c>
    </ns0:row>
    <ns0:row r="517">
      <ns0:c r="A517" s="11" t="str">
        <ns0:f>IF($F517="","",IF(INDEX('販売記録'!$K$5:$K$1004,$F517)="","",INDEX('販売記録'!$K$5:$K$1004,$F517)))</ns0:f>
        <ns0:v/>
      </ns0:c>
      <ns0:c r="B517" s="9" t="str">
        <ns0:f>IF($F517="","",IF(INDEX('販売記録'!$B$5:$B$1004,$F517)="","",INDEX('販売記録'!$B$5:$B$1004,$F517)))</ns0:f>
        <ns0:v/>
      </ns0:c>
      <ns0:c r="C517" s="9" t="str">
        <ns0:f>IF($F517="","",IF(INDEX('販売記録'!$C$5:$C$1004,$F517)="","",INDEX('販売記録'!$C$5:$C$1004,$F517)))</ns0:f>
        <ns0:v/>
      </ns0:c>
      <ns0:c r="D517" s="8" t="str">
        <ns0:f>IF($F517="","",IF(INDEX('販売記録'!$D$5:$D$1004,$F517)="","",INDEX('販売記録'!$D$5:$D$1004,$F517)))</ns0:f>
        <ns0:v/>
      </ns0:c>
      <ns0:c r="E517" s="12" t="str">
        <ns0:f>IF(OR(A517="",B517=""),"",MAX(0,TODAY()-A517))</ns0:f>
        <ns0:v/>
      </ns0:c>
      <ns0:c r="F517" s="9" t="str">
        <ns0:f>IFERROR(MATCH(ROW()-4,'販売記録'!$L$5:$L$1004,0),"")</ns0:f>
        <ns0:v/>
      </ns0:c>
    </ns0:row>
    <ns0:row r="518">
      <ns0:c r="A518" s="11" t="str">
        <ns0:f>IF($F518="","",IF(INDEX('販売記録'!$K$5:$K$1004,$F518)="","",INDEX('販売記録'!$K$5:$K$1004,$F518)))</ns0:f>
        <ns0:v/>
      </ns0:c>
      <ns0:c r="B518" s="9" t="str">
        <ns0:f>IF($F518="","",IF(INDEX('販売記録'!$B$5:$B$1004,$F518)="","",INDEX('販売記録'!$B$5:$B$1004,$F518)))</ns0:f>
        <ns0:v/>
      </ns0:c>
      <ns0:c r="C518" s="9" t="str">
        <ns0:f>IF($F518="","",IF(INDEX('販売記録'!$C$5:$C$1004,$F518)="","",INDEX('販売記録'!$C$5:$C$1004,$F518)))</ns0:f>
        <ns0:v/>
      </ns0:c>
      <ns0:c r="D518" s="8" t="str">
        <ns0:f>IF($F518="","",IF(INDEX('販売記録'!$D$5:$D$1004,$F518)="","",INDEX('販売記録'!$D$5:$D$1004,$F518)))</ns0:f>
        <ns0:v/>
      </ns0:c>
      <ns0:c r="E518" s="12" t="str">
        <ns0:f>IF(OR(A518="",B518=""),"",MAX(0,TODAY()-A518))</ns0:f>
        <ns0:v/>
      </ns0:c>
      <ns0:c r="F518" s="9" t="str">
        <ns0:f>IFERROR(MATCH(ROW()-4,'販売記録'!$L$5:$L$1004,0),"")</ns0:f>
        <ns0:v/>
      </ns0:c>
    </ns0:row>
    <ns0:row r="519">
      <ns0:c r="A519" s="11" t="str">
        <ns0:f>IF($F519="","",IF(INDEX('販売記録'!$K$5:$K$1004,$F519)="","",INDEX('販売記録'!$K$5:$K$1004,$F519)))</ns0:f>
        <ns0:v/>
      </ns0:c>
      <ns0:c r="B519" s="9" t="str">
        <ns0:f>IF($F519="","",IF(INDEX('販売記録'!$B$5:$B$1004,$F519)="","",INDEX('販売記録'!$B$5:$B$1004,$F519)))</ns0:f>
        <ns0:v/>
      </ns0:c>
      <ns0:c r="C519" s="9" t="str">
        <ns0:f>IF($F519="","",IF(INDEX('販売記録'!$C$5:$C$1004,$F519)="","",INDEX('販売記録'!$C$5:$C$1004,$F519)))</ns0:f>
        <ns0:v/>
      </ns0:c>
      <ns0:c r="D519" s="8" t="str">
        <ns0:f>IF($F519="","",IF(INDEX('販売記録'!$D$5:$D$1004,$F519)="","",INDEX('販売記録'!$D$5:$D$1004,$F519)))</ns0:f>
        <ns0:v/>
      </ns0:c>
      <ns0:c r="E519" s="12" t="str">
        <ns0:f>IF(OR(A519="",B519=""),"",MAX(0,TODAY()-A519))</ns0:f>
        <ns0:v/>
      </ns0:c>
      <ns0:c r="F519" s="9" t="str">
        <ns0:f>IFERROR(MATCH(ROW()-4,'販売記録'!$L$5:$L$1004,0),"")</ns0:f>
        <ns0:v/>
      </ns0:c>
    </ns0:row>
    <ns0:row r="520">
      <ns0:c r="A520" s="11" t="str">
        <ns0:f>IF($F520="","",IF(INDEX('販売記録'!$K$5:$K$1004,$F520)="","",INDEX('販売記録'!$K$5:$K$1004,$F520)))</ns0:f>
        <ns0:v/>
      </ns0:c>
      <ns0:c r="B520" s="9" t="str">
        <ns0:f>IF($F520="","",IF(INDEX('販売記録'!$B$5:$B$1004,$F520)="","",INDEX('販売記録'!$B$5:$B$1004,$F520)))</ns0:f>
        <ns0:v/>
      </ns0:c>
      <ns0:c r="C520" s="9" t="str">
        <ns0:f>IF($F520="","",IF(INDEX('販売記録'!$C$5:$C$1004,$F520)="","",INDEX('販売記録'!$C$5:$C$1004,$F520)))</ns0:f>
        <ns0:v/>
      </ns0:c>
      <ns0:c r="D520" s="8" t="str">
        <ns0:f>IF($F520="","",IF(INDEX('販売記録'!$D$5:$D$1004,$F520)="","",INDEX('販売記録'!$D$5:$D$1004,$F520)))</ns0:f>
        <ns0:v/>
      </ns0:c>
      <ns0:c r="E520" s="12" t="str">
        <ns0:f>IF(OR(A520="",B520=""),"",MAX(0,TODAY()-A520))</ns0:f>
        <ns0:v/>
      </ns0:c>
      <ns0:c r="F520" s="9" t="str">
        <ns0:f>IFERROR(MATCH(ROW()-4,'販売記録'!$L$5:$L$1004,0),"")</ns0:f>
        <ns0:v/>
      </ns0:c>
    </ns0:row>
    <ns0:row r="521">
      <ns0:c r="A521" s="11" t="str">
        <ns0:f>IF($F521="","",IF(INDEX('販売記録'!$K$5:$K$1004,$F521)="","",INDEX('販売記録'!$K$5:$K$1004,$F521)))</ns0:f>
        <ns0:v/>
      </ns0:c>
      <ns0:c r="B521" s="9" t="str">
        <ns0:f>IF($F521="","",IF(INDEX('販売記録'!$B$5:$B$1004,$F521)="","",INDEX('販売記録'!$B$5:$B$1004,$F521)))</ns0:f>
        <ns0:v/>
      </ns0:c>
      <ns0:c r="C521" s="9" t="str">
        <ns0:f>IF($F521="","",IF(INDEX('販売記録'!$C$5:$C$1004,$F521)="","",INDEX('販売記録'!$C$5:$C$1004,$F521)))</ns0:f>
        <ns0:v/>
      </ns0:c>
      <ns0:c r="D521" s="8" t="str">
        <ns0:f>IF($F521="","",IF(INDEX('販売記録'!$D$5:$D$1004,$F521)="","",INDEX('販売記録'!$D$5:$D$1004,$F521)))</ns0:f>
        <ns0:v/>
      </ns0:c>
      <ns0:c r="E521" s="12" t="str">
        <ns0:f>IF(OR(A521="",B521=""),"",MAX(0,TODAY()-A521))</ns0:f>
        <ns0:v/>
      </ns0:c>
      <ns0:c r="F521" s="9" t="str">
        <ns0:f>IFERROR(MATCH(ROW()-4,'販売記録'!$L$5:$L$1004,0),"")</ns0:f>
        <ns0:v/>
      </ns0:c>
    </ns0:row>
    <ns0:row r="522">
      <ns0:c r="A522" s="11" t="str">
        <ns0:f>IF($F522="","",IF(INDEX('販売記録'!$K$5:$K$1004,$F522)="","",INDEX('販売記録'!$K$5:$K$1004,$F522)))</ns0:f>
        <ns0:v/>
      </ns0:c>
      <ns0:c r="B522" s="9" t="str">
        <ns0:f>IF($F522="","",IF(INDEX('販売記録'!$B$5:$B$1004,$F522)="","",INDEX('販売記録'!$B$5:$B$1004,$F522)))</ns0:f>
        <ns0:v/>
      </ns0:c>
      <ns0:c r="C522" s="9" t="str">
        <ns0:f>IF($F522="","",IF(INDEX('販売記録'!$C$5:$C$1004,$F522)="","",INDEX('販売記録'!$C$5:$C$1004,$F522)))</ns0:f>
        <ns0:v/>
      </ns0:c>
      <ns0:c r="D522" s="8" t="str">
        <ns0:f>IF($F522="","",IF(INDEX('販売記録'!$D$5:$D$1004,$F522)="","",INDEX('販売記録'!$D$5:$D$1004,$F522)))</ns0:f>
        <ns0:v/>
      </ns0:c>
      <ns0:c r="E522" s="12" t="str">
        <ns0:f>IF(OR(A522="",B522=""),"",MAX(0,TODAY()-A522))</ns0:f>
        <ns0:v/>
      </ns0:c>
      <ns0:c r="F522" s="9" t="str">
        <ns0:f>IFERROR(MATCH(ROW()-4,'販売記録'!$L$5:$L$1004,0),"")</ns0:f>
        <ns0:v/>
      </ns0:c>
    </ns0:row>
    <ns0:row r="523">
      <ns0:c r="A523" s="11" t="str">
        <ns0:f>IF($F523="","",IF(INDEX('販売記録'!$K$5:$K$1004,$F523)="","",INDEX('販売記録'!$K$5:$K$1004,$F523)))</ns0:f>
        <ns0:v/>
      </ns0:c>
      <ns0:c r="B523" s="9" t="str">
        <ns0:f>IF($F523="","",IF(INDEX('販売記録'!$B$5:$B$1004,$F523)="","",INDEX('販売記録'!$B$5:$B$1004,$F523)))</ns0:f>
        <ns0:v/>
      </ns0:c>
      <ns0:c r="C523" s="9" t="str">
        <ns0:f>IF($F523="","",IF(INDEX('販売記録'!$C$5:$C$1004,$F523)="","",INDEX('販売記録'!$C$5:$C$1004,$F523)))</ns0:f>
        <ns0:v/>
      </ns0:c>
      <ns0:c r="D523" s="8" t="str">
        <ns0:f>IF($F523="","",IF(INDEX('販売記録'!$D$5:$D$1004,$F523)="","",INDEX('販売記録'!$D$5:$D$1004,$F523)))</ns0:f>
        <ns0:v/>
      </ns0:c>
      <ns0:c r="E523" s="12" t="str">
        <ns0:f>IF(OR(A523="",B523=""),"",MAX(0,TODAY()-A523))</ns0:f>
        <ns0:v/>
      </ns0:c>
      <ns0:c r="F523" s="9" t="str">
        <ns0:f>IFERROR(MATCH(ROW()-4,'販売記録'!$L$5:$L$1004,0),"")</ns0:f>
        <ns0:v/>
      </ns0:c>
    </ns0:row>
    <ns0:row r="524">
      <ns0:c r="A524" s="11" t="str">
        <ns0:f>IF($F524="","",IF(INDEX('販売記録'!$K$5:$K$1004,$F524)="","",INDEX('販売記録'!$K$5:$K$1004,$F524)))</ns0:f>
        <ns0:v/>
      </ns0:c>
      <ns0:c r="B524" s="9" t="str">
        <ns0:f>IF($F524="","",IF(INDEX('販売記録'!$B$5:$B$1004,$F524)="","",INDEX('販売記録'!$B$5:$B$1004,$F524)))</ns0:f>
        <ns0:v/>
      </ns0:c>
      <ns0:c r="C524" s="9" t="str">
        <ns0:f>IF($F524="","",IF(INDEX('販売記録'!$C$5:$C$1004,$F524)="","",INDEX('販売記録'!$C$5:$C$1004,$F524)))</ns0:f>
        <ns0:v/>
      </ns0:c>
      <ns0:c r="D524" s="8" t="str">
        <ns0:f>IF($F524="","",IF(INDEX('販売記録'!$D$5:$D$1004,$F524)="","",INDEX('販売記録'!$D$5:$D$1004,$F524)))</ns0:f>
        <ns0:v/>
      </ns0:c>
      <ns0:c r="E524" s="12" t="str">
        <ns0:f>IF(OR(A524="",B524=""),"",MAX(0,TODAY()-A524))</ns0:f>
        <ns0:v/>
      </ns0:c>
      <ns0:c r="F524" s="9" t="str">
        <ns0:f>IFERROR(MATCH(ROW()-4,'販売記録'!$L$5:$L$1004,0),"")</ns0:f>
        <ns0:v/>
      </ns0:c>
    </ns0:row>
    <ns0:row r="525">
      <ns0:c r="A525" s="11" t="str">
        <ns0:f>IF($F525="","",IF(INDEX('販売記録'!$K$5:$K$1004,$F525)="","",INDEX('販売記録'!$K$5:$K$1004,$F525)))</ns0:f>
        <ns0:v/>
      </ns0:c>
      <ns0:c r="B525" s="9" t="str">
        <ns0:f>IF($F525="","",IF(INDEX('販売記録'!$B$5:$B$1004,$F525)="","",INDEX('販売記録'!$B$5:$B$1004,$F525)))</ns0:f>
        <ns0:v/>
      </ns0:c>
      <ns0:c r="C525" s="9" t="str">
        <ns0:f>IF($F525="","",IF(INDEX('販売記録'!$C$5:$C$1004,$F525)="","",INDEX('販売記録'!$C$5:$C$1004,$F525)))</ns0:f>
        <ns0:v/>
      </ns0:c>
      <ns0:c r="D525" s="8" t="str">
        <ns0:f>IF($F525="","",IF(INDEX('販売記録'!$D$5:$D$1004,$F525)="","",INDEX('販売記録'!$D$5:$D$1004,$F525)))</ns0:f>
        <ns0:v/>
      </ns0:c>
      <ns0:c r="E525" s="12" t="str">
        <ns0:f>IF(OR(A525="",B525=""),"",MAX(0,TODAY()-A525))</ns0:f>
        <ns0:v/>
      </ns0:c>
      <ns0:c r="F525" s="9" t="str">
        <ns0:f>IFERROR(MATCH(ROW()-4,'販売記録'!$L$5:$L$1004,0),"")</ns0:f>
        <ns0:v/>
      </ns0:c>
    </ns0:row>
    <ns0:row r="526">
      <ns0:c r="A526" s="11" t="str">
        <ns0:f>IF($F526="","",IF(INDEX('販売記録'!$K$5:$K$1004,$F526)="","",INDEX('販売記録'!$K$5:$K$1004,$F526)))</ns0:f>
        <ns0:v/>
      </ns0:c>
      <ns0:c r="B526" s="9" t="str">
        <ns0:f>IF($F526="","",IF(INDEX('販売記録'!$B$5:$B$1004,$F526)="","",INDEX('販売記録'!$B$5:$B$1004,$F526)))</ns0:f>
        <ns0:v/>
      </ns0:c>
      <ns0:c r="C526" s="9" t="str">
        <ns0:f>IF($F526="","",IF(INDEX('販売記録'!$C$5:$C$1004,$F526)="","",INDEX('販売記録'!$C$5:$C$1004,$F526)))</ns0:f>
        <ns0:v/>
      </ns0:c>
      <ns0:c r="D526" s="8" t="str">
        <ns0:f>IF($F526="","",IF(INDEX('販売記録'!$D$5:$D$1004,$F526)="","",INDEX('販売記録'!$D$5:$D$1004,$F526)))</ns0:f>
        <ns0:v/>
      </ns0:c>
      <ns0:c r="E526" s="12" t="str">
        <ns0:f>IF(OR(A526="",B526=""),"",MAX(0,TODAY()-A526))</ns0:f>
        <ns0:v/>
      </ns0:c>
      <ns0:c r="F526" s="9" t="str">
        <ns0:f>IFERROR(MATCH(ROW()-4,'販売記録'!$L$5:$L$1004,0),"")</ns0:f>
        <ns0:v/>
      </ns0:c>
    </ns0:row>
    <ns0:row r="527">
      <ns0:c r="A527" s="11" t="str">
        <ns0:f>IF($F527="","",IF(INDEX('販売記録'!$K$5:$K$1004,$F527)="","",INDEX('販売記録'!$K$5:$K$1004,$F527)))</ns0:f>
        <ns0:v/>
      </ns0:c>
      <ns0:c r="B527" s="9" t="str">
        <ns0:f>IF($F527="","",IF(INDEX('販売記録'!$B$5:$B$1004,$F527)="","",INDEX('販売記録'!$B$5:$B$1004,$F527)))</ns0:f>
        <ns0:v/>
      </ns0:c>
      <ns0:c r="C527" s="9" t="str">
        <ns0:f>IF($F527="","",IF(INDEX('販売記録'!$C$5:$C$1004,$F527)="","",INDEX('販売記録'!$C$5:$C$1004,$F527)))</ns0:f>
        <ns0:v/>
      </ns0:c>
      <ns0:c r="D527" s="8" t="str">
        <ns0:f>IF($F527="","",IF(INDEX('販売記録'!$D$5:$D$1004,$F527)="","",INDEX('販売記録'!$D$5:$D$1004,$F527)))</ns0:f>
        <ns0:v/>
      </ns0:c>
      <ns0:c r="E527" s="12" t="str">
        <ns0:f>IF(OR(A527="",B527=""),"",MAX(0,TODAY()-A527))</ns0:f>
        <ns0:v/>
      </ns0:c>
      <ns0:c r="F527" s="9" t="str">
        <ns0:f>IFERROR(MATCH(ROW()-4,'販売記録'!$L$5:$L$1004,0),"")</ns0:f>
        <ns0:v/>
      </ns0:c>
    </ns0:row>
    <ns0:row r="528">
      <ns0:c r="A528" s="11" t="str">
        <ns0:f>IF($F528="","",IF(INDEX('販売記録'!$K$5:$K$1004,$F528)="","",INDEX('販売記録'!$K$5:$K$1004,$F528)))</ns0:f>
        <ns0:v/>
      </ns0:c>
      <ns0:c r="B528" s="9" t="str">
        <ns0:f>IF($F528="","",IF(INDEX('販売記録'!$B$5:$B$1004,$F528)="","",INDEX('販売記録'!$B$5:$B$1004,$F528)))</ns0:f>
        <ns0:v/>
      </ns0:c>
      <ns0:c r="C528" s="9" t="str">
        <ns0:f>IF($F528="","",IF(INDEX('販売記録'!$C$5:$C$1004,$F528)="","",INDEX('販売記録'!$C$5:$C$1004,$F528)))</ns0:f>
        <ns0:v/>
      </ns0:c>
      <ns0:c r="D528" s="8" t="str">
        <ns0:f>IF($F528="","",IF(INDEX('販売記録'!$D$5:$D$1004,$F528)="","",INDEX('販売記録'!$D$5:$D$1004,$F528)))</ns0:f>
        <ns0:v/>
      </ns0:c>
      <ns0:c r="E528" s="12" t="str">
        <ns0:f>IF(OR(A528="",B528=""),"",MAX(0,TODAY()-A528))</ns0:f>
        <ns0:v/>
      </ns0:c>
      <ns0:c r="F528" s="9" t="str">
        <ns0:f>IFERROR(MATCH(ROW()-4,'販売記録'!$L$5:$L$1004,0),"")</ns0:f>
        <ns0:v/>
      </ns0:c>
    </ns0:row>
    <ns0:row r="529">
      <ns0:c r="A529" s="11" t="str">
        <ns0:f>IF($F529="","",IF(INDEX('販売記録'!$K$5:$K$1004,$F529)="","",INDEX('販売記録'!$K$5:$K$1004,$F529)))</ns0:f>
        <ns0:v/>
      </ns0:c>
      <ns0:c r="B529" s="9" t="str">
        <ns0:f>IF($F529="","",IF(INDEX('販売記録'!$B$5:$B$1004,$F529)="","",INDEX('販売記録'!$B$5:$B$1004,$F529)))</ns0:f>
        <ns0:v/>
      </ns0:c>
      <ns0:c r="C529" s="9" t="str">
        <ns0:f>IF($F529="","",IF(INDEX('販売記録'!$C$5:$C$1004,$F529)="","",INDEX('販売記録'!$C$5:$C$1004,$F529)))</ns0:f>
        <ns0:v/>
      </ns0:c>
      <ns0:c r="D529" s="8" t="str">
        <ns0:f>IF($F529="","",IF(INDEX('販売記録'!$D$5:$D$1004,$F529)="","",INDEX('販売記録'!$D$5:$D$1004,$F529)))</ns0:f>
        <ns0:v/>
      </ns0:c>
      <ns0:c r="E529" s="12" t="str">
        <ns0:f>IF(OR(A529="",B529=""),"",MAX(0,TODAY()-A529))</ns0:f>
        <ns0:v/>
      </ns0:c>
      <ns0:c r="F529" s="9" t="str">
        <ns0:f>IFERROR(MATCH(ROW()-4,'販売記録'!$L$5:$L$1004,0),"")</ns0:f>
        <ns0:v/>
      </ns0:c>
    </ns0:row>
    <ns0:row r="530">
      <ns0:c r="A530" s="11" t="str">
        <ns0:f>IF($F530="","",IF(INDEX('販売記録'!$K$5:$K$1004,$F530)="","",INDEX('販売記録'!$K$5:$K$1004,$F530)))</ns0:f>
        <ns0:v/>
      </ns0:c>
      <ns0:c r="B530" s="9" t="str">
        <ns0:f>IF($F530="","",IF(INDEX('販売記録'!$B$5:$B$1004,$F530)="","",INDEX('販売記録'!$B$5:$B$1004,$F530)))</ns0:f>
        <ns0:v/>
      </ns0:c>
      <ns0:c r="C530" s="9" t="str">
        <ns0:f>IF($F530="","",IF(INDEX('販売記録'!$C$5:$C$1004,$F530)="","",INDEX('販売記録'!$C$5:$C$1004,$F530)))</ns0:f>
        <ns0:v/>
      </ns0:c>
      <ns0:c r="D530" s="8" t="str">
        <ns0:f>IF($F530="","",IF(INDEX('販売記録'!$D$5:$D$1004,$F530)="","",INDEX('販売記録'!$D$5:$D$1004,$F530)))</ns0:f>
        <ns0:v/>
      </ns0:c>
      <ns0:c r="E530" s="12" t="str">
        <ns0:f>IF(OR(A530="",B530=""),"",MAX(0,TODAY()-A530))</ns0:f>
        <ns0:v/>
      </ns0:c>
      <ns0:c r="F530" s="9" t="str">
        <ns0:f>IFERROR(MATCH(ROW()-4,'販売記録'!$L$5:$L$1004,0),"")</ns0:f>
        <ns0:v/>
      </ns0:c>
    </ns0:row>
    <ns0:row r="531">
      <ns0:c r="A531" s="11" t="str">
        <ns0:f>IF($F531="","",IF(INDEX('販売記録'!$K$5:$K$1004,$F531)="","",INDEX('販売記録'!$K$5:$K$1004,$F531)))</ns0:f>
        <ns0:v/>
      </ns0:c>
      <ns0:c r="B531" s="9" t="str">
        <ns0:f>IF($F531="","",IF(INDEX('販売記録'!$B$5:$B$1004,$F531)="","",INDEX('販売記録'!$B$5:$B$1004,$F531)))</ns0:f>
        <ns0:v/>
      </ns0:c>
      <ns0:c r="C531" s="9" t="str">
        <ns0:f>IF($F531="","",IF(INDEX('販売記録'!$C$5:$C$1004,$F531)="","",INDEX('販売記録'!$C$5:$C$1004,$F531)))</ns0:f>
        <ns0:v/>
      </ns0:c>
      <ns0:c r="D531" s="8" t="str">
        <ns0:f>IF($F531="","",IF(INDEX('販売記録'!$D$5:$D$1004,$F531)="","",INDEX('販売記録'!$D$5:$D$1004,$F531)))</ns0:f>
        <ns0:v/>
      </ns0:c>
      <ns0:c r="E531" s="12" t="str">
        <ns0:f>IF(OR(A531="",B531=""),"",MAX(0,TODAY()-A531))</ns0:f>
        <ns0:v/>
      </ns0:c>
      <ns0:c r="F531" s="9" t="str">
        <ns0:f>IFERROR(MATCH(ROW()-4,'販売記録'!$L$5:$L$1004,0),"")</ns0:f>
        <ns0:v/>
      </ns0:c>
    </ns0:row>
    <ns0:row r="532">
      <ns0:c r="A532" s="11" t="str">
        <ns0:f>IF($F532="","",IF(INDEX('販売記録'!$K$5:$K$1004,$F532)="","",INDEX('販売記録'!$K$5:$K$1004,$F532)))</ns0:f>
        <ns0:v/>
      </ns0:c>
      <ns0:c r="B532" s="9" t="str">
        <ns0:f>IF($F532="","",IF(INDEX('販売記録'!$B$5:$B$1004,$F532)="","",INDEX('販売記録'!$B$5:$B$1004,$F532)))</ns0:f>
        <ns0:v/>
      </ns0:c>
      <ns0:c r="C532" s="9" t="str">
        <ns0:f>IF($F532="","",IF(INDEX('販売記録'!$C$5:$C$1004,$F532)="","",INDEX('販売記録'!$C$5:$C$1004,$F532)))</ns0:f>
        <ns0:v/>
      </ns0:c>
      <ns0:c r="D532" s="8" t="str">
        <ns0:f>IF($F532="","",IF(INDEX('販売記録'!$D$5:$D$1004,$F532)="","",INDEX('販売記録'!$D$5:$D$1004,$F532)))</ns0:f>
        <ns0:v/>
      </ns0:c>
      <ns0:c r="E532" s="12" t="str">
        <ns0:f>IF(OR(A532="",B532=""),"",MAX(0,TODAY()-A532))</ns0:f>
        <ns0:v/>
      </ns0:c>
      <ns0:c r="F532" s="9" t="str">
        <ns0:f>IFERROR(MATCH(ROW()-4,'販売記録'!$L$5:$L$1004,0),"")</ns0:f>
        <ns0:v/>
      </ns0:c>
    </ns0:row>
    <ns0:row r="533">
      <ns0:c r="A533" s="11" t="str">
        <ns0:f>IF($F533="","",IF(INDEX('販売記録'!$K$5:$K$1004,$F533)="","",INDEX('販売記録'!$K$5:$K$1004,$F533)))</ns0:f>
        <ns0:v/>
      </ns0:c>
      <ns0:c r="B533" s="9" t="str">
        <ns0:f>IF($F533="","",IF(INDEX('販売記録'!$B$5:$B$1004,$F533)="","",INDEX('販売記録'!$B$5:$B$1004,$F533)))</ns0:f>
        <ns0:v/>
      </ns0:c>
      <ns0:c r="C533" s="9" t="str">
        <ns0:f>IF($F533="","",IF(INDEX('販売記録'!$C$5:$C$1004,$F533)="","",INDEX('販売記録'!$C$5:$C$1004,$F533)))</ns0:f>
        <ns0:v/>
      </ns0:c>
      <ns0:c r="D533" s="8" t="str">
        <ns0:f>IF($F533="","",IF(INDEX('販売記録'!$D$5:$D$1004,$F533)="","",INDEX('販売記録'!$D$5:$D$1004,$F533)))</ns0:f>
        <ns0:v/>
      </ns0:c>
      <ns0:c r="E533" s="12" t="str">
        <ns0:f>IF(OR(A533="",B533=""),"",MAX(0,TODAY()-A533))</ns0:f>
        <ns0:v/>
      </ns0:c>
      <ns0:c r="F533" s="9" t="str">
        <ns0:f>IFERROR(MATCH(ROW()-4,'販売記録'!$L$5:$L$1004,0),"")</ns0:f>
        <ns0:v/>
      </ns0:c>
    </ns0:row>
    <ns0:row r="534">
      <ns0:c r="A534" s="11" t="str">
        <ns0:f>IF($F534="","",IF(INDEX('販売記録'!$K$5:$K$1004,$F534)="","",INDEX('販売記録'!$K$5:$K$1004,$F534)))</ns0:f>
        <ns0:v/>
      </ns0:c>
      <ns0:c r="B534" s="9" t="str">
        <ns0:f>IF($F534="","",IF(INDEX('販売記録'!$B$5:$B$1004,$F534)="","",INDEX('販売記録'!$B$5:$B$1004,$F534)))</ns0:f>
        <ns0:v/>
      </ns0:c>
      <ns0:c r="C534" s="9" t="str">
        <ns0:f>IF($F534="","",IF(INDEX('販売記録'!$C$5:$C$1004,$F534)="","",INDEX('販売記録'!$C$5:$C$1004,$F534)))</ns0:f>
        <ns0:v/>
      </ns0:c>
      <ns0:c r="D534" s="8" t="str">
        <ns0:f>IF($F534="","",IF(INDEX('販売記録'!$D$5:$D$1004,$F534)="","",INDEX('販売記録'!$D$5:$D$1004,$F534)))</ns0:f>
        <ns0:v/>
      </ns0:c>
      <ns0:c r="E534" s="12" t="str">
        <ns0:f>IF(OR(A534="",B534=""),"",MAX(0,TODAY()-A534))</ns0:f>
        <ns0:v/>
      </ns0:c>
      <ns0:c r="F534" s="9" t="str">
        <ns0:f>IFERROR(MATCH(ROW()-4,'販売記録'!$L$5:$L$1004,0),"")</ns0:f>
        <ns0:v/>
      </ns0:c>
    </ns0:row>
    <ns0:row r="535">
      <ns0:c r="A535" s="11" t="str">
        <ns0:f>IF($F535="","",IF(INDEX('販売記録'!$K$5:$K$1004,$F535)="","",INDEX('販売記録'!$K$5:$K$1004,$F535)))</ns0:f>
        <ns0:v/>
      </ns0:c>
      <ns0:c r="B535" s="9" t="str">
        <ns0:f>IF($F535="","",IF(INDEX('販売記録'!$B$5:$B$1004,$F535)="","",INDEX('販売記録'!$B$5:$B$1004,$F535)))</ns0:f>
        <ns0:v/>
      </ns0:c>
      <ns0:c r="C535" s="9" t="str">
        <ns0:f>IF($F535="","",IF(INDEX('販売記録'!$C$5:$C$1004,$F535)="","",INDEX('販売記録'!$C$5:$C$1004,$F535)))</ns0:f>
        <ns0:v/>
      </ns0:c>
      <ns0:c r="D535" s="8" t="str">
        <ns0:f>IF($F535="","",IF(INDEX('販売記録'!$D$5:$D$1004,$F535)="","",INDEX('販売記録'!$D$5:$D$1004,$F535)))</ns0:f>
        <ns0:v/>
      </ns0:c>
      <ns0:c r="E535" s="12" t="str">
        <ns0:f>IF(OR(A535="",B535=""),"",MAX(0,TODAY()-A535))</ns0:f>
        <ns0:v/>
      </ns0:c>
      <ns0:c r="F535" s="9" t="str">
        <ns0:f>IFERROR(MATCH(ROW()-4,'販売記録'!$L$5:$L$1004,0),"")</ns0:f>
        <ns0:v/>
      </ns0:c>
    </ns0:row>
    <ns0:row r="536">
      <ns0:c r="A536" s="11" t="str">
        <ns0:f>IF($F536="","",IF(INDEX('販売記録'!$K$5:$K$1004,$F536)="","",INDEX('販売記録'!$K$5:$K$1004,$F536)))</ns0:f>
        <ns0:v/>
      </ns0:c>
      <ns0:c r="B536" s="9" t="str">
        <ns0:f>IF($F536="","",IF(INDEX('販売記録'!$B$5:$B$1004,$F536)="","",INDEX('販売記録'!$B$5:$B$1004,$F536)))</ns0:f>
        <ns0:v/>
      </ns0:c>
      <ns0:c r="C536" s="9" t="str">
        <ns0:f>IF($F536="","",IF(INDEX('販売記録'!$C$5:$C$1004,$F536)="","",INDEX('販売記録'!$C$5:$C$1004,$F536)))</ns0:f>
        <ns0:v/>
      </ns0:c>
      <ns0:c r="D536" s="8" t="str">
        <ns0:f>IF($F536="","",IF(INDEX('販売記録'!$D$5:$D$1004,$F536)="","",INDEX('販売記録'!$D$5:$D$1004,$F536)))</ns0:f>
        <ns0:v/>
      </ns0:c>
      <ns0:c r="E536" s="12" t="str">
        <ns0:f>IF(OR(A536="",B536=""),"",MAX(0,TODAY()-A536))</ns0:f>
        <ns0:v/>
      </ns0:c>
      <ns0:c r="F536" s="9" t="str">
        <ns0:f>IFERROR(MATCH(ROW()-4,'販売記録'!$L$5:$L$1004,0),"")</ns0:f>
        <ns0:v/>
      </ns0:c>
    </ns0:row>
    <ns0:row r="537">
      <ns0:c r="A537" s="11" t="str">
        <ns0:f>IF($F537="","",IF(INDEX('販売記録'!$K$5:$K$1004,$F537)="","",INDEX('販売記録'!$K$5:$K$1004,$F537)))</ns0:f>
        <ns0:v/>
      </ns0:c>
      <ns0:c r="B537" s="9" t="str">
        <ns0:f>IF($F537="","",IF(INDEX('販売記録'!$B$5:$B$1004,$F537)="","",INDEX('販売記録'!$B$5:$B$1004,$F537)))</ns0:f>
        <ns0:v/>
      </ns0:c>
      <ns0:c r="C537" s="9" t="str">
        <ns0:f>IF($F537="","",IF(INDEX('販売記録'!$C$5:$C$1004,$F537)="","",INDEX('販売記録'!$C$5:$C$1004,$F537)))</ns0:f>
        <ns0:v/>
      </ns0:c>
      <ns0:c r="D537" s="8" t="str">
        <ns0:f>IF($F537="","",IF(INDEX('販売記録'!$D$5:$D$1004,$F537)="","",INDEX('販売記録'!$D$5:$D$1004,$F537)))</ns0:f>
        <ns0:v/>
      </ns0:c>
      <ns0:c r="E537" s="12" t="str">
        <ns0:f>IF(OR(A537="",B537=""),"",MAX(0,TODAY()-A537))</ns0:f>
        <ns0:v/>
      </ns0:c>
      <ns0:c r="F537" s="9" t="str">
        <ns0:f>IFERROR(MATCH(ROW()-4,'販売記録'!$L$5:$L$1004,0),"")</ns0:f>
        <ns0:v/>
      </ns0:c>
    </ns0:row>
    <ns0:row r="538">
      <ns0:c r="A538" s="11" t="str">
        <ns0:f>IF($F538="","",IF(INDEX('販売記録'!$K$5:$K$1004,$F538)="","",INDEX('販売記録'!$K$5:$K$1004,$F538)))</ns0:f>
        <ns0:v/>
      </ns0:c>
      <ns0:c r="B538" s="9" t="str">
        <ns0:f>IF($F538="","",IF(INDEX('販売記録'!$B$5:$B$1004,$F538)="","",INDEX('販売記録'!$B$5:$B$1004,$F538)))</ns0:f>
        <ns0:v/>
      </ns0:c>
      <ns0:c r="C538" s="9" t="str">
        <ns0:f>IF($F538="","",IF(INDEX('販売記録'!$C$5:$C$1004,$F538)="","",INDEX('販売記録'!$C$5:$C$1004,$F538)))</ns0:f>
        <ns0:v/>
      </ns0:c>
      <ns0:c r="D538" s="8" t="str">
        <ns0:f>IF($F538="","",IF(INDEX('販売記録'!$D$5:$D$1004,$F538)="","",INDEX('販売記録'!$D$5:$D$1004,$F538)))</ns0:f>
        <ns0:v/>
      </ns0:c>
      <ns0:c r="E538" s="12" t="str">
        <ns0:f>IF(OR(A538="",B538=""),"",MAX(0,TODAY()-A538))</ns0:f>
        <ns0:v/>
      </ns0:c>
      <ns0:c r="F538" s="9" t="str">
        <ns0:f>IFERROR(MATCH(ROW()-4,'販売記録'!$L$5:$L$1004,0),"")</ns0:f>
        <ns0:v/>
      </ns0:c>
    </ns0:row>
    <ns0:row r="539">
      <ns0:c r="A539" s="11" t="str">
        <ns0:f>IF($F539="","",IF(INDEX('販売記録'!$K$5:$K$1004,$F539)="","",INDEX('販売記録'!$K$5:$K$1004,$F539)))</ns0:f>
        <ns0:v/>
      </ns0:c>
      <ns0:c r="B539" s="9" t="str">
        <ns0:f>IF($F539="","",IF(INDEX('販売記録'!$B$5:$B$1004,$F539)="","",INDEX('販売記録'!$B$5:$B$1004,$F539)))</ns0:f>
        <ns0:v/>
      </ns0:c>
      <ns0:c r="C539" s="9" t="str">
        <ns0:f>IF($F539="","",IF(INDEX('販売記録'!$C$5:$C$1004,$F539)="","",INDEX('販売記録'!$C$5:$C$1004,$F539)))</ns0:f>
        <ns0:v/>
      </ns0:c>
      <ns0:c r="D539" s="8" t="str">
        <ns0:f>IF($F539="","",IF(INDEX('販売記録'!$D$5:$D$1004,$F539)="","",INDEX('販売記録'!$D$5:$D$1004,$F539)))</ns0:f>
        <ns0:v/>
      </ns0:c>
      <ns0:c r="E539" s="12" t="str">
        <ns0:f>IF(OR(A539="",B539=""),"",MAX(0,TODAY()-A539))</ns0:f>
        <ns0:v/>
      </ns0:c>
      <ns0:c r="F539" s="9" t="str">
        <ns0:f>IFERROR(MATCH(ROW()-4,'販売記録'!$L$5:$L$1004,0),"")</ns0:f>
        <ns0:v/>
      </ns0:c>
    </ns0:row>
    <ns0:row r="540">
      <ns0:c r="A540" s="11" t="str">
        <ns0:f>IF($F540="","",IF(INDEX('販売記録'!$K$5:$K$1004,$F540)="","",INDEX('販売記録'!$K$5:$K$1004,$F540)))</ns0:f>
        <ns0:v/>
      </ns0:c>
      <ns0:c r="B540" s="9" t="str">
        <ns0:f>IF($F540="","",IF(INDEX('販売記録'!$B$5:$B$1004,$F540)="","",INDEX('販売記録'!$B$5:$B$1004,$F540)))</ns0:f>
        <ns0:v/>
      </ns0:c>
      <ns0:c r="C540" s="9" t="str">
        <ns0:f>IF($F540="","",IF(INDEX('販売記録'!$C$5:$C$1004,$F540)="","",INDEX('販売記録'!$C$5:$C$1004,$F540)))</ns0:f>
        <ns0:v/>
      </ns0:c>
      <ns0:c r="D540" s="8" t="str">
        <ns0:f>IF($F540="","",IF(INDEX('販売記録'!$D$5:$D$1004,$F540)="","",INDEX('販売記録'!$D$5:$D$1004,$F540)))</ns0:f>
        <ns0:v/>
      </ns0:c>
      <ns0:c r="E540" s="12" t="str">
        <ns0:f>IF(OR(A540="",B540=""),"",MAX(0,TODAY()-A540))</ns0:f>
        <ns0:v/>
      </ns0:c>
      <ns0:c r="F540" s="9" t="str">
        <ns0:f>IFERROR(MATCH(ROW()-4,'販売記録'!$L$5:$L$1004,0),"")</ns0:f>
        <ns0:v/>
      </ns0:c>
    </ns0:row>
    <ns0:row r="541">
      <ns0:c r="A541" s="11" t="str">
        <ns0:f>IF($F541="","",IF(INDEX('販売記録'!$K$5:$K$1004,$F541)="","",INDEX('販売記録'!$K$5:$K$1004,$F541)))</ns0:f>
        <ns0:v/>
      </ns0:c>
      <ns0:c r="B541" s="9" t="str">
        <ns0:f>IF($F541="","",IF(INDEX('販売記録'!$B$5:$B$1004,$F541)="","",INDEX('販売記録'!$B$5:$B$1004,$F541)))</ns0:f>
        <ns0:v/>
      </ns0:c>
      <ns0:c r="C541" s="9" t="str">
        <ns0:f>IF($F541="","",IF(INDEX('販売記録'!$C$5:$C$1004,$F541)="","",INDEX('販売記録'!$C$5:$C$1004,$F541)))</ns0:f>
        <ns0:v/>
      </ns0:c>
      <ns0:c r="D541" s="8" t="str">
        <ns0:f>IF($F541="","",IF(INDEX('販売記録'!$D$5:$D$1004,$F541)="","",INDEX('販売記録'!$D$5:$D$1004,$F541)))</ns0:f>
        <ns0:v/>
      </ns0:c>
      <ns0:c r="E541" s="12" t="str">
        <ns0:f>IF(OR(A541="",B541=""),"",MAX(0,TODAY()-A541))</ns0:f>
        <ns0:v/>
      </ns0:c>
      <ns0:c r="F541" s="9" t="str">
        <ns0:f>IFERROR(MATCH(ROW()-4,'販売記録'!$L$5:$L$1004,0),"")</ns0:f>
        <ns0:v/>
      </ns0:c>
    </ns0:row>
    <ns0:row r="542">
      <ns0:c r="A542" s="11" t="str">
        <ns0:f>IF($F542="","",IF(INDEX('販売記録'!$K$5:$K$1004,$F542)="","",INDEX('販売記録'!$K$5:$K$1004,$F542)))</ns0:f>
        <ns0:v/>
      </ns0:c>
      <ns0:c r="B542" s="9" t="str">
        <ns0:f>IF($F542="","",IF(INDEX('販売記録'!$B$5:$B$1004,$F542)="","",INDEX('販売記録'!$B$5:$B$1004,$F542)))</ns0:f>
        <ns0:v/>
      </ns0:c>
      <ns0:c r="C542" s="9" t="str">
        <ns0:f>IF($F542="","",IF(INDEX('販売記録'!$C$5:$C$1004,$F542)="","",INDEX('販売記録'!$C$5:$C$1004,$F542)))</ns0:f>
        <ns0:v/>
      </ns0:c>
      <ns0:c r="D542" s="8" t="str">
        <ns0:f>IF($F542="","",IF(INDEX('販売記録'!$D$5:$D$1004,$F542)="","",INDEX('販売記録'!$D$5:$D$1004,$F542)))</ns0:f>
        <ns0:v/>
      </ns0:c>
      <ns0:c r="E542" s="12" t="str">
        <ns0:f>IF(OR(A542="",B542=""),"",MAX(0,TODAY()-A542))</ns0:f>
        <ns0:v/>
      </ns0:c>
      <ns0:c r="F542" s="9" t="str">
        <ns0:f>IFERROR(MATCH(ROW()-4,'販売記録'!$L$5:$L$1004,0),"")</ns0:f>
        <ns0:v/>
      </ns0:c>
    </ns0:row>
    <ns0:row r="543">
      <ns0:c r="A543" s="11" t="str">
        <ns0:f>IF($F543="","",IF(INDEX('販売記録'!$K$5:$K$1004,$F543)="","",INDEX('販売記録'!$K$5:$K$1004,$F543)))</ns0:f>
        <ns0:v/>
      </ns0:c>
      <ns0:c r="B543" s="9" t="str">
        <ns0:f>IF($F543="","",IF(INDEX('販売記録'!$B$5:$B$1004,$F543)="","",INDEX('販売記録'!$B$5:$B$1004,$F543)))</ns0:f>
        <ns0:v/>
      </ns0:c>
      <ns0:c r="C543" s="9" t="str">
        <ns0:f>IF($F543="","",IF(INDEX('販売記録'!$C$5:$C$1004,$F543)="","",INDEX('販売記録'!$C$5:$C$1004,$F543)))</ns0:f>
        <ns0:v/>
      </ns0:c>
      <ns0:c r="D543" s="8" t="str">
        <ns0:f>IF($F543="","",IF(INDEX('販売記録'!$D$5:$D$1004,$F543)="","",INDEX('販売記録'!$D$5:$D$1004,$F543)))</ns0:f>
        <ns0:v/>
      </ns0:c>
      <ns0:c r="E543" s="12" t="str">
        <ns0:f>IF(OR(A543="",B543=""),"",MAX(0,TODAY()-A543))</ns0:f>
        <ns0:v/>
      </ns0:c>
      <ns0:c r="F543" s="9" t="str">
        <ns0:f>IFERROR(MATCH(ROW()-4,'販売記録'!$L$5:$L$1004,0),"")</ns0:f>
        <ns0:v/>
      </ns0:c>
    </ns0:row>
    <ns0:row r="544">
      <ns0:c r="A544" s="11" t="str">
        <ns0:f>IF($F544="","",IF(INDEX('販売記録'!$K$5:$K$1004,$F544)="","",INDEX('販売記録'!$K$5:$K$1004,$F544)))</ns0:f>
        <ns0:v/>
      </ns0:c>
      <ns0:c r="B544" s="9" t="str">
        <ns0:f>IF($F544="","",IF(INDEX('販売記録'!$B$5:$B$1004,$F544)="","",INDEX('販売記録'!$B$5:$B$1004,$F544)))</ns0:f>
        <ns0:v/>
      </ns0:c>
      <ns0:c r="C544" s="9" t="str">
        <ns0:f>IF($F544="","",IF(INDEX('販売記録'!$C$5:$C$1004,$F544)="","",INDEX('販売記録'!$C$5:$C$1004,$F544)))</ns0:f>
        <ns0:v/>
      </ns0:c>
      <ns0:c r="D544" s="8" t="str">
        <ns0:f>IF($F544="","",IF(INDEX('販売記録'!$D$5:$D$1004,$F544)="","",INDEX('販売記録'!$D$5:$D$1004,$F544)))</ns0:f>
        <ns0:v/>
      </ns0:c>
      <ns0:c r="E544" s="12" t="str">
        <ns0:f>IF(OR(A544="",B544=""),"",MAX(0,TODAY()-A544))</ns0:f>
        <ns0:v/>
      </ns0:c>
      <ns0:c r="F544" s="9" t="str">
        <ns0:f>IFERROR(MATCH(ROW()-4,'販売記録'!$L$5:$L$1004,0),"")</ns0:f>
        <ns0:v/>
      </ns0:c>
    </ns0:row>
    <ns0:row r="545">
      <ns0:c r="A545" s="11" t="str">
        <ns0:f>IF($F545="","",IF(INDEX('販売記録'!$K$5:$K$1004,$F545)="","",INDEX('販売記録'!$K$5:$K$1004,$F545)))</ns0:f>
        <ns0:v/>
      </ns0:c>
      <ns0:c r="B545" s="9" t="str">
        <ns0:f>IF($F545="","",IF(INDEX('販売記録'!$B$5:$B$1004,$F545)="","",INDEX('販売記録'!$B$5:$B$1004,$F545)))</ns0:f>
        <ns0:v/>
      </ns0:c>
      <ns0:c r="C545" s="9" t="str">
        <ns0:f>IF($F545="","",IF(INDEX('販売記録'!$C$5:$C$1004,$F545)="","",INDEX('販売記録'!$C$5:$C$1004,$F545)))</ns0:f>
        <ns0:v/>
      </ns0:c>
      <ns0:c r="D545" s="8" t="str">
        <ns0:f>IF($F545="","",IF(INDEX('販売記録'!$D$5:$D$1004,$F545)="","",INDEX('販売記録'!$D$5:$D$1004,$F545)))</ns0:f>
        <ns0:v/>
      </ns0:c>
      <ns0:c r="E545" s="12" t="str">
        <ns0:f>IF(OR(A545="",B545=""),"",MAX(0,TODAY()-A545))</ns0:f>
        <ns0:v/>
      </ns0:c>
      <ns0:c r="F545" s="9" t="str">
        <ns0:f>IFERROR(MATCH(ROW()-4,'販売記録'!$L$5:$L$1004,0),"")</ns0:f>
        <ns0:v/>
      </ns0:c>
    </ns0:row>
    <ns0:row r="546">
      <ns0:c r="A546" s="11" t="str">
        <ns0:f>IF($F546="","",IF(INDEX('販売記録'!$K$5:$K$1004,$F546)="","",INDEX('販売記録'!$K$5:$K$1004,$F546)))</ns0:f>
        <ns0:v/>
      </ns0:c>
      <ns0:c r="B546" s="9" t="str">
        <ns0:f>IF($F546="","",IF(INDEX('販売記録'!$B$5:$B$1004,$F546)="","",INDEX('販売記録'!$B$5:$B$1004,$F546)))</ns0:f>
        <ns0:v/>
      </ns0:c>
      <ns0:c r="C546" s="9" t="str">
        <ns0:f>IF($F546="","",IF(INDEX('販売記録'!$C$5:$C$1004,$F546)="","",INDEX('販売記録'!$C$5:$C$1004,$F546)))</ns0:f>
        <ns0:v/>
      </ns0:c>
      <ns0:c r="D546" s="8" t="str">
        <ns0:f>IF($F546="","",IF(INDEX('販売記録'!$D$5:$D$1004,$F546)="","",INDEX('販売記録'!$D$5:$D$1004,$F546)))</ns0:f>
        <ns0:v/>
      </ns0:c>
      <ns0:c r="E546" s="12" t="str">
        <ns0:f>IF(OR(A546="",B546=""),"",MAX(0,TODAY()-A546))</ns0:f>
        <ns0:v/>
      </ns0:c>
      <ns0:c r="F546" s="9" t="str">
        <ns0:f>IFERROR(MATCH(ROW()-4,'販売記録'!$L$5:$L$1004,0),"")</ns0:f>
        <ns0:v/>
      </ns0:c>
    </ns0:row>
    <ns0:row r="547">
      <ns0:c r="A547" s="11" t="str">
        <ns0:f>IF($F547="","",IF(INDEX('販売記録'!$K$5:$K$1004,$F547)="","",INDEX('販売記録'!$K$5:$K$1004,$F547)))</ns0:f>
        <ns0:v/>
      </ns0:c>
      <ns0:c r="B547" s="9" t="str">
        <ns0:f>IF($F547="","",IF(INDEX('販売記録'!$B$5:$B$1004,$F547)="","",INDEX('販売記録'!$B$5:$B$1004,$F547)))</ns0:f>
        <ns0:v/>
      </ns0:c>
      <ns0:c r="C547" s="9" t="str">
        <ns0:f>IF($F547="","",IF(INDEX('販売記録'!$C$5:$C$1004,$F547)="","",INDEX('販売記録'!$C$5:$C$1004,$F547)))</ns0:f>
        <ns0:v/>
      </ns0:c>
      <ns0:c r="D547" s="8" t="str">
        <ns0:f>IF($F547="","",IF(INDEX('販売記録'!$D$5:$D$1004,$F547)="","",INDEX('販売記録'!$D$5:$D$1004,$F547)))</ns0:f>
        <ns0:v/>
      </ns0:c>
      <ns0:c r="E547" s="12" t="str">
        <ns0:f>IF(OR(A547="",B547=""),"",MAX(0,TODAY()-A547))</ns0:f>
        <ns0:v/>
      </ns0:c>
      <ns0:c r="F547" s="9" t="str">
        <ns0:f>IFERROR(MATCH(ROW()-4,'販売記録'!$L$5:$L$1004,0),"")</ns0:f>
        <ns0:v/>
      </ns0:c>
    </ns0:row>
    <ns0:row r="548">
      <ns0:c r="A548" s="11" t="str">
        <ns0:f>IF($F548="","",IF(INDEX('販売記録'!$K$5:$K$1004,$F548)="","",INDEX('販売記録'!$K$5:$K$1004,$F548)))</ns0:f>
        <ns0:v/>
      </ns0:c>
      <ns0:c r="B548" s="9" t="str">
        <ns0:f>IF($F548="","",IF(INDEX('販売記録'!$B$5:$B$1004,$F548)="","",INDEX('販売記録'!$B$5:$B$1004,$F548)))</ns0:f>
        <ns0:v/>
      </ns0:c>
      <ns0:c r="C548" s="9" t="str">
        <ns0:f>IF($F548="","",IF(INDEX('販売記録'!$C$5:$C$1004,$F548)="","",INDEX('販売記録'!$C$5:$C$1004,$F548)))</ns0:f>
        <ns0:v/>
      </ns0:c>
      <ns0:c r="D548" s="8" t="str">
        <ns0:f>IF($F548="","",IF(INDEX('販売記録'!$D$5:$D$1004,$F548)="","",INDEX('販売記録'!$D$5:$D$1004,$F548)))</ns0:f>
        <ns0:v/>
      </ns0:c>
      <ns0:c r="E548" s="12" t="str">
        <ns0:f>IF(OR(A548="",B548=""),"",MAX(0,TODAY()-A548))</ns0:f>
        <ns0:v/>
      </ns0:c>
      <ns0:c r="F548" s="9" t="str">
        <ns0:f>IFERROR(MATCH(ROW()-4,'販売記録'!$L$5:$L$1004,0),"")</ns0:f>
        <ns0:v/>
      </ns0:c>
    </ns0:row>
    <ns0:row r="549">
      <ns0:c r="A549" s="11" t="str">
        <ns0:f>IF($F549="","",IF(INDEX('販売記録'!$K$5:$K$1004,$F549)="","",INDEX('販売記録'!$K$5:$K$1004,$F549)))</ns0:f>
        <ns0:v/>
      </ns0:c>
      <ns0:c r="B549" s="9" t="str">
        <ns0:f>IF($F549="","",IF(INDEX('販売記録'!$B$5:$B$1004,$F549)="","",INDEX('販売記録'!$B$5:$B$1004,$F549)))</ns0:f>
        <ns0:v/>
      </ns0:c>
      <ns0:c r="C549" s="9" t="str">
        <ns0:f>IF($F549="","",IF(INDEX('販売記録'!$C$5:$C$1004,$F549)="","",INDEX('販売記録'!$C$5:$C$1004,$F549)))</ns0:f>
        <ns0:v/>
      </ns0:c>
      <ns0:c r="D549" s="8" t="str">
        <ns0:f>IF($F549="","",IF(INDEX('販売記録'!$D$5:$D$1004,$F549)="","",INDEX('販売記録'!$D$5:$D$1004,$F549)))</ns0:f>
        <ns0:v/>
      </ns0:c>
      <ns0:c r="E549" s="12" t="str">
        <ns0:f>IF(OR(A549="",B549=""),"",MAX(0,TODAY()-A549))</ns0:f>
        <ns0:v/>
      </ns0:c>
      <ns0:c r="F549" s="9" t="str">
        <ns0:f>IFERROR(MATCH(ROW()-4,'販売記録'!$L$5:$L$1004,0),"")</ns0:f>
        <ns0:v/>
      </ns0:c>
    </ns0:row>
    <ns0:row r="550">
      <ns0:c r="A550" s="11" t="str">
        <ns0:f>IF($F550="","",IF(INDEX('販売記録'!$K$5:$K$1004,$F550)="","",INDEX('販売記録'!$K$5:$K$1004,$F550)))</ns0:f>
        <ns0:v/>
      </ns0:c>
      <ns0:c r="B550" s="9" t="str">
        <ns0:f>IF($F550="","",IF(INDEX('販売記録'!$B$5:$B$1004,$F550)="","",INDEX('販売記録'!$B$5:$B$1004,$F550)))</ns0:f>
        <ns0:v/>
      </ns0:c>
      <ns0:c r="C550" s="9" t="str">
        <ns0:f>IF($F550="","",IF(INDEX('販売記録'!$C$5:$C$1004,$F550)="","",INDEX('販売記録'!$C$5:$C$1004,$F550)))</ns0:f>
        <ns0:v/>
      </ns0:c>
      <ns0:c r="D550" s="8" t="str">
        <ns0:f>IF($F550="","",IF(INDEX('販売記録'!$D$5:$D$1004,$F550)="","",INDEX('販売記録'!$D$5:$D$1004,$F550)))</ns0:f>
        <ns0:v/>
      </ns0:c>
      <ns0:c r="E550" s="12" t="str">
        <ns0:f>IF(OR(A550="",B550=""),"",MAX(0,TODAY()-A550))</ns0:f>
        <ns0:v/>
      </ns0:c>
      <ns0:c r="F550" s="9" t="str">
        <ns0:f>IFERROR(MATCH(ROW()-4,'販売記録'!$L$5:$L$1004,0),"")</ns0:f>
        <ns0:v/>
      </ns0:c>
    </ns0:row>
    <ns0:row r="551">
      <ns0:c r="A551" s="11" t="str">
        <ns0:f>IF($F551="","",IF(INDEX('販売記録'!$K$5:$K$1004,$F551)="","",INDEX('販売記録'!$K$5:$K$1004,$F551)))</ns0:f>
        <ns0:v/>
      </ns0:c>
      <ns0:c r="B551" s="9" t="str">
        <ns0:f>IF($F551="","",IF(INDEX('販売記録'!$B$5:$B$1004,$F551)="","",INDEX('販売記録'!$B$5:$B$1004,$F551)))</ns0:f>
        <ns0:v/>
      </ns0:c>
      <ns0:c r="C551" s="9" t="str">
        <ns0:f>IF($F551="","",IF(INDEX('販売記録'!$C$5:$C$1004,$F551)="","",INDEX('販売記録'!$C$5:$C$1004,$F551)))</ns0:f>
        <ns0:v/>
      </ns0:c>
      <ns0:c r="D551" s="8" t="str">
        <ns0:f>IF($F551="","",IF(INDEX('販売記録'!$D$5:$D$1004,$F551)="","",INDEX('販売記録'!$D$5:$D$1004,$F551)))</ns0:f>
        <ns0:v/>
      </ns0:c>
      <ns0:c r="E551" s="12" t="str">
        <ns0:f>IF(OR(A551="",B551=""),"",MAX(0,TODAY()-A551))</ns0:f>
        <ns0:v/>
      </ns0:c>
      <ns0:c r="F551" s="9" t="str">
        <ns0:f>IFERROR(MATCH(ROW()-4,'販売記録'!$L$5:$L$1004,0),"")</ns0:f>
        <ns0:v/>
      </ns0:c>
    </ns0:row>
    <ns0:row r="552">
      <ns0:c r="A552" s="11" t="str">
        <ns0:f>IF($F552="","",IF(INDEX('販売記録'!$K$5:$K$1004,$F552)="","",INDEX('販売記録'!$K$5:$K$1004,$F552)))</ns0:f>
        <ns0:v/>
      </ns0:c>
      <ns0:c r="B552" s="9" t="str">
        <ns0:f>IF($F552="","",IF(INDEX('販売記録'!$B$5:$B$1004,$F552)="","",INDEX('販売記録'!$B$5:$B$1004,$F552)))</ns0:f>
        <ns0:v/>
      </ns0:c>
      <ns0:c r="C552" s="9" t="str">
        <ns0:f>IF($F552="","",IF(INDEX('販売記録'!$C$5:$C$1004,$F552)="","",INDEX('販売記録'!$C$5:$C$1004,$F552)))</ns0:f>
        <ns0:v/>
      </ns0:c>
      <ns0:c r="D552" s="8" t="str">
        <ns0:f>IF($F552="","",IF(INDEX('販売記録'!$D$5:$D$1004,$F552)="","",INDEX('販売記録'!$D$5:$D$1004,$F552)))</ns0:f>
        <ns0:v/>
      </ns0:c>
      <ns0:c r="E552" s="12" t="str">
        <ns0:f>IF(OR(A552="",B552=""),"",MAX(0,TODAY()-A552))</ns0:f>
        <ns0:v/>
      </ns0:c>
      <ns0:c r="F552" s="9" t="str">
        <ns0:f>IFERROR(MATCH(ROW()-4,'販売記録'!$L$5:$L$1004,0),"")</ns0:f>
        <ns0:v/>
      </ns0:c>
    </ns0:row>
    <ns0:row r="553">
      <ns0:c r="A553" s="11" t="str">
        <ns0:f>IF($F553="","",IF(INDEX('販売記録'!$K$5:$K$1004,$F553)="","",INDEX('販売記録'!$K$5:$K$1004,$F553)))</ns0:f>
        <ns0:v/>
      </ns0:c>
      <ns0:c r="B553" s="9" t="str">
        <ns0:f>IF($F553="","",IF(INDEX('販売記録'!$B$5:$B$1004,$F553)="","",INDEX('販売記録'!$B$5:$B$1004,$F553)))</ns0:f>
        <ns0:v/>
      </ns0:c>
      <ns0:c r="C553" s="9" t="str">
        <ns0:f>IF($F553="","",IF(INDEX('販売記録'!$C$5:$C$1004,$F553)="","",INDEX('販売記録'!$C$5:$C$1004,$F553)))</ns0:f>
        <ns0:v/>
      </ns0:c>
      <ns0:c r="D553" s="8" t="str">
        <ns0:f>IF($F553="","",IF(INDEX('販売記録'!$D$5:$D$1004,$F553)="","",INDEX('販売記録'!$D$5:$D$1004,$F553)))</ns0:f>
        <ns0:v/>
      </ns0:c>
      <ns0:c r="E553" s="12" t="str">
        <ns0:f>IF(OR(A553="",B553=""),"",MAX(0,TODAY()-A553))</ns0:f>
        <ns0:v/>
      </ns0:c>
      <ns0:c r="F553" s="9" t="str">
        <ns0:f>IFERROR(MATCH(ROW()-4,'販売記録'!$L$5:$L$1004,0),"")</ns0:f>
        <ns0:v/>
      </ns0:c>
    </ns0:row>
    <ns0:row r="554">
      <ns0:c r="A554" s="11" t="str">
        <ns0:f>IF($F554="","",IF(INDEX('販売記録'!$K$5:$K$1004,$F554)="","",INDEX('販売記録'!$K$5:$K$1004,$F554)))</ns0:f>
        <ns0:v/>
      </ns0:c>
      <ns0:c r="B554" s="9" t="str">
        <ns0:f>IF($F554="","",IF(INDEX('販売記録'!$B$5:$B$1004,$F554)="","",INDEX('販売記録'!$B$5:$B$1004,$F554)))</ns0:f>
        <ns0:v/>
      </ns0:c>
      <ns0:c r="C554" s="9" t="str">
        <ns0:f>IF($F554="","",IF(INDEX('販売記録'!$C$5:$C$1004,$F554)="","",INDEX('販売記録'!$C$5:$C$1004,$F554)))</ns0:f>
        <ns0:v/>
      </ns0:c>
      <ns0:c r="D554" s="8" t="str">
        <ns0:f>IF($F554="","",IF(INDEX('販売記録'!$D$5:$D$1004,$F554)="","",INDEX('販売記録'!$D$5:$D$1004,$F554)))</ns0:f>
        <ns0:v/>
      </ns0:c>
      <ns0:c r="E554" s="12" t="str">
        <ns0:f>IF(OR(A554="",B554=""),"",MAX(0,TODAY()-A554))</ns0:f>
        <ns0:v/>
      </ns0:c>
      <ns0:c r="F554" s="9" t="str">
        <ns0:f>IFERROR(MATCH(ROW()-4,'販売記録'!$L$5:$L$1004,0),"")</ns0:f>
        <ns0:v/>
      </ns0:c>
    </ns0:row>
    <ns0:row r="555">
      <ns0:c r="A555" s="11" t="str">
        <ns0:f>IF($F555="","",IF(INDEX('販売記録'!$K$5:$K$1004,$F555)="","",INDEX('販売記録'!$K$5:$K$1004,$F555)))</ns0:f>
        <ns0:v/>
      </ns0:c>
      <ns0:c r="B555" s="9" t="str">
        <ns0:f>IF($F555="","",IF(INDEX('販売記録'!$B$5:$B$1004,$F555)="","",INDEX('販売記録'!$B$5:$B$1004,$F555)))</ns0:f>
        <ns0:v/>
      </ns0:c>
      <ns0:c r="C555" s="9" t="str">
        <ns0:f>IF($F555="","",IF(INDEX('販売記録'!$C$5:$C$1004,$F555)="","",INDEX('販売記録'!$C$5:$C$1004,$F555)))</ns0:f>
        <ns0:v/>
      </ns0:c>
      <ns0:c r="D555" s="8" t="str">
        <ns0:f>IF($F555="","",IF(INDEX('販売記録'!$D$5:$D$1004,$F555)="","",INDEX('販売記録'!$D$5:$D$1004,$F555)))</ns0:f>
        <ns0:v/>
      </ns0:c>
      <ns0:c r="E555" s="12" t="str">
        <ns0:f>IF(OR(A555="",B555=""),"",MAX(0,TODAY()-A555))</ns0:f>
        <ns0:v/>
      </ns0:c>
      <ns0:c r="F555" s="9" t="str">
        <ns0:f>IFERROR(MATCH(ROW()-4,'販売記録'!$L$5:$L$1004,0),"")</ns0:f>
        <ns0:v/>
      </ns0:c>
    </ns0:row>
    <ns0:row r="556">
      <ns0:c r="A556" s="11" t="str">
        <ns0:f>IF($F556="","",IF(INDEX('販売記録'!$K$5:$K$1004,$F556)="","",INDEX('販売記録'!$K$5:$K$1004,$F556)))</ns0:f>
        <ns0:v/>
      </ns0:c>
      <ns0:c r="B556" s="9" t="str">
        <ns0:f>IF($F556="","",IF(INDEX('販売記録'!$B$5:$B$1004,$F556)="","",INDEX('販売記録'!$B$5:$B$1004,$F556)))</ns0:f>
        <ns0:v/>
      </ns0:c>
      <ns0:c r="C556" s="9" t="str">
        <ns0:f>IF($F556="","",IF(INDEX('販売記録'!$C$5:$C$1004,$F556)="","",INDEX('販売記録'!$C$5:$C$1004,$F556)))</ns0:f>
        <ns0:v/>
      </ns0:c>
      <ns0:c r="D556" s="8" t="str">
        <ns0:f>IF($F556="","",IF(INDEX('販売記録'!$D$5:$D$1004,$F556)="","",INDEX('販売記録'!$D$5:$D$1004,$F556)))</ns0:f>
        <ns0:v/>
      </ns0:c>
      <ns0:c r="E556" s="12" t="str">
        <ns0:f>IF(OR(A556="",B556=""),"",MAX(0,TODAY()-A556))</ns0:f>
        <ns0:v/>
      </ns0:c>
      <ns0:c r="F556" s="9" t="str">
        <ns0:f>IFERROR(MATCH(ROW()-4,'販売記録'!$L$5:$L$1004,0),"")</ns0:f>
        <ns0:v/>
      </ns0:c>
    </ns0:row>
    <ns0:row r="557">
      <ns0:c r="A557" s="11" t="str">
        <ns0:f>IF($F557="","",IF(INDEX('販売記録'!$K$5:$K$1004,$F557)="","",INDEX('販売記録'!$K$5:$K$1004,$F557)))</ns0:f>
        <ns0:v/>
      </ns0:c>
      <ns0:c r="B557" s="9" t="str">
        <ns0:f>IF($F557="","",IF(INDEX('販売記録'!$B$5:$B$1004,$F557)="","",INDEX('販売記録'!$B$5:$B$1004,$F557)))</ns0:f>
        <ns0:v/>
      </ns0:c>
      <ns0:c r="C557" s="9" t="str">
        <ns0:f>IF($F557="","",IF(INDEX('販売記録'!$C$5:$C$1004,$F557)="","",INDEX('販売記録'!$C$5:$C$1004,$F557)))</ns0:f>
        <ns0:v/>
      </ns0:c>
      <ns0:c r="D557" s="8" t="str">
        <ns0:f>IF($F557="","",IF(INDEX('販売記録'!$D$5:$D$1004,$F557)="","",INDEX('販売記録'!$D$5:$D$1004,$F557)))</ns0:f>
        <ns0:v/>
      </ns0:c>
      <ns0:c r="E557" s="12" t="str">
        <ns0:f>IF(OR(A557="",B557=""),"",MAX(0,TODAY()-A557))</ns0:f>
        <ns0:v/>
      </ns0:c>
      <ns0:c r="F557" s="9" t="str">
        <ns0:f>IFERROR(MATCH(ROW()-4,'販売記録'!$L$5:$L$1004,0),"")</ns0:f>
        <ns0:v/>
      </ns0:c>
    </ns0:row>
    <ns0:row r="558">
      <ns0:c r="A558" s="11" t="str">
        <ns0:f>IF($F558="","",IF(INDEX('販売記録'!$K$5:$K$1004,$F558)="","",INDEX('販売記録'!$K$5:$K$1004,$F558)))</ns0:f>
        <ns0:v/>
      </ns0:c>
      <ns0:c r="B558" s="9" t="str">
        <ns0:f>IF($F558="","",IF(INDEX('販売記録'!$B$5:$B$1004,$F558)="","",INDEX('販売記録'!$B$5:$B$1004,$F558)))</ns0:f>
        <ns0:v/>
      </ns0:c>
      <ns0:c r="C558" s="9" t="str">
        <ns0:f>IF($F558="","",IF(INDEX('販売記録'!$C$5:$C$1004,$F558)="","",INDEX('販売記録'!$C$5:$C$1004,$F558)))</ns0:f>
        <ns0:v/>
      </ns0:c>
      <ns0:c r="D558" s="8" t="str">
        <ns0:f>IF($F558="","",IF(INDEX('販売記録'!$D$5:$D$1004,$F558)="","",INDEX('販売記録'!$D$5:$D$1004,$F558)))</ns0:f>
        <ns0:v/>
      </ns0:c>
      <ns0:c r="E558" s="12" t="str">
        <ns0:f>IF(OR(A558="",B558=""),"",MAX(0,TODAY()-A558))</ns0:f>
        <ns0:v/>
      </ns0:c>
      <ns0:c r="F558" s="9" t="str">
        <ns0:f>IFERROR(MATCH(ROW()-4,'販売記録'!$L$5:$L$1004,0),"")</ns0:f>
        <ns0:v/>
      </ns0:c>
    </ns0:row>
    <ns0:row r="559">
      <ns0:c r="A559" s="11" t="str">
        <ns0:f>IF($F559="","",IF(INDEX('販売記録'!$K$5:$K$1004,$F559)="","",INDEX('販売記録'!$K$5:$K$1004,$F559)))</ns0:f>
        <ns0:v/>
      </ns0:c>
      <ns0:c r="B559" s="9" t="str">
        <ns0:f>IF($F559="","",IF(INDEX('販売記録'!$B$5:$B$1004,$F559)="","",INDEX('販売記録'!$B$5:$B$1004,$F559)))</ns0:f>
        <ns0:v/>
      </ns0:c>
      <ns0:c r="C559" s="9" t="str">
        <ns0:f>IF($F559="","",IF(INDEX('販売記録'!$C$5:$C$1004,$F559)="","",INDEX('販売記録'!$C$5:$C$1004,$F559)))</ns0:f>
        <ns0:v/>
      </ns0:c>
      <ns0:c r="D559" s="8" t="str">
        <ns0:f>IF($F559="","",IF(INDEX('販売記録'!$D$5:$D$1004,$F559)="","",INDEX('販売記録'!$D$5:$D$1004,$F559)))</ns0:f>
        <ns0:v/>
      </ns0:c>
      <ns0:c r="E559" s="12" t="str">
        <ns0:f>IF(OR(A559="",B559=""),"",MAX(0,TODAY()-A559))</ns0:f>
        <ns0:v/>
      </ns0:c>
      <ns0:c r="F559" s="9" t="str">
        <ns0:f>IFERROR(MATCH(ROW()-4,'販売記録'!$L$5:$L$1004,0),"")</ns0:f>
        <ns0:v/>
      </ns0:c>
    </ns0:row>
    <ns0:row r="560">
      <ns0:c r="A560" s="11" t="str">
        <ns0:f>IF($F560="","",IF(INDEX('販売記録'!$K$5:$K$1004,$F560)="","",INDEX('販売記録'!$K$5:$K$1004,$F560)))</ns0:f>
        <ns0:v/>
      </ns0:c>
      <ns0:c r="B560" s="9" t="str">
        <ns0:f>IF($F560="","",IF(INDEX('販売記録'!$B$5:$B$1004,$F560)="","",INDEX('販売記録'!$B$5:$B$1004,$F560)))</ns0:f>
        <ns0:v/>
      </ns0:c>
      <ns0:c r="C560" s="9" t="str">
        <ns0:f>IF($F560="","",IF(INDEX('販売記録'!$C$5:$C$1004,$F560)="","",INDEX('販売記録'!$C$5:$C$1004,$F560)))</ns0:f>
        <ns0:v/>
      </ns0:c>
      <ns0:c r="D560" s="8" t="str">
        <ns0:f>IF($F560="","",IF(INDEX('販売記録'!$D$5:$D$1004,$F560)="","",INDEX('販売記録'!$D$5:$D$1004,$F560)))</ns0:f>
        <ns0:v/>
      </ns0:c>
      <ns0:c r="E560" s="12" t="str">
        <ns0:f>IF(OR(A560="",B560=""),"",MAX(0,TODAY()-A560))</ns0:f>
        <ns0:v/>
      </ns0:c>
      <ns0:c r="F560" s="9" t="str">
        <ns0:f>IFERROR(MATCH(ROW()-4,'販売記録'!$L$5:$L$1004,0),"")</ns0:f>
        <ns0:v/>
      </ns0:c>
    </ns0:row>
    <ns0:row r="561">
      <ns0:c r="A561" s="11" t="str">
        <ns0:f>IF($F561="","",IF(INDEX('販売記録'!$K$5:$K$1004,$F561)="","",INDEX('販売記録'!$K$5:$K$1004,$F561)))</ns0:f>
        <ns0:v/>
      </ns0:c>
      <ns0:c r="B561" s="9" t="str">
        <ns0:f>IF($F561="","",IF(INDEX('販売記録'!$B$5:$B$1004,$F561)="","",INDEX('販売記録'!$B$5:$B$1004,$F561)))</ns0:f>
        <ns0:v/>
      </ns0:c>
      <ns0:c r="C561" s="9" t="str">
        <ns0:f>IF($F561="","",IF(INDEX('販売記録'!$C$5:$C$1004,$F561)="","",INDEX('販売記録'!$C$5:$C$1004,$F561)))</ns0:f>
        <ns0:v/>
      </ns0:c>
      <ns0:c r="D561" s="8" t="str">
        <ns0:f>IF($F561="","",IF(INDEX('販売記録'!$D$5:$D$1004,$F561)="","",INDEX('販売記録'!$D$5:$D$1004,$F561)))</ns0:f>
        <ns0:v/>
      </ns0:c>
      <ns0:c r="E561" s="12" t="str">
        <ns0:f>IF(OR(A561="",B561=""),"",MAX(0,TODAY()-A561))</ns0:f>
        <ns0:v/>
      </ns0:c>
      <ns0:c r="F561" s="9" t="str">
        <ns0:f>IFERROR(MATCH(ROW()-4,'販売記録'!$L$5:$L$1004,0),"")</ns0:f>
        <ns0:v/>
      </ns0:c>
    </ns0:row>
    <ns0:row r="562">
      <ns0:c r="A562" s="11" t="str">
        <ns0:f>IF($F562="","",IF(INDEX('販売記録'!$K$5:$K$1004,$F562)="","",INDEX('販売記録'!$K$5:$K$1004,$F562)))</ns0:f>
        <ns0:v/>
      </ns0:c>
      <ns0:c r="B562" s="9" t="str">
        <ns0:f>IF($F562="","",IF(INDEX('販売記録'!$B$5:$B$1004,$F562)="","",INDEX('販売記録'!$B$5:$B$1004,$F562)))</ns0:f>
        <ns0:v/>
      </ns0:c>
      <ns0:c r="C562" s="9" t="str">
        <ns0:f>IF($F562="","",IF(INDEX('販売記録'!$C$5:$C$1004,$F562)="","",INDEX('販売記録'!$C$5:$C$1004,$F562)))</ns0:f>
        <ns0:v/>
      </ns0:c>
      <ns0:c r="D562" s="8" t="str">
        <ns0:f>IF($F562="","",IF(INDEX('販売記録'!$D$5:$D$1004,$F562)="","",INDEX('販売記録'!$D$5:$D$1004,$F562)))</ns0:f>
        <ns0:v/>
      </ns0:c>
      <ns0:c r="E562" s="12" t="str">
        <ns0:f>IF(OR(A562="",B562=""),"",MAX(0,TODAY()-A562))</ns0:f>
        <ns0:v/>
      </ns0:c>
      <ns0:c r="F562" s="9" t="str">
        <ns0:f>IFERROR(MATCH(ROW()-4,'販売記録'!$L$5:$L$1004,0),"")</ns0:f>
        <ns0:v/>
      </ns0:c>
    </ns0:row>
    <ns0:row r="563">
      <ns0:c r="A563" s="11" t="str">
        <ns0:f>IF($F563="","",IF(INDEX('販売記録'!$K$5:$K$1004,$F563)="","",INDEX('販売記録'!$K$5:$K$1004,$F563)))</ns0:f>
        <ns0:v/>
      </ns0:c>
      <ns0:c r="B563" s="9" t="str">
        <ns0:f>IF($F563="","",IF(INDEX('販売記録'!$B$5:$B$1004,$F563)="","",INDEX('販売記録'!$B$5:$B$1004,$F563)))</ns0:f>
        <ns0:v/>
      </ns0:c>
      <ns0:c r="C563" s="9" t="str">
        <ns0:f>IF($F563="","",IF(INDEX('販売記録'!$C$5:$C$1004,$F563)="","",INDEX('販売記録'!$C$5:$C$1004,$F563)))</ns0:f>
        <ns0:v/>
      </ns0:c>
      <ns0:c r="D563" s="8" t="str">
        <ns0:f>IF($F563="","",IF(INDEX('販売記録'!$D$5:$D$1004,$F563)="","",INDEX('販売記録'!$D$5:$D$1004,$F563)))</ns0:f>
        <ns0:v/>
      </ns0:c>
      <ns0:c r="E563" s="12" t="str">
        <ns0:f>IF(OR(A563="",B563=""),"",MAX(0,TODAY()-A563))</ns0:f>
        <ns0:v/>
      </ns0:c>
      <ns0:c r="F563" s="9" t="str">
        <ns0:f>IFERROR(MATCH(ROW()-4,'販売記録'!$L$5:$L$1004,0),"")</ns0:f>
        <ns0:v/>
      </ns0:c>
    </ns0:row>
    <ns0:row r="564">
      <ns0:c r="A564" s="11" t="str">
        <ns0:f>IF($F564="","",IF(INDEX('販売記録'!$K$5:$K$1004,$F564)="","",INDEX('販売記録'!$K$5:$K$1004,$F564)))</ns0:f>
        <ns0:v/>
      </ns0:c>
      <ns0:c r="B564" s="9" t="str">
        <ns0:f>IF($F564="","",IF(INDEX('販売記録'!$B$5:$B$1004,$F564)="","",INDEX('販売記録'!$B$5:$B$1004,$F564)))</ns0:f>
        <ns0:v/>
      </ns0:c>
      <ns0:c r="C564" s="9" t="str">
        <ns0:f>IF($F564="","",IF(INDEX('販売記録'!$C$5:$C$1004,$F564)="","",INDEX('販売記録'!$C$5:$C$1004,$F564)))</ns0:f>
        <ns0:v/>
      </ns0:c>
      <ns0:c r="D564" s="8" t="str">
        <ns0:f>IF($F564="","",IF(INDEX('販売記録'!$D$5:$D$1004,$F564)="","",INDEX('販売記録'!$D$5:$D$1004,$F564)))</ns0:f>
        <ns0:v/>
      </ns0:c>
      <ns0:c r="E564" s="12" t="str">
        <ns0:f>IF(OR(A564="",B564=""),"",MAX(0,TODAY()-A564))</ns0:f>
        <ns0:v/>
      </ns0:c>
      <ns0:c r="F564" s="9" t="str">
        <ns0:f>IFERROR(MATCH(ROW()-4,'販売記録'!$L$5:$L$1004,0),"")</ns0:f>
        <ns0:v/>
      </ns0:c>
    </ns0:row>
    <ns0:row r="565">
      <ns0:c r="A565" s="11" t="str">
        <ns0:f>IF($F565="","",IF(INDEX('販売記録'!$K$5:$K$1004,$F565)="","",INDEX('販売記録'!$K$5:$K$1004,$F565)))</ns0:f>
        <ns0:v/>
      </ns0:c>
      <ns0:c r="B565" s="9" t="str">
        <ns0:f>IF($F565="","",IF(INDEX('販売記録'!$B$5:$B$1004,$F565)="","",INDEX('販売記録'!$B$5:$B$1004,$F565)))</ns0:f>
        <ns0:v/>
      </ns0:c>
      <ns0:c r="C565" s="9" t="str">
        <ns0:f>IF($F565="","",IF(INDEX('販売記録'!$C$5:$C$1004,$F565)="","",INDEX('販売記録'!$C$5:$C$1004,$F565)))</ns0:f>
        <ns0:v/>
      </ns0:c>
      <ns0:c r="D565" s="8" t="str">
        <ns0:f>IF($F565="","",IF(INDEX('販売記録'!$D$5:$D$1004,$F565)="","",INDEX('販売記録'!$D$5:$D$1004,$F565)))</ns0:f>
        <ns0:v/>
      </ns0:c>
      <ns0:c r="E565" s="12" t="str">
        <ns0:f>IF(OR(A565="",B565=""),"",MAX(0,TODAY()-A565))</ns0:f>
        <ns0:v/>
      </ns0:c>
      <ns0:c r="F565" s="9" t="str">
        <ns0:f>IFERROR(MATCH(ROW()-4,'販売記録'!$L$5:$L$1004,0),"")</ns0:f>
        <ns0:v/>
      </ns0:c>
    </ns0:row>
    <ns0:row r="566">
      <ns0:c r="A566" s="11" t="str">
        <ns0:f>IF($F566="","",IF(INDEX('販売記録'!$K$5:$K$1004,$F566)="","",INDEX('販売記録'!$K$5:$K$1004,$F566)))</ns0:f>
        <ns0:v/>
      </ns0:c>
      <ns0:c r="B566" s="9" t="str">
        <ns0:f>IF($F566="","",IF(INDEX('販売記録'!$B$5:$B$1004,$F566)="","",INDEX('販売記録'!$B$5:$B$1004,$F566)))</ns0:f>
        <ns0:v/>
      </ns0:c>
      <ns0:c r="C566" s="9" t="str">
        <ns0:f>IF($F566="","",IF(INDEX('販売記録'!$C$5:$C$1004,$F566)="","",INDEX('販売記録'!$C$5:$C$1004,$F566)))</ns0:f>
        <ns0:v/>
      </ns0:c>
      <ns0:c r="D566" s="8" t="str">
        <ns0:f>IF($F566="","",IF(INDEX('販売記録'!$D$5:$D$1004,$F566)="","",INDEX('販売記録'!$D$5:$D$1004,$F566)))</ns0:f>
        <ns0:v/>
      </ns0:c>
      <ns0:c r="E566" s="12" t="str">
        <ns0:f>IF(OR(A566="",B566=""),"",MAX(0,TODAY()-A566))</ns0:f>
        <ns0:v/>
      </ns0:c>
      <ns0:c r="F566" s="9" t="str">
        <ns0:f>IFERROR(MATCH(ROW()-4,'販売記録'!$L$5:$L$1004,0),"")</ns0:f>
        <ns0:v/>
      </ns0:c>
    </ns0:row>
    <ns0:row r="567">
      <ns0:c r="A567" s="11" t="str">
        <ns0:f>IF($F567="","",IF(INDEX('販売記録'!$K$5:$K$1004,$F567)="","",INDEX('販売記録'!$K$5:$K$1004,$F567)))</ns0:f>
        <ns0:v/>
      </ns0:c>
      <ns0:c r="B567" s="9" t="str">
        <ns0:f>IF($F567="","",IF(INDEX('販売記録'!$B$5:$B$1004,$F567)="","",INDEX('販売記録'!$B$5:$B$1004,$F567)))</ns0:f>
        <ns0:v/>
      </ns0:c>
      <ns0:c r="C567" s="9" t="str">
        <ns0:f>IF($F567="","",IF(INDEX('販売記録'!$C$5:$C$1004,$F567)="","",INDEX('販売記録'!$C$5:$C$1004,$F567)))</ns0:f>
        <ns0:v/>
      </ns0:c>
      <ns0:c r="D567" s="8" t="str">
        <ns0:f>IF($F567="","",IF(INDEX('販売記録'!$D$5:$D$1004,$F567)="","",INDEX('販売記録'!$D$5:$D$1004,$F567)))</ns0:f>
        <ns0:v/>
      </ns0:c>
      <ns0:c r="E567" s="12" t="str">
        <ns0:f>IF(OR(A567="",B567=""),"",MAX(0,TODAY()-A567))</ns0:f>
        <ns0:v/>
      </ns0:c>
      <ns0:c r="F567" s="9" t="str">
        <ns0:f>IFERROR(MATCH(ROW()-4,'販売記録'!$L$5:$L$1004,0),"")</ns0:f>
        <ns0:v/>
      </ns0:c>
    </ns0:row>
    <ns0:row r="568">
      <ns0:c r="A568" s="11" t="str">
        <ns0:f>IF($F568="","",IF(INDEX('販売記録'!$K$5:$K$1004,$F568)="","",INDEX('販売記録'!$K$5:$K$1004,$F568)))</ns0:f>
        <ns0:v/>
      </ns0:c>
      <ns0:c r="B568" s="9" t="str">
        <ns0:f>IF($F568="","",IF(INDEX('販売記録'!$B$5:$B$1004,$F568)="","",INDEX('販売記録'!$B$5:$B$1004,$F568)))</ns0:f>
        <ns0:v/>
      </ns0:c>
      <ns0:c r="C568" s="9" t="str">
        <ns0:f>IF($F568="","",IF(INDEX('販売記録'!$C$5:$C$1004,$F568)="","",INDEX('販売記録'!$C$5:$C$1004,$F568)))</ns0:f>
        <ns0:v/>
      </ns0:c>
      <ns0:c r="D568" s="8" t="str">
        <ns0:f>IF($F568="","",IF(INDEX('販売記録'!$D$5:$D$1004,$F568)="","",INDEX('販売記録'!$D$5:$D$1004,$F568)))</ns0:f>
        <ns0:v/>
      </ns0:c>
      <ns0:c r="E568" s="12" t="str">
        <ns0:f>IF(OR(A568="",B568=""),"",MAX(0,TODAY()-A568))</ns0:f>
        <ns0:v/>
      </ns0:c>
      <ns0:c r="F568" s="9" t="str">
        <ns0:f>IFERROR(MATCH(ROW()-4,'販売記録'!$L$5:$L$1004,0),"")</ns0:f>
        <ns0:v/>
      </ns0:c>
    </ns0:row>
    <ns0:row r="569">
      <ns0:c r="A569" s="11" t="str">
        <ns0:f>IF($F569="","",IF(INDEX('販売記録'!$K$5:$K$1004,$F569)="","",INDEX('販売記録'!$K$5:$K$1004,$F569)))</ns0:f>
        <ns0:v/>
      </ns0:c>
      <ns0:c r="B569" s="9" t="str">
        <ns0:f>IF($F569="","",IF(INDEX('販売記録'!$B$5:$B$1004,$F569)="","",INDEX('販売記録'!$B$5:$B$1004,$F569)))</ns0:f>
        <ns0:v/>
      </ns0:c>
      <ns0:c r="C569" s="9" t="str">
        <ns0:f>IF($F569="","",IF(INDEX('販売記録'!$C$5:$C$1004,$F569)="","",INDEX('販売記録'!$C$5:$C$1004,$F569)))</ns0:f>
        <ns0:v/>
      </ns0:c>
      <ns0:c r="D569" s="8" t="str">
        <ns0:f>IF($F569="","",IF(INDEX('販売記録'!$D$5:$D$1004,$F569)="","",INDEX('販売記録'!$D$5:$D$1004,$F569)))</ns0:f>
        <ns0:v/>
      </ns0:c>
      <ns0:c r="E569" s="12" t="str">
        <ns0:f>IF(OR(A569="",B569=""),"",MAX(0,TODAY()-A569))</ns0:f>
        <ns0:v/>
      </ns0:c>
      <ns0:c r="F569" s="9" t="str">
        <ns0:f>IFERROR(MATCH(ROW()-4,'販売記録'!$L$5:$L$1004,0),"")</ns0:f>
        <ns0:v/>
      </ns0:c>
    </ns0:row>
    <ns0:row r="570">
      <ns0:c r="A570" s="11" t="str">
        <ns0:f>IF($F570="","",IF(INDEX('販売記録'!$K$5:$K$1004,$F570)="","",INDEX('販売記録'!$K$5:$K$1004,$F570)))</ns0:f>
        <ns0:v/>
      </ns0:c>
      <ns0:c r="B570" s="9" t="str">
        <ns0:f>IF($F570="","",IF(INDEX('販売記録'!$B$5:$B$1004,$F570)="","",INDEX('販売記録'!$B$5:$B$1004,$F570)))</ns0:f>
        <ns0:v/>
      </ns0:c>
      <ns0:c r="C570" s="9" t="str">
        <ns0:f>IF($F570="","",IF(INDEX('販売記録'!$C$5:$C$1004,$F570)="","",INDEX('販売記録'!$C$5:$C$1004,$F570)))</ns0:f>
        <ns0:v/>
      </ns0:c>
      <ns0:c r="D570" s="8" t="str">
        <ns0:f>IF($F570="","",IF(INDEX('販売記録'!$D$5:$D$1004,$F570)="","",INDEX('販売記録'!$D$5:$D$1004,$F570)))</ns0:f>
        <ns0:v/>
      </ns0:c>
      <ns0:c r="E570" s="12" t="str">
        <ns0:f>IF(OR(A570="",B570=""),"",MAX(0,TODAY()-A570))</ns0:f>
        <ns0:v/>
      </ns0:c>
      <ns0:c r="F570" s="9" t="str">
        <ns0:f>IFERROR(MATCH(ROW()-4,'販売記録'!$L$5:$L$1004,0),"")</ns0:f>
        <ns0:v/>
      </ns0:c>
    </ns0:row>
    <ns0:row r="571">
      <ns0:c r="A571" s="11" t="str">
        <ns0:f>IF($F571="","",IF(INDEX('販売記録'!$K$5:$K$1004,$F571)="","",INDEX('販売記録'!$K$5:$K$1004,$F571)))</ns0:f>
        <ns0:v/>
      </ns0:c>
      <ns0:c r="B571" s="9" t="str">
        <ns0:f>IF($F571="","",IF(INDEX('販売記録'!$B$5:$B$1004,$F571)="","",INDEX('販売記録'!$B$5:$B$1004,$F571)))</ns0:f>
        <ns0:v/>
      </ns0:c>
      <ns0:c r="C571" s="9" t="str">
        <ns0:f>IF($F571="","",IF(INDEX('販売記録'!$C$5:$C$1004,$F571)="","",INDEX('販売記録'!$C$5:$C$1004,$F571)))</ns0:f>
        <ns0:v/>
      </ns0:c>
      <ns0:c r="D571" s="8" t="str">
        <ns0:f>IF($F571="","",IF(INDEX('販売記録'!$D$5:$D$1004,$F571)="","",INDEX('販売記録'!$D$5:$D$1004,$F571)))</ns0:f>
        <ns0:v/>
      </ns0:c>
      <ns0:c r="E571" s="12" t="str">
        <ns0:f>IF(OR(A571="",B571=""),"",MAX(0,TODAY()-A571))</ns0:f>
        <ns0:v/>
      </ns0:c>
      <ns0:c r="F571" s="9" t="str">
        <ns0:f>IFERROR(MATCH(ROW()-4,'販売記録'!$L$5:$L$1004,0),"")</ns0:f>
        <ns0:v/>
      </ns0:c>
    </ns0:row>
    <ns0:row r="572">
      <ns0:c r="A572" s="11" t="str">
        <ns0:f>IF($F572="","",IF(INDEX('販売記録'!$K$5:$K$1004,$F572)="","",INDEX('販売記録'!$K$5:$K$1004,$F572)))</ns0:f>
        <ns0:v/>
      </ns0:c>
      <ns0:c r="B572" s="9" t="str">
        <ns0:f>IF($F572="","",IF(INDEX('販売記録'!$B$5:$B$1004,$F572)="","",INDEX('販売記録'!$B$5:$B$1004,$F572)))</ns0:f>
        <ns0:v/>
      </ns0:c>
      <ns0:c r="C572" s="9" t="str">
        <ns0:f>IF($F572="","",IF(INDEX('販売記録'!$C$5:$C$1004,$F572)="","",INDEX('販売記録'!$C$5:$C$1004,$F572)))</ns0:f>
        <ns0:v/>
      </ns0:c>
      <ns0:c r="D572" s="8" t="str">
        <ns0:f>IF($F572="","",IF(INDEX('販売記録'!$D$5:$D$1004,$F572)="","",INDEX('販売記録'!$D$5:$D$1004,$F572)))</ns0:f>
        <ns0:v/>
      </ns0:c>
      <ns0:c r="E572" s="12" t="str">
        <ns0:f>IF(OR(A572="",B572=""),"",MAX(0,TODAY()-A572))</ns0:f>
        <ns0:v/>
      </ns0:c>
      <ns0:c r="F572" s="9" t="str">
        <ns0:f>IFERROR(MATCH(ROW()-4,'販売記録'!$L$5:$L$1004,0),"")</ns0:f>
        <ns0:v/>
      </ns0:c>
    </ns0:row>
    <ns0:row r="573">
      <ns0:c r="A573" s="11" t="str">
        <ns0:f>IF($F573="","",IF(INDEX('販売記録'!$K$5:$K$1004,$F573)="","",INDEX('販売記録'!$K$5:$K$1004,$F573)))</ns0:f>
        <ns0:v/>
      </ns0:c>
      <ns0:c r="B573" s="9" t="str">
        <ns0:f>IF($F573="","",IF(INDEX('販売記録'!$B$5:$B$1004,$F573)="","",INDEX('販売記録'!$B$5:$B$1004,$F573)))</ns0:f>
        <ns0:v/>
      </ns0:c>
      <ns0:c r="C573" s="9" t="str">
        <ns0:f>IF($F573="","",IF(INDEX('販売記録'!$C$5:$C$1004,$F573)="","",INDEX('販売記録'!$C$5:$C$1004,$F573)))</ns0:f>
        <ns0:v/>
      </ns0:c>
      <ns0:c r="D573" s="8" t="str">
        <ns0:f>IF($F573="","",IF(INDEX('販売記録'!$D$5:$D$1004,$F573)="","",INDEX('販売記録'!$D$5:$D$1004,$F573)))</ns0:f>
        <ns0:v/>
      </ns0:c>
      <ns0:c r="E573" s="12" t="str">
        <ns0:f>IF(OR(A573="",B573=""),"",MAX(0,TODAY()-A573))</ns0:f>
        <ns0:v/>
      </ns0:c>
      <ns0:c r="F573" s="9" t="str">
        <ns0:f>IFERROR(MATCH(ROW()-4,'販売記録'!$L$5:$L$1004,0),"")</ns0:f>
        <ns0:v/>
      </ns0:c>
    </ns0:row>
    <ns0:row r="574">
      <ns0:c r="A574" s="11" t="str">
        <ns0:f>IF($F574="","",IF(INDEX('販売記録'!$K$5:$K$1004,$F574)="","",INDEX('販売記録'!$K$5:$K$1004,$F574)))</ns0:f>
        <ns0:v/>
      </ns0:c>
      <ns0:c r="B574" s="9" t="str">
        <ns0:f>IF($F574="","",IF(INDEX('販売記録'!$B$5:$B$1004,$F574)="","",INDEX('販売記録'!$B$5:$B$1004,$F574)))</ns0:f>
        <ns0:v/>
      </ns0:c>
      <ns0:c r="C574" s="9" t="str">
        <ns0:f>IF($F574="","",IF(INDEX('販売記録'!$C$5:$C$1004,$F574)="","",INDEX('販売記録'!$C$5:$C$1004,$F574)))</ns0:f>
        <ns0:v/>
      </ns0:c>
      <ns0:c r="D574" s="8" t="str">
        <ns0:f>IF($F574="","",IF(INDEX('販売記録'!$D$5:$D$1004,$F574)="","",INDEX('販売記録'!$D$5:$D$1004,$F574)))</ns0:f>
        <ns0:v/>
      </ns0:c>
      <ns0:c r="E574" s="12" t="str">
        <ns0:f>IF(OR(A574="",B574=""),"",MAX(0,TODAY()-A574))</ns0:f>
        <ns0:v/>
      </ns0:c>
      <ns0:c r="F574" s="9" t="str">
        <ns0:f>IFERROR(MATCH(ROW()-4,'販売記録'!$L$5:$L$1004,0),"")</ns0:f>
        <ns0:v/>
      </ns0:c>
    </ns0:row>
    <ns0:row r="575">
      <ns0:c r="A575" s="11" t="str">
        <ns0:f>IF($F575="","",IF(INDEX('販売記録'!$K$5:$K$1004,$F575)="","",INDEX('販売記録'!$K$5:$K$1004,$F575)))</ns0:f>
        <ns0:v/>
      </ns0:c>
      <ns0:c r="B575" s="9" t="str">
        <ns0:f>IF($F575="","",IF(INDEX('販売記録'!$B$5:$B$1004,$F575)="","",INDEX('販売記録'!$B$5:$B$1004,$F575)))</ns0:f>
        <ns0:v/>
      </ns0:c>
      <ns0:c r="C575" s="9" t="str">
        <ns0:f>IF($F575="","",IF(INDEX('販売記録'!$C$5:$C$1004,$F575)="","",INDEX('販売記録'!$C$5:$C$1004,$F575)))</ns0:f>
        <ns0:v/>
      </ns0:c>
      <ns0:c r="D575" s="8" t="str">
        <ns0:f>IF($F575="","",IF(INDEX('販売記録'!$D$5:$D$1004,$F575)="","",INDEX('販売記録'!$D$5:$D$1004,$F575)))</ns0:f>
        <ns0:v/>
      </ns0:c>
      <ns0:c r="E575" s="12" t="str">
        <ns0:f>IF(OR(A575="",B575=""),"",MAX(0,TODAY()-A575))</ns0:f>
        <ns0:v/>
      </ns0:c>
      <ns0:c r="F575" s="9" t="str">
        <ns0:f>IFERROR(MATCH(ROW()-4,'販売記録'!$L$5:$L$1004,0),"")</ns0:f>
        <ns0:v/>
      </ns0:c>
    </ns0:row>
    <ns0:row r="576">
      <ns0:c r="A576" s="11" t="str">
        <ns0:f>IF($F576="","",IF(INDEX('販売記録'!$K$5:$K$1004,$F576)="","",INDEX('販売記録'!$K$5:$K$1004,$F576)))</ns0:f>
        <ns0:v/>
      </ns0:c>
      <ns0:c r="B576" s="9" t="str">
        <ns0:f>IF($F576="","",IF(INDEX('販売記録'!$B$5:$B$1004,$F576)="","",INDEX('販売記録'!$B$5:$B$1004,$F576)))</ns0:f>
        <ns0:v/>
      </ns0:c>
      <ns0:c r="C576" s="9" t="str">
        <ns0:f>IF($F576="","",IF(INDEX('販売記録'!$C$5:$C$1004,$F576)="","",INDEX('販売記録'!$C$5:$C$1004,$F576)))</ns0:f>
        <ns0:v/>
      </ns0:c>
      <ns0:c r="D576" s="8" t="str">
        <ns0:f>IF($F576="","",IF(INDEX('販売記録'!$D$5:$D$1004,$F576)="","",INDEX('販売記録'!$D$5:$D$1004,$F576)))</ns0:f>
        <ns0:v/>
      </ns0:c>
      <ns0:c r="E576" s="12" t="str">
        <ns0:f>IF(OR(A576="",B576=""),"",MAX(0,TODAY()-A576))</ns0:f>
        <ns0:v/>
      </ns0:c>
      <ns0:c r="F576" s="9" t="str">
        <ns0:f>IFERROR(MATCH(ROW()-4,'販売記録'!$L$5:$L$1004,0),"")</ns0:f>
        <ns0:v/>
      </ns0:c>
    </ns0:row>
    <ns0:row r="577">
      <ns0:c r="A577" s="11" t="str">
        <ns0:f>IF($F577="","",IF(INDEX('販売記録'!$K$5:$K$1004,$F577)="","",INDEX('販売記録'!$K$5:$K$1004,$F577)))</ns0:f>
        <ns0:v/>
      </ns0:c>
      <ns0:c r="B577" s="9" t="str">
        <ns0:f>IF($F577="","",IF(INDEX('販売記録'!$B$5:$B$1004,$F577)="","",INDEX('販売記録'!$B$5:$B$1004,$F577)))</ns0:f>
        <ns0:v/>
      </ns0:c>
      <ns0:c r="C577" s="9" t="str">
        <ns0:f>IF($F577="","",IF(INDEX('販売記録'!$C$5:$C$1004,$F577)="","",INDEX('販売記録'!$C$5:$C$1004,$F577)))</ns0:f>
        <ns0:v/>
      </ns0:c>
      <ns0:c r="D577" s="8" t="str">
        <ns0:f>IF($F577="","",IF(INDEX('販売記録'!$D$5:$D$1004,$F577)="","",INDEX('販売記録'!$D$5:$D$1004,$F577)))</ns0:f>
        <ns0:v/>
      </ns0:c>
      <ns0:c r="E577" s="12" t="str">
        <ns0:f>IF(OR(A577="",B577=""),"",MAX(0,TODAY()-A577))</ns0:f>
        <ns0:v/>
      </ns0:c>
      <ns0:c r="F577" s="9" t="str">
        <ns0:f>IFERROR(MATCH(ROW()-4,'販売記録'!$L$5:$L$1004,0),"")</ns0:f>
        <ns0:v/>
      </ns0:c>
    </ns0:row>
    <ns0:row r="578">
      <ns0:c r="A578" s="11" t="str">
        <ns0:f>IF($F578="","",IF(INDEX('販売記録'!$K$5:$K$1004,$F578)="","",INDEX('販売記録'!$K$5:$K$1004,$F578)))</ns0:f>
        <ns0:v/>
      </ns0:c>
      <ns0:c r="B578" s="9" t="str">
        <ns0:f>IF($F578="","",IF(INDEX('販売記録'!$B$5:$B$1004,$F578)="","",INDEX('販売記録'!$B$5:$B$1004,$F578)))</ns0:f>
        <ns0:v/>
      </ns0:c>
      <ns0:c r="C578" s="9" t="str">
        <ns0:f>IF($F578="","",IF(INDEX('販売記録'!$C$5:$C$1004,$F578)="","",INDEX('販売記録'!$C$5:$C$1004,$F578)))</ns0:f>
        <ns0:v/>
      </ns0:c>
      <ns0:c r="D578" s="8" t="str">
        <ns0:f>IF($F578="","",IF(INDEX('販売記録'!$D$5:$D$1004,$F578)="","",INDEX('販売記録'!$D$5:$D$1004,$F578)))</ns0:f>
        <ns0:v/>
      </ns0:c>
      <ns0:c r="E578" s="12" t="str">
        <ns0:f>IF(OR(A578="",B578=""),"",MAX(0,TODAY()-A578))</ns0:f>
        <ns0:v/>
      </ns0:c>
      <ns0:c r="F578" s="9" t="str">
        <ns0:f>IFERROR(MATCH(ROW()-4,'販売記録'!$L$5:$L$1004,0),"")</ns0:f>
        <ns0:v/>
      </ns0:c>
    </ns0:row>
    <ns0:row r="579">
      <ns0:c r="A579" s="11" t="str">
        <ns0:f>IF($F579="","",IF(INDEX('販売記録'!$K$5:$K$1004,$F579)="","",INDEX('販売記録'!$K$5:$K$1004,$F579)))</ns0:f>
        <ns0:v/>
      </ns0:c>
      <ns0:c r="B579" s="9" t="str">
        <ns0:f>IF($F579="","",IF(INDEX('販売記録'!$B$5:$B$1004,$F579)="","",INDEX('販売記録'!$B$5:$B$1004,$F579)))</ns0:f>
        <ns0:v/>
      </ns0:c>
      <ns0:c r="C579" s="9" t="str">
        <ns0:f>IF($F579="","",IF(INDEX('販売記録'!$C$5:$C$1004,$F579)="","",INDEX('販売記録'!$C$5:$C$1004,$F579)))</ns0:f>
        <ns0:v/>
      </ns0:c>
      <ns0:c r="D579" s="8" t="str">
        <ns0:f>IF($F579="","",IF(INDEX('販売記録'!$D$5:$D$1004,$F579)="","",INDEX('販売記録'!$D$5:$D$1004,$F579)))</ns0:f>
        <ns0:v/>
      </ns0:c>
      <ns0:c r="E579" s="12" t="str">
        <ns0:f>IF(OR(A579="",B579=""),"",MAX(0,TODAY()-A579))</ns0:f>
        <ns0:v/>
      </ns0:c>
      <ns0:c r="F579" s="9" t="str">
        <ns0:f>IFERROR(MATCH(ROW()-4,'販売記録'!$L$5:$L$1004,0),"")</ns0:f>
        <ns0:v/>
      </ns0:c>
    </ns0:row>
    <ns0:row r="580">
      <ns0:c r="A580" s="11" t="str">
        <ns0:f>IF($F580="","",IF(INDEX('販売記録'!$K$5:$K$1004,$F580)="","",INDEX('販売記録'!$K$5:$K$1004,$F580)))</ns0:f>
        <ns0:v/>
      </ns0:c>
      <ns0:c r="B580" s="9" t="str">
        <ns0:f>IF($F580="","",IF(INDEX('販売記録'!$B$5:$B$1004,$F580)="","",INDEX('販売記録'!$B$5:$B$1004,$F580)))</ns0:f>
        <ns0:v/>
      </ns0:c>
      <ns0:c r="C580" s="9" t="str">
        <ns0:f>IF($F580="","",IF(INDEX('販売記録'!$C$5:$C$1004,$F580)="","",INDEX('販売記録'!$C$5:$C$1004,$F580)))</ns0:f>
        <ns0:v/>
      </ns0:c>
      <ns0:c r="D580" s="8" t="str">
        <ns0:f>IF($F580="","",IF(INDEX('販売記録'!$D$5:$D$1004,$F580)="","",INDEX('販売記録'!$D$5:$D$1004,$F580)))</ns0:f>
        <ns0:v/>
      </ns0:c>
      <ns0:c r="E580" s="12" t="str">
        <ns0:f>IF(OR(A580="",B580=""),"",MAX(0,TODAY()-A580))</ns0:f>
        <ns0:v/>
      </ns0:c>
      <ns0:c r="F580" s="9" t="str">
        <ns0:f>IFERROR(MATCH(ROW()-4,'販売記録'!$L$5:$L$1004,0),"")</ns0:f>
        <ns0:v/>
      </ns0:c>
    </ns0:row>
    <ns0:row r="581">
      <ns0:c r="A581" s="11" t="str">
        <ns0:f>IF($F581="","",IF(INDEX('販売記録'!$K$5:$K$1004,$F581)="","",INDEX('販売記録'!$K$5:$K$1004,$F581)))</ns0:f>
        <ns0:v/>
      </ns0:c>
      <ns0:c r="B581" s="9" t="str">
        <ns0:f>IF($F581="","",IF(INDEX('販売記録'!$B$5:$B$1004,$F581)="","",INDEX('販売記録'!$B$5:$B$1004,$F581)))</ns0:f>
        <ns0:v/>
      </ns0:c>
      <ns0:c r="C581" s="9" t="str">
        <ns0:f>IF($F581="","",IF(INDEX('販売記録'!$C$5:$C$1004,$F581)="","",INDEX('販売記録'!$C$5:$C$1004,$F581)))</ns0:f>
        <ns0:v/>
      </ns0:c>
      <ns0:c r="D581" s="8" t="str">
        <ns0:f>IF($F581="","",IF(INDEX('販売記録'!$D$5:$D$1004,$F581)="","",INDEX('販売記録'!$D$5:$D$1004,$F581)))</ns0:f>
        <ns0:v/>
      </ns0:c>
      <ns0:c r="E581" s="12" t="str">
        <ns0:f>IF(OR(A581="",B581=""),"",MAX(0,TODAY()-A581))</ns0:f>
        <ns0:v/>
      </ns0:c>
      <ns0:c r="F581" s="9" t="str">
        <ns0:f>IFERROR(MATCH(ROW()-4,'販売記録'!$L$5:$L$1004,0),"")</ns0:f>
        <ns0:v/>
      </ns0:c>
    </ns0:row>
    <ns0:row r="582">
      <ns0:c r="A582" s="11" t="str">
        <ns0:f>IF($F582="","",IF(INDEX('販売記録'!$K$5:$K$1004,$F582)="","",INDEX('販売記録'!$K$5:$K$1004,$F582)))</ns0:f>
        <ns0:v/>
      </ns0:c>
      <ns0:c r="B582" s="9" t="str">
        <ns0:f>IF($F582="","",IF(INDEX('販売記録'!$B$5:$B$1004,$F582)="","",INDEX('販売記録'!$B$5:$B$1004,$F582)))</ns0:f>
        <ns0:v/>
      </ns0:c>
      <ns0:c r="C582" s="9" t="str">
        <ns0:f>IF($F582="","",IF(INDEX('販売記録'!$C$5:$C$1004,$F582)="","",INDEX('販売記録'!$C$5:$C$1004,$F582)))</ns0:f>
        <ns0:v/>
      </ns0:c>
      <ns0:c r="D582" s="8" t="str">
        <ns0:f>IF($F582="","",IF(INDEX('販売記録'!$D$5:$D$1004,$F582)="","",INDEX('販売記録'!$D$5:$D$1004,$F582)))</ns0:f>
        <ns0:v/>
      </ns0:c>
      <ns0:c r="E582" s="12" t="str">
        <ns0:f>IF(OR(A582="",B582=""),"",MAX(0,TODAY()-A582))</ns0:f>
        <ns0:v/>
      </ns0:c>
      <ns0:c r="F582" s="9" t="str">
        <ns0:f>IFERROR(MATCH(ROW()-4,'販売記録'!$L$5:$L$1004,0),"")</ns0:f>
        <ns0:v/>
      </ns0:c>
    </ns0:row>
    <ns0:row r="583">
      <ns0:c r="A583" s="11" t="str">
        <ns0:f>IF($F583="","",IF(INDEX('販売記録'!$K$5:$K$1004,$F583)="","",INDEX('販売記録'!$K$5:$K$1004,$F583)))</ns0:f>
        <ns0:v/>
      </ns0:c>
      <ns0:c r="B583" s="9" t="str">
        <ns0:f>IF($F583="","",IF(INDEX('販売記録'!$B$5:$B$1004,$F583)="","",INDEX('販売記録'!$B$5:$B$1004,$F583)))</ns0:f>
        <ns0:v/>
      </ns0:c>
      <ns0:c r="C583" s="9" t="str">
        <ns0:f>IF($F583="","",IF(INDEX('販売記録'!$C$5:$C$1004,$F583)="","",INDEX('販売記録'!$C$5:$C$1004,$F583)))</ns0:f>
        <ns0:v/>
      </ns0:c>
      <ns0:c r="D583" s="8" t="str">
        <ns0:f>IF($F583="","",IF(INDEX('販売記録'!$D$5:$D$1004,$F583)="","",INDEX('販売記録'!$D$5:$D$1004,$F583)))</ns0:f>
        <ns0:v/>
      </ns0:c>
      <ns0:c r="E583" s="12" t="str">
        <ns0:f>IF(OR(A583="",B583=""),"",MAX(0,TODAY()-A583))</ns0:f>
        <ns0:v/>
      </ns0:c>
      <ns0:c r="F583" s="9" t="str">
        <ns0:f>IFERROR(MATCH(ROW()-4,'販売記録'!$L$5:$L$1004,0),"")</ns0:f>
        <ns0:v/>
      </ns0:c>
    </ns0:row>
    <ns0:row r="584">
      <ns0:c r="A584" s="11" t="str">
        <ns0:f>IF($F584="","",IF(INDEX('販売記録'!$K$5:$K$1004,$F584)="","",INDEX('販売記録'!$K$5:$K$1004,$F584)))</ns0:f>
        <ns0:v/>
      </ns0:c>
      <ns0:c r="B584" s="9" t="str">
        <ns0:f>IF($F584="","",IF(INDEX('販売記録'!$B$5:$B$1004,$F584)="","",INDEX('販売記録'!$B$5:$B$1004,$F584)))</ns0:f>
        <ns0:v/>
      </ns0:c>
      <ns0:c r="C584" s="9" t="str">
        <ns0:f>IF($F584="","",IF(INDEX('販売記録'!$C$5:$C$1004,$F584)="","",INDEX('販売記録'!$C$5:$C$1004,$F584)))</ns0:f>
        <ns0:v/>
      </ns0:c>
      <ns0:c r="D584" s="8" t="str">
        <ns0:f>IF($F584="","",IF(INDEX('販売記録'!$D$5:$D$1004,$F584)="","",INDEX('販売記録'!$D$5:$D$1004,$F584)))</ns0:f>
        <ns0:v/>
      </ns0:c>
      <ns0:c r="E584" s="12" t="str">
        <ns0:f>IF(OR(A584="",B584=""),"",MAX(0,TODAY()-A584))</ns0:f>
        <ns0:v/>
      </ns0:c>
      <ns0:c r="F584" s="9" t="str">
        <ns0:f>IFERROR(MATCH(ROW()-4,'販売記録'!$L$5:$L$1004,0),"")</ns0:f>
        <ns0:v/>
      </ns0:c>
    </ns0:row>
    <ns0:row r="585">
      <ns0:c r="A585" s="11" t="str">
        <ns0:f>IF($F585="","",IF(INDEX('販売記録'!$K$5:$K$1004,$F585)="","",INDEX('販売記録'!$K$5:$K$1004,$F585)))</ns0:f>
        <ns0:v/>
      </ns0:c>
      <ns0:c r="B585" s="9" t="str">
        <ns0:f>IF($F585="","",IF(INDEX('販売記録'!$B$5:$B$1004,$F585)="","",INDEX('販売記録'!$B$5:$B$1004,$F585)))</ns0:f>
        <ns0:v/>
      </ns0:c>
      <ns0:c r="C585" s="9" t="str">
        <ns0:f>IF($F585="","",IF(INDEX('販売記録'!$C$5:$C$1004,$F585)="","",INDEX('販売記録'!$C$5:$C$1004,$F585)))</ns0:f>
        <ns0:v/>
      </ns0:c>
      <ns0:c r="D585" s="8" t="str">
        <ns0:f>IF($F585="","",IF(INDEX('販売記録'!$D$5:$D$1004,$F585)="","",INDEX('販売記録'!$D$5:$D$1004,$F585)))</ns0:f>
        <ns0:v/>
      </ns0:c>
      <ns0:c r="E585" s="12" t="str">
        <ns0:f>IF(OR(A585="",B585=""),"",MAX(0,TODAY()-A585))</ns0:f>
        <ns0:v/>
      </ns0:c>
      <ns0:c r="F585" s="9" t="str">
        <ns0:f>IFERROR(MATCH(ROW()-4,'販売記録'!$L$5:$L$1004,0),"")</ns0:f>
        <ns0:v/>
      </ns0:c>
    </ns0:row>
    <ns0:row r="586">
      <ns0:c r="A586" s="11" t="str">
        <ns0:f>IF($F586="","",IF(INDEX('販売記録'!$K$5:$K$1004,$F586)="","",INDEX('販売記録'!$K$5:$K$1004,$F586)))</ns0:f>
        <ns0:v/>
      </ns0:c>
      <ns0:c r="B586" s="9" t="str">
        <ns0:f>IF($F586="","",IF(INDEX('販売記録'!$B$5:$B$1004,$F586)="","",INDEX('販売記録'!$B$5:$B$1004,$F586)))</ns0:f>
        <ns0:v/>
      </ns0:c>
      <ns0:c r="C586" s="9" t="str">
        <ns0:f>IF($F586="","",IF(INDEX('販売記録'!$C$5:$C$1004,$F586)="","",INDEX('販売記録'!$C$5:$C$1004,$F586)))</ns0:f>
        <ns0:v/>
      </ns0:c>
      <ns0:c r="D586" s="8" t="str">
        <ns0:f>IF($F586="","",IF(INDEX('販売記録'!$D$5:$D$1004,$F586)="","",INDEX('販売記録'!$D$5:$D$1004,$F586)))</ns0:f>
        <ns0:v/>
      </ns0:c>
      <ns0:c r="E586" s="12" t="str">
        <ns0:f>IF(OR(A586="",B586=""),"",MAX(0,TODAY()-A586))</ns0:f>
        <ns0:v/>
      </ns0:c>
      <ns0:c r="F586" s="9" t="str">
        <ns0:f>IFERROR(MATCH(ROW()-4,'販売記録'!$L$5:$L$1004,0),"")</ns0:f>
        <ns0:v/>
      </ns0:c>
    </ns0:row>
    <ns0:row r="587">
      <ns0:c r="A587" s="11" t="str">
        <ns0:f>IF($F587="","",IF(INDEX('販売記録'!$K$5:$K$1004,$F587)="","",INDEX('販売記録'!$K$5:$K$1004,$F587)))</ns0:f>
        <ns0:v/>
      </ns0:c>
      <ns0:c r="B587" s="9" t="str">
        <ns0:f>IF($F587="","",IF(INDEX('販売記録'!$B$5:$B$1004,$F587)="","",INDEX('販売記録'!$B$5:$B$1004,$F587)))</ns0:f>
        <ns0:v/>
      </ns0:c>
      <ns0:c r="C587" s="9" t="str">
        <ns0:f>IF($F587="","",IF(INDEX('販売記録'!$C$5:$C$1004,$F587)="","",INDEX('販売記録'!$C$5:$C$1004,$F587)))</ns0:f>
        <ns0:v/>
      </ns0:c>
      <ns0:c r="D587" s="8" t="str">
        <ns0:f>IF($F587="","",IF(INDEX('販売記録'!$D$5:$D$1004,$F587)="","",INDEX('販売記録'!$D$5:$D$1004,$F587)))</ns0:f>
        <ns0:v/>
      </ns0:c>
      <ns0:c r="E587" s="12" t="str">
        <ns0:f>IF(OR(A587="",B587=""),"",MAX(0,TODAY()-A587))</ns0:f>
        <ns0:v/>
      </ns0:c>
      <ns0:c r="F587" s="9" t="str">
        <ns0:f>IFERROR(MATCH(ROW()-4,'販売記録'!$L$5:$L$1004,0),"")</ns0:f>
        <ns0:v/>
      </ns0:c>
    </ns0:row>
    <ns0:row r="588">
      <ns0:c r="A588" s="11" t="str">
        <ns0:f>IF($F588="","",IF(INDEX('販売記録'!$K$5:$K$1004,$F588)="","",INDEX('販売記録'!$K$5:$K$1004,$F588)))</ns0:f>
        <ns0:v/>
      </ns0:c>
      <ns0:c r="B588" s="9" t="str">
        <ns0:f>IF($F588="","",IF(INDEX('販売記録'!$B$5:$B$1004,$F588)="","",INDEX('販売記録'!$B$5:$B$1004,$F588)))</ns0:f>
        <ns0:v/>
      </ns0:c>
      <ns0:c r="C588" s="9" t="str">
        <ns0:f>IF($F588="","",IF(INDEX('販売記録'!$C$5:$C$1004,$F588)="","",INDEX('販売記録'!$C$5:$C$1004,$F588)))</ns0:f>
        <ns0:v/>
      </ns0:c>
      <ns0:c r="D588" s="8" t="str">
        <ns0:f>IF($F588="","",IF(INDEX('販売記録'!$D$5:$D$1004,$F588)="","",INDEX('販売記録'!$D$5:$D$1004,$F588)))</ns0:f>
        <ns0:v/>
      </ns0:c>
      <ns0:c r="E588" s="12" t="str">
        <ns0:f>IF(OR(A588="",B588=""),"",MAX(0,TODAY()-A588))</ns0:f>
        <ns0:v/>
      </ns0:c>
      <ns0:c r="F588" s="9" t="str">
        <ns0:f>IFERROR(MATCH(ROW()-4,'販売記録'!$L$5:$L$1004,0),"")</ns0:f>
        <ns0:v/>
      </ns0:c>
    </ns0:row>
    <ns0:row r="589">
      <ns0:c r="A589" s="11" t="str">
        <ns0:f>IF($F589="","",IF(INDEX('販売記録'!$K$5:$K$1004,$F589)="","",INDEX('販売記録'!$K$5:$K$1004,$F589)))</ns0:f>
        <ns0:v/>
      </ns0:c>
      <ns0:c r="B589" s="9" t="str">
        <ns0:f>IF($F589="","",IF(INDEX('販売記録'!$B$5:$B$1004,$F589)="","",INDEX('販売記録'!$B$5:$B$1004,$F589)))</ns0:f>
        <ns0:v/>
      </ns0:c>
      <ns0:c r="C589" s="9" t="str">
        <ns0:f>IF($F589="","",IF(INDEX('販売記録'!$C$5:$C$1004,$F589)="","",INDEX('販売記録'!$C$5:$C$1004,$F589)))</ns0:f>
        <ns0:v/>
      </ns0:c>
      <ns0:c r="D589" s="8" t="str">
        <ns0:f>IF($F589="","",IF(INDEX('販売記録'!$D$5:$D$1004,$F589)="","",INDEX('販売記録'!$D$5:$D$1004,$F589)))</ns0:f>
        <ns0:v/>
      </ns0:c>
      <ns0:c r="E589" s="12" t="str">
        <ns0:f>IF(OR(A589="",B589=""),"",MAX(0,TODAY()-A589))</ns0:f>
        <ns0:v/>
      </ns0:c>
      <ns0:c r="F589" s="9" t="str">
        <ns0:f>IFERROR(MATCH(ROW()-4,'販売記録'!$L$5:$L$1004,0),"")</ns0:f>
        <ns0:v/>
      </ns0:c>
    </ns0:row>
    <ns0:row r="590">
      <ns0:c r="A590" s="11" t="str">
        <ns0:f>IF($F590="","",IF(INDEX('販売記録'!$K$5:$K$1004,$F590)="","",INDEX('販売記録'!$K$5:$K$1004,$F590)))</ns0:f>
        <ns0:v/>
      </ns0:c>
      <ns0:c r="B590" s="9" t="str">
        <ns0:f>IF($F590="","",IF(INDEX('販売記録'!$B$5:$B$1004,$F590)="","",INDEX('販売記録'!$B$5:$B$1004,$F590)))</ns0:f>
        <ns0:v/>
      </ns0:c>
      <ns0:c r="C590" s="9" t="str">
        <ns0:f>IF($F590="","",IF(INDEX('販売記録'!$C$5:$C$1004,$F590)="","",INDEX('販売記録'!$C$5:$C$1004,$F590)))</ns0:f>
        <ns0:v/>
      </ns0:c>
      <ns0:c r="D590" s="8" t="str">
        <ns0:f>IF($F590="","",IF(INDEX('販売記録'!$D$5:$D$1004,$F590)="","",INDEX('販売記録'!$D$5:$D$1004,$F590)))</ns0:f>
        <ns0:v/>
      </ns0:c>
      <ns0:c r="E590" s="12" t="str">
        <ns0:f>IF(OR(A590="",B590=""),"",MAX(0,TODAY()-A590))</ns0:f>
        <ns0:v/>
      </ns0:c>
      <ns0:c r="F590" s="9" t="str">
        <ns0:f>IFERROR(MATCH(ROW()-4,'販売記録'!$L$5:$L$1004,0),"")</ns0:f>
        <ns0:v/>
      </ns0:c>
    </ns0:row>
    <ns0:row r="591">
      <ns0:c r="A591" s="11" t="str">
        <ns0:f>IF($F591="","",IF(INDEX('販売記録'!$K$5:$K$1004,$F591)="","",INDEX('販売記録'!$K$5:$K$1004,$F591)))</ns0:f>
        <ns0:v/>
      </ns0:c>
      <ns0:c r="B591" s="9" t="str">
        <ns0:f>IF($F591="","",IF(INDEX('販売記録'!$B$5:$B$1004,$F591)="","",INDEX('販売記録'!$B$5:$B$1004,$F591)))</ns0:f>
        <ns0:v/>
      </ns0:c>
      <ns0:c r="C591" s="9" t="str">
        <ns0:f>IF($F591="","",IF(INDEX('販売記録'!$C$5:$C$1004,$F591)="","",INDEX('販売記録'!$C$5:$C$1004,$F591)))</ns0:f>
        <ns0:v/>
      </ns0:c>
      <ns0:c r="D591" s="8" t="str">
        <ns0:f>IF($F591="","",IF(INDEX('販売記録'!$D$5:$D$1004,$F591)="","",INDEX('販売記録'!$D$5:$D$1004,$F591)))</ns0:f>
        <ns0:v/>
      </ns0:c>
      <ns0:c r="E591" s="12" t="str">
        <ns0:f>IF(OR(A591="",B591=""),"",MAX(0,TODAY()-A591))</ns0:f>
        <ns0:v/>
      </ns0:c>
      <ns0:c r="F591" s="9" t="str">
        <ns0:f>IFERROR(MATCH(ROW()-4,'販売記録'!$L$5:$L$1004,0),"")</ns0:f>
        <ns0:v/>
      </ns0:c>
    </ns0:row>
    <ns0:row r="592">
      <ns0:c r="A592" s="11" t="str">
        <ns0:f>IF($F592="","",IF(INDEX('販売記録'!$K$5:$K$1004,$F592)="","",INDEX('販売記録'!$K$5:$K$1004,$F592)))</ns0:f>
        <ns0:v/>
      </ns0:c>
      <ns0:c r="B592" s="9" t="str">
        <ns0:f>IF($F592="","",IF(INDEX('販売記録'!$B$5:$B$1004,$F592)="","",INDEX('販売記録'!$B$5:$B$1004,$F592)))</ns0:f>
        <ns0:v/>
      </ns0:c>
      <ns0:c r="C592" s="9" t="str">
        <ns0:f>IF($F592="","",IF(INDEX('販売記録'!$C$5:$C$1004,$F592)="","",INDEX('販売記録'!$C$5:$C$1004,$F592)))</ns0:f>
        <ns0:v/>
      </ns0:c>
      <ns0:c r="D592" s="8" t="str">
        <ns0:f>IF($F592="","",IF(INDEX('販売記録'!$D$5:$D$1004,$F592)="","",INDEX('販売記録'!$D$5:$D$1004,$F592)))</ns0:f>
        <ns0:v/>
      </ns0:c>
      <ns0:c r="E592" s="12" t="str">
        <ns0:f>IF(OR(A592="",B592=""),"",MAX(0,TODAY()-A592))</ns0:f>
        <ns0:v/>
      </ns0:c>
      <ns0:c r="F592" s="9" t="str">
        <ns0:f>IFERROR(MATCH(ROW()-4,'販売記録'!$L$5:$L$1004,0),"")</ns0:f>
        <ns0:v/>
      </ns0:c>
    </ns0:row>
    <ns0:row r="593">
      <ns0:c r="A593" s="11" t="str">
        <ns0:f>IF($F593="","",IF(INDEX('販売記録'!$K$5:$K$1004,$F593)="","",INDEX('販売記録'!$K$5:$K$1004,$F593)))</ns0:f>
        <ns0:v/>
      </ns0:c>
      <ns0:c r="B593" s="9" t="str">
        <ns0:f>IF($F593="","",IF(INDEX('販売記録'!$B$5:$B$1004,$F593)="","",INDEX('販売記録'!$B$5:$B$1004,$F593)))</ns0:f>
        <ns0:v/>
      </ns0:c>
      <ns0:c r="C593" s="9" t="str">
        <ns0:f>IF($F593="","",IF(INDEX('販売記録'!$C$5:$C$1004,$F593)="","",INDEX('販売記録'!$C$5:$C$1004,$F593)))</ns0:f>
        <ns0:v/>
      </ns0:c>
      <ns0:c r="D593" s="8" t="str">
        <ns0:f>IF($F593="","",IF(INDEX('販売記録'!$D$5:$D$1004,$F593)="","",INDEX('販売記録'!$D$5:$D$1004,$F593)))</ns0:f>
        <ns0:v/>
      </ns0:c>
      <ns0:c r="E593" s="12" t="str">
        <ns0:f>IF(OR(A593="",B593=""),"",MAX(0,TODAY()-A593))</ns0:f>
        <ns0:v/>
      </ns0:c>
      <ns0:c r="F593" s="9" t="str">
        <ns0:f>IFERROR(MATCH(ROW()-4,'販売記録'!$L$5:$L$1004,0),"")</ns0:f>
        <ns0:v/>
      </ns0:c>
    </ns0:row>
    <ns0:row r="594">
      <ns0:c r="A594" s="11" t="str">
        <ns0:f>IF($F594="","",IF(INDEX('販売記録'!$K$5:$K$1004,$F594)="","",INDEX('販売記録'!$K$5:$K$1004,$F594)))</ns0:f>
        <ns0:v/>
      </ns0:c>
      <ns0:c r="B594" s="9" t="str">
        <ns0:f>IF($F594="","",IF(INDEX('販売記録'!$B$5:$B$1004,$F594)="","",INDEX('販売記録'!$B$5:$B$1004,$F594)))</ns0:f>
        <ns0:v/>
      </ns0:c>
      <ns0:c r="C594" s="9" t="str">
        <ns0:f>IF($F594="","",IF(INDEX('販売記録'!$C$5:$C$1004,$F594)="","",INDEX('販売記録'!$C$5:$C$1004,$F594)))</ns0:f>
        <ns0:v/>
      </ns0:c>
      <ns0:c r="D594" s="8" t="str">
        <ns0:f>IF($F594="","",IF(INDEX('販売記録'!$D$5:$D$1004,$F594)="","",INDEX('販売記録'!$D$5:$D$1004,$F594)))</ns0:f>
        <ns0:v/>
      </ns0:c>
      <ns0:c r="E594" s="12" t="str">
        <ns0:f>IF(OR(A594="",B594=""),"",MAX(0,TODAY()-A594))</ns0:f>
        <ns0:v/>
      </ns0:c>
      <ns0:c r="F594" s="9" t="str">
        <ns0:f>IFERROR(MATCH(ROW()-4,'販売記録'!$L$5:$L$1004,0),"")</ns0:f>
        <ns0:v/>
      </ns0:c>
    </ns0:row>
    <ns0:row r="595">
      <ns0:c r="A595" s="11" t="str">
        <ns0:f>IF($F595="","",IF(INDEX('販売記録'!$K$5:$K$1004,$F595)="","",INDEX('販売記録'!$K$5:$K$1004,$F595)))</ns0:f>
        <ns0:v/>
      </ns0:c>
      <ns0:c r="B595" s="9" t="str">
        <ns0:f>IF($F595="","",IF(INDEX('販売記録'!$B$5:$B$1004,$F595)="","",INDEX('販売記録'!$B$5:$B$1004,$F595)))</ns0:f>
        <ns0:v/>
      </ns0:c>
      <ns0:c r="C595" s="9" t="str">
        <ns0:f>IF($F595="","",IF(INDEX('販売記録'!$C$5:$C$1004,$F595)="","",INDEX('販売記録'!$C$5:$C$1004,$F595)))</ns0:f>
        <ns0:v/>
      </ns0:c>
      <ns0:c r="D595" s="8" t="str">
        <ns0:f>IF($F595="","",IF(INDEX('販売記録'!$D$5:$D$1004,$F595)="","",INDEX('販売記録'!$D$5:$D$1004,$F595)))</ns0:f>
        <ns0:v/>
      </ns0:c>
      <ns0:c r="E595" s="12" t="str">
        <ns0:f>IF(OR(A595="",B595=""),"",MAX(0,TODAY()-A595))</ns0:f>
        <ns0:v/>
      </ns0:c>
      <ns0:c r="F595" s="9" t="str">
        <ns0:f>IFERROR(MATCH(ROW()-4,'販売記録'!$L$5:$L$1004,0),"")</ns0:f>
        <ns0:v/>
      </ns0:c>
    </ns0:row>
    <ns0:row r="596">
      <ns0:c r="A596" s="11" t="str">
        <ns0:f>IF($F596="","",IF(INDEX('販売記録'!$K$5:$K$1004,$F596)="","",INDEX('販売記録'!$K$5:$K$1004,$F596)))</ns0:f>
        <ns0:v/>
      </ns0:c>
      <ns0:c r="B596" s="9" t="str">
        <ns0:f>IF($F596="","",IF(INDEX('販売記録'!$B$5:$B$1004,$F596)="","",INDEX('販売記録'!$B$5:$B$1004,$F596)))</ns0:f>
        <ns0:v/>
      </ns0:c>
      <ns0:c r="C596" s="9" t="str">
        <ns0:f>IF($F596="","",IF(INDEX('販売記録'!$C$5:$C$1004,$F596)="","",INDEX('販売記録'!$C$5:$C$1004,$F596)))</ns0:f>
        <ns0:v/>
      </ns0:c>
      <ns0:c r="D596" s="8" t="str">
        <ns0:f>IF($F596="","",IF(INDEX('販売記録'!$D$5:$D$1004,$F596)="","",INDEX('販売記録'!$D$5:$D$1004,$F596)))</ns0:f>
        <ns0:v/>
      </ns0:c>
      <ns0:c r="E596" s="12" t="str">
        <ns0:f>IF(OR(A596="",B596=""),"",MAX(0,TODAY()-A596))</ns0:f>
        <ns0:v/>
      </ns0:c>
      <ns0:c r="F596" s="9" t="str">
        <ns0:f>IFERROR(MATCH(ROW()-4,'販売記録'!$L$5:$L$1004,0),"")</ns0:f>
        <ns0:v/>
      </ns0:c>
    </ns0:row>
    <ns0:row r="597">
      <ns0:c r="A597" s="11" t="str">
        <ns0:f>IF($F597="","",IF(INDEX('販売記録'!$K$5:$K$1004,$F597)="","",INDEX('販売記録'!$K$5:$K$1004,$F597)))</ns0:f>
        <ns0:v/>
      </ns0:c>
      <ns0:c r="B597" s="9" t="str">
        <ns0:f>IF($F597="","",IF(INDEX('販売記録'!$B$5:$B$1004,$F597)="","",INDEX('販売記録'!$B$5:$B$1004,$F597)))</ns0:f>
        <ns0:v/>
      </ns0:c>
      <ns0:c r="C597" s="9" t="str">
        <ns0:f>IF($F597="","",IF(INDEX('販売記録'!$C$5:$C$1004,$F597)="","",INDEX('販売記録'!$C$5:$C$1004,$F597)))</ns0:f>
        <ns0:v/>
      </ns0:c>
      <ns0:c r="D597" s="8" t="str">
        <ns0:f>IF($F597="","",IF(INDEX('販売記録'!$D$5:$D$1004,$F597)="","",INDEX('販売記録'!$D$5:$D$1004,$F597)))</ns0:f>
        <ns0:v/>
      </ns0:c>
      <ns0:c r="E597" s="12" t="str">
        <ns0:f>IF(OR(A597="",B597=""),"",MAX(0,TODAY()-A597))</ns0:f>
        <ns0:v/>
      </ns0:c>
      <ns0:c r="F597" s="9" t="str">
        <ns0:f>IFERROR(MATCH(ROW()-4,'販売記録'!$L$5:$L$1004,0),"")</ns0:f>
        <ns0:v/>
      </ns0:c>
    </ns0:row>
    <ns0:row r="598">
      <ns0:c r="A598" s="11" t="str">
        <ns0:f>IF($F598="","",IF(INDEX('販売記録'!$K$5:$K$1004,$F598)="","",INDEX('販売記録'!$K$5:$K$1004,$F598)))</ns0:f>
        <ns0:v/>
      </ns0:c>
      <ns0:c r="B598" s="9" t="str">
        <ns0:f>IF($F598="","",IF(INDEX('販売記録'!$B$5:$B$1004,$F598)="","",INDEX('販売記録'!$B$5:$B$1004,$F598)))</ns0:f>
        <ns0:v/>
      </ns0:c>
      <ns0:c r="C598" s="9" t="str">
        <ns0:f>IF($F598="","",IF(INDEX('販売記録'!$C$5:$C$1004,$F598)="","",INDEX('販売記録'!$C$5:$C$1004,$F598)))</ns0:f>
        <ns0:v/>
      </ns0:c>
      <ns0:c r="D598" s="8" t="str">
        <ns0:f>IF($F598="","",IF(INDEX('販売記録'!$D$5:$D$1004,$F598)="","",INDEX('販売記録'!$D$5:$D$1004,$F598)))</ns0:f>
        <ns0:v/>
      </ns0:c>
      <ns0:c r="E598" s="12" t="str">
        <ns0:f>IF(OR(A598="",B598=""),"",MAX(0,TODAY()-A598))</ns0:f>
        <ns0:v/>
      </ns0:c>
      <ns0:c r="F598" s="9" t="str">
        <ns0:f>IFERROR(MATCH(ROW()-4,'販売記録'!$L$5:$L$1004,0),"")</ns0:f>
        <ns0:v/>
      </ns0:c>
    </ns0:row>
    <ns0:row r="599">
      <ns0:c r="A599" s="11" t="str">
        <ns0:f>IF($F599="","",IF(INDEX('販売記録'!$K$5:$K$1004,$F599)="","",INDEX('販売記録'!$K$5:$K$1004,$F599)))</ns0:f>
        <ns0:v/>
      </ns0:c>
      <ns0:c r="B599" s="9" t="str">
        <ns0:f>IF($F599="","",IF(INDEX('販売記録'!$B$5:$B$1004,$F599)="","",INDEX('販売記録'!$B$5:$B$1004,$F599)))</ns0:f>
        <ns0:v/>
      </ns0:c>
      <ns0:c r="C599" s="9" t="str">
        <ns0:f>IF($F599="","",IF(INDEX('販売記録'!$C$5:$C$1004,$F599)="","",INDEX('販売記録'!$C$5:$C$1004,$F599)))</ns0:f>
        <ns0:v/>
      </ns0:c>
      <ns0:c r="D599" s="8" t="str">
        <ns0:f>IF($F599="","",IF(INDEX('販売記録'!$D$5:$D$1004,$F599)="","",INDEX('販売記録'!$D$5:$D$1004,$F599)))</ns0:f>
        <ns0:v/>
      </ns0:c>
      <ns0:c r="E599" s="12" t="str">
        <ns0:f>IF(OR(A599="",B599=""),"",MAX(0,TODAY()-A599))</ns0:f>
        <ns0:v/>
      </ns0:c>
      <ns0:c r="F599" s="9" t="str">
        <ns0:f>IFERROR(MATCH(ROW()-4,'販売記録'!$L$5:$L$1004,0),"")</ns0:f>
        <ns0:v/>
      </ns0:c>
    </ns0:row>
    <ns0:row r="600">
      <ns0:c r="A600" s="11" t="str">
        <ns0:f>IF($F600="","",IF(INDEX('販売記録'!$K$5:$K$1004,$F600)="","",INDEX('販売記録'!$K$5:$K$1004,$F600)))</ns0:f>
        <ns0:v/>
      </ns0:c>
      <ns0:c r="B600" s="9" t="str">
        <ns0:f>IF($F600="","",IF(INDEX('販売記録'!$B$5:$B$1004,$F600)="","",INDEX('販売記録'!$B$5:$B$1004,$F600)))</ns0:f>
        <ns0:v/>
      </ns0:c>
      <ns0:c r="C600" s="9" t="str">
        <ns0:f>IF($F600="","",IF(INDEX('販売記録'!$C$5:$C$1004,$F600)="","",INDEX('販売記録'!$C$5:$C$1004,$F600)))</ns0:f>
        <ns0:v/>
      </ns0:c>
      <ns0:c r="D600" s="8" t="str">
        <ns0:f>IF($F600="","",IF(INDEX('販売記録'!$D$5:$D$1004,$F600)="","",INDEX('販売記録'!$D$5:$D$1004,$F600)))</ns0:f>
        <ns0:v/>
      </ns0:c>
      <ns0:c r="E600" s="12" t="str">
        <ns0:f>IF(OR(A600="",B600=""),"",MAX(0,TODAY()-A600))</ns0:f>
        <ns0:v/>
      </ns0:c>
      <ns0:c r="F600" s="9" t="str">
        <ns0:f>IFERROR(MATCH(ROW()-4,'販売記録'!$L$5:$L$1004,0),"")</ns0:f>
        <ns0:v/>
      </ns0:c>
    </ns0:row>
    <ns0:row r="601">
      <ns0:c r="A601" s="11" t="str">
        <ns0:f>IF($F601="","",IF(INDEX('販売記録'!$K$5:$K$1004,$F601)="","",INDEX('販売記録'!$K$5:$K$1004,$F601)))</ns0:f>
        <ns0:v/>
      </ns0:c>
      <ns0:c r="B601" s="9" t="str">
        <ns0:f>IF($F601="","",IF(INDEX('販売記録'!$B$5:$B$1004,$F601)="","",INDEX('販売記録'!$B$5:$B$1004,$F601)))</ns0:f>
        <ns0:v/>
      </ns0:c>
      <ns0:c r="C601" s="9" t="str">
        <ns0:f>IF($F601="","",IF(INDEX('販売記録'!$C$5:$C$1004,$F601)="","",INDEX('販売記録'!$C$5:$C$1004,$F601)))</ns0:f>
        <ns0:v/>
      </ns0:c>
      <ns0:c r="D601" s="8" t="str">
        <ns0:f>IF($F601="","",IF(INDEX('販売記録'!$D$5:$D$1004,$F601)="","",INDEX('販売記録'!$D$5:$D$1004,$F601)))</ns0:f>
        <ns0:v/>
      </ns0:c>
      <ns0:c r="E601" s="12" t="str">
        <ns0:f>IF(OR(A601="",B601=""),"",MAX(0,TODAY()-A601))</ns0:f>
        <ns0:v/>
      </ns0:c>
      <ns0:c r="F601" s="9" t="str">
        <ns0:f>IFERROR(MATCH(ROW()-4,'販売記録'!$L$5:$L$1004,0),"")</ns0:f>
        <ns0:v/>
      </ns0:c>
    </ns0:row>
    <ns0:row r="602">
      <ns0:c r="A602" s="11" t="str">
        <ns0:f>IF($F602="","",IF(INDEX('販売記録'!$K$5:$K$1004,$F602)="","",INDEX('販売記録'!$K$5:$K$1004,$F602)))</ns0:f>
        <ns0:v/>
      </ns0:c>
      <ns0:c r="B602" s="9" t="str">
        <ns0:f>IF($F602="","",IF(INDEX('販売記録'!$B$5:$B$1004,$F602)="","",INDEX('販売記録'!$B$5:$B$1004,$F602)))</ns0:f>
        <ns0:v/>
      </ns0:c>
      <ns0:c r="C602" s="9" t="str">
        <ns0:f>IF($F602="","",IF(INDEX('販売記録'!$C$5:$C$1004,$F602)="","",INDEX('販売記録'!$C$5:$C$1004,$F602)))</ns0:f>
        <ns0:v/>
      </ns0:c>
      <ns0:c r="D602" s="8" t="str">
        <ns0:f>IF($F602="","",IF(INDEX('販売記録'!$D$5:$D$1004,$F602)="","",INDEX('販売記録'!$D$5:$D$1004,$F602)))</ns0:f>
        <ns0:v/>
      </ns0:c>
      <ns0:c r="E602" s="12" t="str">
        <ns0:f>IF(OR(A602="",B602=""),"",MAX(0,TODAY()-A602))</ns0:f>
        <ns0:v/>
      </ns0:c>
      <ns0:c r="F602" s="9" t="str">
        <ns0:f>IFERROR(MATCH(ROW()-4,'販売記録'!$L$5:$L$1004,0),"")</ns0:f>
        <ns0:v/>
      </ns0:c>
    </ns0:row>
    <ns0:row r="603">
      <ns0:c r="A603" s="11" t="str">
        <ns0:f>IF($F603="","",IF(INDEX('販売記録'!$K$5:$K$1004,$F603)="","",INDEX('販売記録'!$K$5:$K$1004,$F603)))</ns0:f>
        <ns0:v/>
      </ns0:c>
      <ns0:c r="B603" s="9" t="str">
        <ns0:f>IF($F603="","",IF(INDEX('販売記録'!$B$5:$B$1004,$F603)="","",INDEX('販売記録'!$B$5:$B$1004,$F603)))</ns0:f>
        <ns0:v/>
      </ns0:c>
      <ns0:c r="C603" s="9" t="str">
        <ns0:f>IF($F603="","",IF(INDEX('販売記録'!$C$5:$C$1004,$F603)="","",INDEX('販売記録'!$C$5:$C$1004,$F603)))</ns0:f>
        <ns0:v/>
      </ns0:c>
      <ns0:c r="D603" s="8" t="str">
        <ns0:f>IF($F603="","",IF(INDEX('販売記録'!$D$5:$D$1004,$F603)="","",INDEX('販売記録'!$D$5:$D$1004,$F603)))</ns0:f>
        <ns0:v/>
      </ns0:c>
      <ns0:c r="E603" s="12" t="str">
        <ns0:f>IF(OR(A603="",B603=""),"",MAX(0,TODAY()-A603))</ns0:f>
        <ns0:v/>
      </ns0:c>
      <ns0:c r="F603" s="9" t="str">
        <ns0:f>IFERROR(MATCH(ROW()-4,'販売記録'!$L$5:$L$1004,0),"")</ns0:f>
        <ns0:v/>
      </ns0:c>
    </ns0:row>
    <ns0:row r="604">
      <ns0:c r="A604" s="11" t="str">
        <ns0:f>IF($F604="","",IF(INDEX('販売記録'!$K$5:$K$1004,$F604)="","",INDEX('販売記録'!$K$5:$K$1004,$F604)))</ns0:f>
        <ns0:v/>
      </ns0:c>
      <ns0:c r="B604" s="9" t="str">
        <ns0:f>IF($F604="","",IF(INDEX('販売記録'!$B$5:$B$1004,$F604)="","",INDEX('販売記録'!$B$5:$B$1004,$F604)))</ns0:f>
        <ns0:v/>
      </ns0:c>
      <ns0:c r="C604" s="9" t="str">
        <ns0:f>IF($F604="","",IF(INDEX('販売記録'!$C$5:$C$1004,$F604)="","",INDEX('販売記録'!$C$5:$C$1004,$F604)))</ns0:f>
        <ns0:v/>
      </ns0:c>
      <ns0:c r="D604" s="8" t="str">
        <ns0:f>IF($F604="","",IF(INDEX('販売記録'!$D$5:$D$1004,$F604)="","",INDEX('販売記録'!$D$5:$D$1004,$F604)))</ns0:f>
        <ns0:v/>
      </ns0:c>
      <ns0:c r="E604" s="12" t="str">
        <ns0:f>IF(OR(A604="",B604=""),"",MAX(0,TODAY()-A604))</ns0:f>
        <ns0:v/>
      </ns0:c>
      <ns0:c r="F604" s="9" t="str">
        <ns0:f>IFERROR(MATCH(ROW()-4,'販売記録'!$L$5:$L$1004,0),"")</ns0:f>
        <ns0:v/>
      </ns0:c>
    </ns0:row>
    <ns0:row r="605">
      <ns0:c r="A605" s="11" t="str">
        <ns0:f>IF($F605="","",IF(INDEX('販売記録'!$K$5:$K$1004,$F605)="","",INDEX('販売記録'!$K$5:$K$1004,$F605)))</ns0:f>
        <ns0:v/>
      </ns0:c>
      <ns0:c r="B605" s="9" t="str">
        <ns0:f>IF($F605="","",IF(INDEX('販売記録'!$B$5:$B$1004,$F605)="","",INDEX('販売記録'!$B$5:$B$1004,$F605)))</ns0:f>
        <ns0:v/>
      </ns0:c>
      <ns0:c r="C605" s="9" t="str">
        <ns0:f>IF($F605="","",IF(INDEX('販売記録'!$C$5:$C$1004,$F605)="","",INDEX('販売記録'!$C$5:$C$1004,$F605)))</ns0:f>
        <ns0:v/>
      </ns0:c>
      <ns0:c r="D605" s="8" t="str">
        <ns0:f>IF($F605="","",IF(INDEX('販売記録'!$D$5:$D$1004,$F605)="","",INDEX('販売記録'!$D$5:$D$1004,$F605)))</ns0:f>
        <ns0:v/>
      </ns0:c>
      <ns0:c r="E605" s="12" t="str">
        <ns0:f>IF(OR(A605="",B605=""),"",MAX(0,TODAY()-A605))</ns0:f>
        <ns0:v/>
      </ns0:c>
      <ns0:c r="F605" s="9" t="str">
        <ns0:f>IFERROR(MATCH(ROW()-4,'販売記録'!$L$5:$L$1004,0),"")</ns0:f>
        <ns0:v/>
      </ns0:c>
    </ns0:row>
    <ns0:row r="606">
      <ns0:c r="A606" s="11" t="str">
        <ns0:f>IF($F606="","",IF(INDEX('販売記録'!$K$5:$K$1004,$F606)="","",INDEX('販売記録'!$K$5:$K$1004,$F606)))</ns0:f>
        <ns0:v/>
      </ns0:c>
      <ns0:c r="B606" s="9" t="str">
        <ns0:f>IF($F606="","",IF(INDEX('販売記録'!$B$5:$B$1004,$F606)="","",INDEX('販売記録'!$B$5:$B$1004,$F606)))</ns0:f>
        <ns0:v/>
      </ns0:c>
      <ns0:c r="C606" s="9" t="str">
        <ns0:f>IF($F606="","",IF(INDEX('販売記録'!$C$5:$C$1004,$F606)="","",INDEX('販売記録'!$C$5:$C$1004,$F606)))</ns0:f>
        <ns0:v/>
      </ns0:c>
      <ns0:c r="D606" s="8" t="str">
        <ns0:f>IF($F606="","",IF(INDEX('販売記録'!$D$5:$D$1004,$F606)="","",INDEX('販売記録'!$D$5:$D$1004,$F606)))</ns0:f>
        <ns0:v/>
      </ns0:c>
      <ns0:c r="E606" s="12" t="str">
        <ns0:f>IF(OR(A606="",B606=""),"",MAX(0,TODAY()-A606))</ns0:f>
        <ns0:v/>
      </ns0:c>
      <ns0:c r="F606" s="9" t="str">
        <ns0:f>IFERROR(MATCH(ROW()-4,'販売記録'!$L$5:$L$1004,0),"")</ns0:f>
        <ns0:v/>
      </ns0:c>
    </ns0:row>
    <ns0:row r="607">
      <ns0:c r="A607" s="11" t="str">
        <ns0:f>IF($F607="","",IF(INDEX('販売記録'!$K$5:$K$1004,$F607)="","",INDEX('販売記録'!$K$5:$K$1004,$F607)))</ns0:f>
        <ns0:v/>
      </ns0:c>
      <ns0:c r="B607" s="9" t="str">
        <ns0:f>IF($F607="","",IF(INDEX('販売記録'!$B$5:$B$1004,$F607)="","",INDEX('販売記録'!$B$5:$B$1004,$F607)))</ns0:f>
        <ns0:v/>
      </ns0:c>
      <ns0:c r="C607" s="9" t="str">
        <ns0:f>IF($F607="","",IF(INDEX('販売記録'!$C$5:$C$1004,$F607)="","",INDEX('販売記録'!$C$5:$C$1004,$F607)))</ns0:f>
        <ns0:v/>
      </ns0:c>
      <ns0:c r="D607" s="8" t="str">
        <ns0:f>IF($F607="","",IF(INDEX('販売記録'!$D$5:$D$1004,$F607)="","",INDEX('販売記録'!$D$5:$D$1004,$F607)))</ns0:f>
        <ns0:v/>
      </ns0:c>
      <ns0:c r="E607" s="12" t="str">
        <ns0:f>IF(OR(A607="",B607=""),"",MAX(0,TODAY()-A607))</ns0:f>
        <ns0:v/>
      </ns0:c>
      <ns0:c r="F607" s="9" t="str">
        <ns0:f>IFERROR(MATCH(ROW()-4,'販売記録'!$L$5:$L$1004,0),"")</ns0:f>
        <ns0:v/>
      </ns0:c>
    </ns0:row>
    <ns0:row r="608">
      <ns0:c r="A608" s="11" t="str">
        <ns0:f>IF($F608="","",IF(INDEX('販売記録'!$K$5:$K$1004,$F608)="","",INDEX('販売記録'!$K$5:$K$1004,$F608)))</ns0:f>
        <ns0:v/>
      </ns0:c>
      <ns0:c r="B608" s="9" t="str">
        <ns0:f>IF($F608="","",IF(INDEX('販売記録'!$B$5:$B$1004,$F608)="","",INDEX('販売記録'!$B$5:$B$1004,$F608)))</ns0:f>
        <ns0:v/>
      </ns0:c>
      <ns0:c r="C608" s="9" t="str">
        <ns0:f>IF($F608="","",IF(INDEX('販売記録'!$C$5:$C$1004,$F608)="","",INDEX('販売記録'!$C$5:$C$1004,$F608)))</ns0:f>
        <ns0:v/>
      </ns0:c>
      <ns0:c r="D608" s="8" t="str">
        <ns0:f>IF($F608="","",IF(INDEX('販売記録'!$D$5:$D$1004,$F608)="","",INDEX('販売記録'!$D$5:$D$1004,$F608)))</ns0:f>
        <ns0:v/>
      </ns0:c>
      <ns0:c r="E608" s="12" t="str">
        <ns0:f>IF(OR(A608="",B608=""),"",MAX(0,TODAY()-A608))</ns0:f>
        <ns0:v/>
      </ns0:c>
      <ns0:c r="F608" s="9" t="str">
        <ns0:f>IFERROR(MATCH(ROW()-4,'販売記録'!$L$5:$L$1004,0),"")</ns0:f>
        <ns0:v/>
      </ns0:c>
    </ns0:row>
    <ns0:row r="609">
      <ns0:c r="A609" s="11" t="str">
        <ns0:f>IF($F609="","",IF(INDEX('販売記録'!$K$5:$K$1004,$F609)="","",INDEX('販売記録'!$K$5:$K$1004,$F609)))</ns0:f>
        <ns0:v/>
      </ns0:c>
      <ns0:c r="B609" s="9" t="str">
        <ns0:f>IF($F609="","",IF(INDEX('販売記録'!$B$5:$B$1004,$F609)="","",INDEX('販売記録'!$B$5:$B$1004,$F609)))</ns0:f>
        <ns0:v/>
      </ns0:c>
      <ns0:c r="C609" s="9" t="str">
        <ns0:f>IF($F609="","",IF(INDEX('販売記録'!$C$5:$C$1004,$F609)="","",INDEX('販売記録'!$C$5:$C$1004,$F609)))</ns0:f>
        <ns0:v/>
      </ns0:c>
      <ns0:c r="D609" s="8" t="str">
        <ns0:f>IF($F609="","",IF(INDEX('販売記録'!$D$5:$D$1004,$F609)="","",INDEX('販売記録'!$D$5:$D$1004,$F609)))</ns0:f>
        <ns0:v/>
      </ns0:c>
      <ns0:c r="E609" s="12" t="str">
        <ns0:f>IF(OR(A609="",B609=""),"",MAX(0,TODAY()-A609))</ns0:f>
        <ns0:v/>
      </ns0:c>
      <ns0:c r="F609" s="9" t="str">
        <ns0:f>IFERROR(MATCH(ROW()-4,'販売記録'!$L$5:$L$1004,0),"")</ns0:f>
        <ns0:v/>
      </ns0:c>
    </ns0:row>
    <ns0:row r="610">
      <ns0:c r="A610" s="11" t="str">
        <ns0:f>IF($F610="","",IF(INDEX('販売記録'!$K$5:$K$1004,$F610)="","",INDEX('販売記録'!$K$5:$K$1004,$F610)))</ns0:f>
        <ns0:v/>
      </ns0:c>
      <ns0:c r="B610" s="9" t="str">
        <ns0:f>IF($F610="","",IF(INDEX('販売記録'!$B$5:$B$1004,$F610)="","",INDEX('販売記録'!$B$5:$B$1004,$F610)))</ns0:f>
        <ns0:v/>
      </ns0:c>
      <ns0:c r="C610" s="9" t="str">
        <ns0:f>IF($F610="","",IF(INDEX('販売記録'!$C$5:$C$1004,$F610)="","",INDEX('販売記録'!$C$5:$C$1004,$F610)))</ns0:f>
        <ns0:v/>
      </ns0:c>
      <ns0:c r="D610" s="8" t="str">
        <ns0:f>IF($F610="","",IF(INDEX('販売記録'!$D$5:$D$1004,$F610)="","",INDEX('販売記録'!$D$5:$D$1004,$F610)))</ns0:f>
        <ns0:v/>
      </ns0:c>
      <ns0:c r="E610" s="12" t="str">
        <ns0:f>IF(OR(A610="",B610=""),"",MAX(0,TODAY()-A610))</ns0:f>
        <ns0:v/>
      </ns0:c>
      <ns0:c r="F610" s="9" t="str">
        <ns0:f>IFERROR(MATCH(ROW()-4,'販売記録'!$L$5:$L$1004,0),"")</ns0:f>
        <ns0:v/>
      </ns0:c>
    </ns0:row>
    <ns0:row r="611">
      <ns0:c r="A611" s="11" t="str">
        <ns0:f>IF($F611="","",IF(INDEX('販売記録'!$K$5:$K$1004,$F611)="","",INDEX('販売記録'!$K$5:$K$1004,$F611)))</ns0:f>
        <ns0:v/>
      </ns0:c>
      <ns0:c r="B611" s="9" t="str">
        <ns0:f>IF($F611="","",IF(INDEX('販売記録'!$B$5:$B$1004,$F611)="","",INDEX('販売記録'!$B$5:$B$1004,$F611)))</ns0:f>
        <ns0:v/>
      </ns0:c>
      <ns0:c r="C611" s="9" t="str">
        <ns0:f>IF($F611="","",IF(INDEX('販売記録'!$C$5:$C$1004,$F611)="","",INDEX('販売記録'!$C$5:$C$1004,$F611)))</ns0:f>
        <ns0:v/>
      </ns0:c>
      <ns0:c r="D611" s="8" t="str">
        <ns0:f>IF($F611="","",IF(INDEX('販売記録'!$D$5:$D$1004,$F611)="","",INDEX('販売記録'!$D$5:$D$1004,$F611)))</ns0:f>
        <ns0:v/>
      </ns0:c>
      <ns0:c r="E611" s="12" t="str">
        <ns0:f>IF(OR(A611="",B611=""),"",MAX(0,TODAY()-A611))</ns0:f>
        <ns0:v/>
      </ns0:c>
      <ns0:c r="F611" s="9" t="str">
        <ns0:f>IFERROR(MATCH(ROW()-4,'販売記録'!$L$5:$L$1004,0),"")</ns0:f>
        <ns0:v/>
      </ns0:c>
    </ns0:row>
    <ns0:row r="612">
      <ns0:c r="A612" s="11" t="str">
        <ns0:f>IF($F612="","",IF(INDEX('販売記録'!$K$5:$K$1004,$F612)="","",INDEX('販売記録'!$K$5:$K$1004,$F612)))</ns0:f>
        <ns0:v/>
      </ns0:c>
      <ns0:c r="B612" s="9" t="str">
        <ns0:f>IF($F612="","",IF(INDEX('販売記録'!$B$5:$B$1004,$F612)="","",INDEX('販売記録'!$B$5:$B$1004,$F612)))</ns0:f>
        <ns0:v/>
      </ns0:c>
      <ns0:c r="C612" s="9" t="str">
        <ns0:f>IF($F612="","",IF(INDEX('販売記録'!$C$5:$C$1004,$F612)="","",INDEX('販売記録'!$C$5:$C$1004,$F612)))</ns0:f>
        <ns0:v/>
      </ns0:c>
      <ns0:c r="D612" s="8" t="str">
        <ns0:f>IF($F612="","",IF(INDEX('販売記録'!$D$5:$D$1004,$F612)="","",INDEX('販売記録'!$D$5:$D$1004,$F612)))</ns0:f>
        <ns0:v/>
      </ns0:c>
      <ns0:c r="E612" s="12" t="str">
        <ns0:f>IF(OR(A612="",B612=""),"",MAX(0,TODAY()-A612))</ns0:f>
        <ns0:v/>
      </ns0:c>
      <ns0:c r="F612" s="9" t="str">
        <ns0:f>IFERROR(MATCH(ROW()-4,'販売記録'!$L$5:$L$1004,0),"")</ns0:f>
        <ns0:v/>
      </ns0:c>
    </ns0:row>
    <ns0:row r="613">
      <ns0:c r="A613" s="11" t="str">
        <ns0:f>IF($F613="","",IF(INDEX('販売記録'!$K$5:$K$1004,$F613)="","",INDEX('販売記録'!$K$5:$K$1004,$F613)))</ns0:f>
        <ns0:v/>
      </ns0:c>
      <ns0:c r="B613" s="9" t="str">
        <ns0:f>IF($F613="","",IF(INDEX('販売記録'!$B$5:$B$1004,$F613)="","",INDEX('販売記録'!$B$5:$B$1004,$F613)))</ns0:f>
        <ns0:v/>
      </ns0:c>
      <ns0:c r="C613" s="9" t="str">
        <ns0:f>IF($F613="","",IF(INDEX('販売記録'!$C$5:$C$1004,$F613)="","",INDEX('販売記録'!$C$5:$C$1004,$F613)))</ns0:f>
        <ns0:v/>
      </ns0:c>
      <ns0:c r="D613" s="8" t="str">
        <ns0:f>IF($F613="","",IF(INDEX('販売記録'!$D$5:$D$1004,$F613)="","",INDEX('販売記録'!$D$5:$D$1004,$F613)))</ns0:f>
        <ns0:v/>
      </ns0:c>
      <ns0:c r="E613" s="12" t="str">
        <ns0:f>IF(OR(A613="",B613=""),"",MAX(0,TODAY()-A613))</ns0:f>
        <ns0:v/>
      </ns0:c>
      <ns0:c r="F613" s="9" t="str">
        <ns0:f>IFERROR(MATCH(ROW()-4,'販売記録'!$L$5:$L$1004,0),"")</ns0:f>
        <ns0:v/>
      </ns0:c>
    </ns0:row>
    <ns0:row r="614">
      <ns0:c r="A614" s="11" t="str">
        <ns0:f>IF($F614="","",IF(INDEX('販売記録'!$K$5:$K$1004,$F614)="","",INDEX('販売記録'!$K$5:$K$1004,$F614)))</ns0:f>
        <ns0:v/>
      </ns0:c>
      <ns0:c r="B614" s="9" t="str">
        <ns0:f>IF($F614="","",IF(INDEX('販売記録'!$B$5:$B$1004,$F614)="","",INDEX('販売記録'!$B$5:$B$1004,$F614)))</ns0:f>
        <ns0:v/>
      </ns0:c>
      <ns0:c r="C614" s="9" t="str">
        <ns0:f>IF($F614="","",IF(INDEX('販売記録'!$C$5:$C$1004,$F614)="","",INDEX('販売記録'!$C$5:$C$1004,$F614)))</ns0:f>
        <ns0:v/>
      </ns0:c>
      <ns0:c r="D614" s="8" t="str">
        <ns0:f>IF($F614="","",IF(INDEX('販売記録'!$D$5:$D$1004,$F614)="","",INDEX('販売記録'!$D$5:$D$1004,$F614)))</ns0:f>
        <ns0:v/>
      </ns0:c>
      <ns0:c r="E614" s="12" t="str">
        <ns0:f>IF(OR(A614="",B614=""),"",MAX(0,TODAY()-A614))</ns0:f>
        <ns0:v/>
      </ns0:c>
      <ns0:c r="F614" s="9" t="str">
        <ns0:f>IFERROR(MATCH(ROW()-4,'販売記録'!$L$5:$L$1004,0),"")</ns0:f>
        <ns0:v/>
      </ns0:c>
    </ns0:row>
    <ns0:row r="615">
      <ns0:c r="A615" s="11" t="str">
        <ns0:f>IF($F615="","",IF(INDEX('販売記録'!$K$5:$K$1004,$F615)="","",INDEX('販売記録'!$K$5:$K$1004,$F615)))</ns0:f>
        <ns0:v/>
      </ns0:c>
      <ns0:c r="B615" s="9" t="str">
        <ns0:f>IF($F615="","",IF(INDEX('販売記録'!$B$5:$B$1004,$F615)="","",INDEX('販売記録'!$B$5:$B$1004,$F615)))</ns0:f>
        <ns0:v/>
      </ns0:c>
      <ns0:c r="C615" s="9" t="str">
        <ns0:f>IF($F615="","",IF(INDEX('販売記録'!$C$5:$C$1004,$F615)="","",INDEX('販売記録'!$C$5:$C$1004,$F615)))</ns0:f>
        <ns0:v/>
      </ns0:c>
      <ns0:c r="D615" s="8" t="str">
        <ns0:f>IF($F615="","",IF(INDEX('販売記録'!$D$5:$D$1004,$F615)="","",INDEX('販売記録'!$D$5:$D$1004,$F615)))</ns0:f>
        <ns0:v/>
      </ns0:c>
      <ns0:c r="E615" s="12" t="str">
        <ns0:f>IF(OR(A615="",B615=""),"",MAX(0,TODAY()-A615))</ns0:f>
        <ns0:v/>
      </ns0:c>
      <ns0:c r="F615" s="9" t="str">
        <ns0:f>IFERROR(MATCH(ROW()-4,'販売記録'!$L$5:$L$1004,0),"")</ns0:f>
        <ns0:v/>
      </ns0:c>
    </ns0:row>
    <ns0:row r="616">
      <ns0:c r="A616" s="11" t="str">
        <ns0:f>IF($F616="","",IF(INDEX('販売記録'!$K$5:$K$1004,$F616)="","",INDEX('販売記録'!$K$5:$K$1004,$F616)))</ns0:f>
        <ns0:v/>
      </ns0:c>
      <ns0:c r="B616" s="9" t="str">
        <ns0:f>IF($F616="","",IF(INDEX('販売記録'!$B$5:$B$1004,$F616)="","",INDEX('販売記録'!$B$5:$B$1004,$F616)))</ns0:f>
        <ns0:v/>
      </ns0:c>
      <ns0:c r="C616" s="9" t="str">
        <ns0:f>IF($F616="","",IF(INDEX('販売記録'!$C$5:$C$1004,$F616)="","",INDEX('販売記録'!$C$5:$C$1004,$F616)))</ns0:f>
        <ns0:v/>
      </ns0:c>
      <ns0:c r="D616" s="8" t="str">
        <ns0:f>IF($F616="","",IF(INDEX('販売記録'!$D$5:$D$1004,$F616)="","",INDEX('販売記録'!$D$5:$D$1004,$F616)))</ns0:f>
        <ns0:v/>
      </ns0:c>
      <ns0:c r="E616" s="12" t="str">
        <ns0:f>IF(OR(A616="",B616=""),"",MAX(0,TODAY()-A616))</ns0:f>
        <ns0:v/>
      </ns0:c>
      <ns0:c r="F616" s="9" t="str">
        <ns0:f>IFERROR(MATCH(ROW()-4,'販売記録'!$L$5:$L$1004,0),"")</ns0:f>
        <ns0:v/>
      </ns0:c>
    </ns0:row>
    <ns0:row r="617">
      <ns0:c r="A617" s="11" t="str">
        <ns0:f>IF($F617="","",IF(INDEX('販売記録'!$K$5:$K$1004,$F617)="","",INDEX('販売記録'!$K$5:$K$1004,$F617)))</ns0:f>
        <ns0:v/>
      </ns0:c>
      <ns0:c r="B617" s="9" t="str">
        <ns0:f>IF($F617="","",IF(INDEX('販売記録'!$B$5:$B$1004,$F617)="","",INDEX('販売記録'!$B$5:$B$1004,$F617)))</ns0:f>
        <ns0:v/>
      </ns0:c>
      <ns0:c r="C617" s="9" t="str">
        <ns0:f>IF($F617="","",IF(INDEX('販売記録'!$C$5:$C$1004,$F617)="","",INDEX('販売記録'!$C$5:$C$1004,$F617)))</ns0:f>
        <ns0:v/>
      </ns0:c>
      <ns0:c r="D617" s="8" t="str">
        <ns0:f>IF($F617="","",IF(INDEX('販売記録'!$D$5:$D$1004,$F617)="","",INDEX('販売記録'!$D$5:$D$1004,$F617)))</ns0:f>
        <ns0:v/>
      </ns0:c>
      <ns0:c r="E617" s="12" t="str">
        <ns0:f>IF(OR(A617="",B617=""),"",MAX(0,TODAY()-A617))</ns0:f>
        <ns0:v/>
      </ns0:c>
      <ns0:c r="F617" s="9" t="str">
        <ns0:f>IFERROR(MATCH(ROW()-4,'販売記録'!$L$5:$L$1004,0),"")</ns0:f>
        <ns0:v/>
      </ns0:c>
    </ns0:row>
    <ns0:row r="618">
      <ns0:c r="A618" s="11" t="str">
        <ns0:f>IF($F618="","",IF(INDEX('販売記録'!$K$5:$K$1004,$F618)="","",INDEX('販売記録'!$K$5:$K$1004,$F618)))</ns0:f>
        <ns0:v/>
      </ns0:c>
      <ns0:c r="B618" s="9" t="str">
        <ns0:f>IF($F618="","",IF(INDEX('販売記録'!$B$5:$B$1004,$F618)="","",INDEX('販売記録'!$B$5:$B$1004,$F618)))</ns0:f>
        <ns0:v/>
      </ns0:c>
      <ns0:c r="C618" s="9" t="str">
        <ns0:f>IF($F618="","",IF(INDEX('販売記録'!$C$5:$C$1004,$F618)="","",INDEX('販売記録'!$C$5:$C$1004,$F618)))</ns0:f>
        <ns0:v/>
      </ns0:c>
      <ns0:c r="D618" s="8" t="str">
        <ns0:f>IF($F618="","",IF(INDEX('販売記録'!$D$5:$D$1004,$F618)="","",INDEX('販売記録'!$D$5:$D$1004,$F618)))</ns0:f>
        <ns0:v/>
      </ns0:c>
      <ns0:c r="E618" s="12" t="str">
        <ns0:f>IF(OR(A618="",B618=""),"",MAX(0,TODAY()-A618))</ns0:f>
        <ns0:v/>
      </ns0:c>
      <ns0:c r="F618" s="9" t="str">
        <ns0:f>IFERROR(MATCH(ROW()-4,'販売記録'!$L$5:$L$1004,0),"")</ns0:f>
        <ns0:v/>
      </ns0:c>
    </ns0:row>
    <ns0:row r="619">
      <ns0:c r="A619" s="11" t="str">
        <ns0:f>IF($F619="","",IF(INDEX('販売記録'!$K$5:$K$1004,$F619)="","",INDEX('販売記録'!$K$5:$K$1004,$F619)))</ns0:f>
        <ns0:v/>
      </ns0:c>
      <ns0:c r="B619" s="9" t="str">
        <ns0:f>IF($F619="","",IF(INDEX('販売記録'!$B$5:$B$1004,$F619)="","",INDEX('販売記録'!$B$5:$B$1004,$F619)))</ns0:f>
        <ns0:v/>
      </ns0:c>
      <ns0:c r="C619" s="9" t="str">
        <ns0:f>IF($F619="","",IF(INDEX('販売記録'!$C$5:$C$1004,$F619)="","",INDEX('販売記録'!$C$5:$C$1004,$F619)))</ns0:f>
        <ns0:v/>
      </ns0:c>
      <ns0:c r="D619" s="8" t="str">
        <ns0:f>IF($F619="","",IF(INDEX('販売記録'!$D$5:$D$1004,$F619)="","",INDEX('販売記録'!$D$5:$D$1004,$F619)))</ns0:f>
        <ns0:v/>
      </ns0:c>
      <ns0:c r="E619" s="12" t="str">
        <ns0:f>IF(OR(A619="",B619=""),"",MAX(0,TODAY()-A619))</ns0:f>
        <ns0:v/>
      </ns0:c>
      <ns0:c r="F619" s="9" t="str">
        <ns0:f>IFERROR(MATCH(ROW()-4,'販売記録'!$L$5:$L$1004,0),"")</ns0:f>
        <ns0:v/>
      </ns0:c>
    </ns0:row>
    <ns0:row r="620">
      <ns0:c r="A620" s="11" t="str">
        <ns0:f>IF($F620="","",IF(INDEX('販売記録'!$K$5:$K$1004,$F620)="","",INDEX('販売記録'!$K$5:$K$1004,$F620)))</ns0:f>
        <ns0:v/>
      </ns0:c>
      <ns0:c r="B620" s="9" t="str">
        <ns0:f>IF($F620="","",IF(INDEX('販売記録'!$B$5:$B$1004,$F620)="","",INDEX('販売記録'!$B$5:$B$1004,$F620)))</ns0:f>
        <ns0:v/>
      </ns0:c>
      <ns0:c r="C620" s="9" t="str">
        <ns0:f>IF($F620="","",IF(INDEX('販売記録'!$C$5:$C$1004,$F620)="","",INDEX('販売記録'!$C$5:$C$1004,$F620)))</ns0:f>
        <ns0:v/>
      </ns0:c>
      <ns0:c r="D620" s="8" t="str">
        <ns0:f>IF($F620="","",IF(INDEX('販売記録'!$D$5:$D$1004,$F620)="","",INDEX('販売記録'!$D$5:$D$1004,$F620)))</ns0:f>
        <ns0:v/>
      </ns0:c>
      <ns0:c r="E620" s="12" t="str">
        <ns0:f>IF(OR(A620="",B620=""),"",MAX(0,TODAY()-A620))</ns0:f>
        <ns0:v/>
      </ns0:c>
      <ns0:c r="F620" s="9" t="str">
        <ns0:f>IFERROR(MATCH(ROW()-4,'販売記録'!$L$5:$L$1004,0),"")</ns0:f>
        <ns0:v/>
      </ns0:c>
    </ns0:row>
    <ns0:row r="621">
      <ns0:c r="A621" s="11" t="str">
        <ns0:f>IF($F621="","",IF(INDEX('販売記録'!$K$5:$K$1004,$F621)="","",INDEX('販売記録'!$K$5:$K$1004,$F621)))</ns0:f>
        <ns0:v/>
      </ns0:c>
      <ns0:c r="B621" s="9" t="str">
        <ns0:f>IF($F621="","",IF(INDEX('販売記録'!$B$5:$B$1004,$F621)="","",INDEX('販売記録'!$B$5:$B$1004,$F621)))</ns0:f>
        <ns0:v/>
      </ns0:c>
      <ns0:c r="C621" s="9" t="str">
        <ns0:f>IF($F621="","",IF(INDEX('販売記録'!$C$5:$C$1004,$F621)="","",INDEX('販売記録'!$C$5:$C$1004,$F621)))</ns0:f>
        <ns0:v/>
      </ns0:c>
      <ns0:c r="D621" s="8" t="str">
        <ns0:f>IF($F621="","",IF(INDEX('販売記録'!$D$5:$D$1004,$F621)="","",INDEX('販売記録'!$D$5:$D$1004,$F621)))</ns0:f>
        <ns0:v/>
      </ns0:c>
      <ns0:c r="E621" s="12" t="str">
        <ns0:f>IF(OR(A621="",B621=""),"",MAX(0,TODAY()-A621))</ns0:f>
        <ns0:v/>
      </ns0:c>
      <ns0:c r="F621" s="9" t="str">
        <ns0:f>IFERROR(MATCH(ROW()-4,'販売記録'!$L$5:$L$1004,0),"")</ns0:f>
        <ns0:v/>
      </ns0:c>
    </ns0:row>
    <ns0:row r="622">
      <ns0:c r="A622" s="11" t="str">
        <ns0:f>IF($F622="","",IF(INDEX('販売記録'!$K$5:$K$1004,$F622)="","",INDEX('販売記録'!$K$5:$K$1004,$F622)))</ns0:f>
        <ns0:v/>
      </ns0:c>
      <ns0:c r="B622" s="9" t="str">
        <ns0:f>IF($F622="","",IF(INDEX('販売記録'!$B$5:$B$1004,$F622)="","",INDEX('販売記録'!$B$5:$B$1004,$F622)))</ns0:f>
        <ns0:v/>
      </ns0:c>
      <ns0:c r="C622" s="9" t="str">
        <ns0:f>IF($F622="","",IF(INDEX('販売記録'!$C$5:$C$1004,$F622)="","",INDEX('販売記録'!$C$5:$C$1004,$F622)))</ns0:f>
        <ns0:v/>
      </ns0:c>
      <ns0:c r="D622" s="8" t="str">
        <ns0:f>IF($F622="","",IF(INDEX('販売記録'!$D$5:$D$1004,$F622)="","",INDEX('販売記録'!$D$5:$D$1004,$F622)))</ns0:f>
        <ns0:v/>
      </ns0:c>
      <ns0:c r="E622" s="12" t="str">
        <ns0:f>IF(OR(A622="",B622=""),"",MAX(0,TODAY()-A622))</ns0:f>
        <ns0:v/>
      </ns0:c>
      <ns0:c r="F622" s="9" t="str">
        <ns0:f>IFERROR(MATCH(ROW()-4,'販売記録'!$L$5:$L$1004,0),"")</ns0:f>
        <ns0:v/>
      </ns0:c>
    </ns0:row>
    <ns0:row r="623">
      <ns0:c r="A623" s="11" t="str">
        <ns0:f>IF($F623="","",IF(INDEX('販売記録'!$K$5:$K$1004,$F623)="","",INDEX('販売記録'!$K$5:$K$1004,$F623)))</ns0:f>
        <ns0:v/>
      </ns0:c>
      <ns0:c r="B623" s="9" t="str">
        <ns0:f>IF($F623="","",IF(INDEX('販売記録'!$B$5:$B$1004,$F623)="","",INDEX('販売記録'!$B$5:$B$1004,$F623)))</ns0:f>
        <ns0:v/>
      </ns0:c>
      <ns0:c r="C623" s="9" t="str">
        <ns0:f>IF($F623="","",IF(INDEX('販売記録'!$C$5:$C$1004,$F623)="","",INDEX('販売記録'!$C$5:$C$1004,$F623)))</ns0:f>
        <ns0:v/>
      </ns0:c>
      <ns0:c r="D623" s="8" t="str">
        <ns0:f>IF($F623="","",IF(INDEX('販売記録'!$D$5:$D$1004,$F623)="","",INDEX('販売記録'!$D$5:$D$1004,$F623)))</ns0:f>
        <ns0:v/>
      </ns0:c>
      <ns0:c r="E623" s="12" t="str">
        <ns0:f>IF(OR(A623="",B623=""),"",MAX(0,TODAY()-A623))</ns0:f>
        <ns0:v/>
      </ns0:c>
      <ns0:c r="F623" s="9" t="str">
        <ns0:f>IFERROR(MATCH(ROW()-4,'販売記録'!$L$5:$L$1004,0),"")</ns0:f>
        <ns0:v/>
      </ns0:c>
    </ns0:row>
    <ns0:row r="624">
      <ns0:c r="A624" s="11" t="str">
        <ns0:f>IF($F624="","",IF(INDEX('販売記録'!$K$5:$K$1004,$F624)="","",INDEX('販売記録'!$K$5:$K$1004,$F624)))</ns0:f>
        <ns0:v/>
      </ns0:c>
      <ns0:c r="B624" s="9" t="str">
        <ns0:f>IF($F624="","",IF(INDEX('販売記録'!$B$5:$B$1004,$F624)="","",INDEX('販売記録'!$B$5:$B$1004,$F624)))</ns0:f>
        <ns0:v/>
      </ns0:c>
      <ns0:c r="C624" s="9" t="str">
        <ns0:f>IF($F624="","",IF(INDEX('販売記録'!$C$5:$C$1004,$F624)="","",INDEX('販売記録'!$C$5:$C$1004,$F624)))</ns0:f>
        <ns0:v/>
      </ns0:c>
      <ns0:c r="D624" s="8" t="str">
        <ns0:f>IF($F624="","",IF(INDEX('販売記録'!$D$5:$D$1004,$F624)="","",INDEX('販売記録'!$D$5:$D$1004,$F624)))</ns0:f>
        <ns0:v/>
      </ns0:c>
      <ns0:c r="E624" s="12" t="str">
        <ns0:f>IF(OR(A624="",B624=""),"",MAX(0,TODAY()-A624))</ns0:f>
        <ns0:v/>
      </ns0:c>
      <ns0:c r="F624" s="9" t="str">
        <ns0:f>IFERROR(MATCH(ROW()-4,'販売記録'!$L$5:$L$1004,0),"")</ns0:f>
        <ns0:v/>
      </ns0:c>
    </ns0:row>
    <ns0:row r="625">
      <ns0:c r="A625" s="11" t="str">
        <ns0:f>IF($F625="","",IF(INDEX('販売記録'!$K$5:$K$1004,$F625)="","",INDEX('販売記録'!$K$5:$K$1004,$F625)))</ns0:f>
        <ns0:v/>
      </ns0:c>
      <ns0:c r="B625" s="9" t="str">
        <ns0:f>IF($F625="","",IF(INDEX('販売記録'!$B$5:$B$1004,$F625)="","",INDEX('販売記録'!$B$5:$B$1004,$F625)))</ns0:f>
        <ns0:v/>
      </ns0:c>
      <ns0:c r="C625" s="9" t="str">
        <ns0:f>IF($F625="","",IF(INDEX('販売記録'!$C$5:$C$1004,$F625)="","",INDEX('販売記録'!$C$5:$C$1004,$F625)))</ns0:f>
        <ns0:v/>
      </ns0:c>
      <ns0:c r="D625" s="8" t="str">
        <ns0:f>IF($F625="","",IF(INDEX('販売記録'!$D$5:$D$1004,$F625)="","",INDEX('販売記録'!$D$5:$D$1004,$F625)))</ns0:f>
        <ns0:v/>
      </ns0:c>
      <ns0:c r="E625" s="12" t="str">
        <ns0:f>IF(OR(A625="",B625=""),"",MAX(0,TODAY()-A625))</ns0:f>
        <ns0:v/>
      </ns0:c>
      <ns0:c r="F625" s="9" t="str">
        <ns0:f>IFERROR(MATCH(ROW()-4,'販売記録'!$L$5:$L$1004,0),"")</ns0:f>
        <ns0:v/>
      </ns0:c>
    </ns0:row>
    <ns0:row r="626">
      <ns0:c r="A626" s="11" t="str">
        <ns0:f>IF($F626="","",IF(INDEX('販売記録'!$K$5:$K$1004,$F626)="","",INDEX('販売記録'!$K$5:$K$1004,$F626)))</ns0:f>
        <ns0:v/>
      </ns0:c>
      <ns0:c r="B626" s="9" t="str">
        <ns0:f>IF($F626="","",IF(INDEX('販売記録'!$B$5:$B$1004,$F626)="","",INDEX('販売記録'!$B$5:$B$1004,$F626)))</ns0:f>
        <ns0:v/>
      </ns0:c>
      <ns0:c r="C626" s="9" t="str">
        <ns0:f>IF($F626="","",IF(INDEX('販売記録'!$C$5:$C$1004,$F626)="","",INDEX('販売記録'!$C$5:$C$1004,$F626)))</ns0:f>
        <ns0:v/>
      </ns0:c>
      <ns0:c r="D626" s="8" t="str">
        <ns0:f>IF($F626="","",IF(INDEX('販売記録'!$D$5:$D$1004,$F626)="","",INDEX('販売記録'!$D$5:$D$1004,$F626)))</ns0:f>
        <ns0:v/>
      </ns0:c>
      <ns0:c r="E626" s="12" t="str">
        <ns0:f>IF(OR(A626="",B626=""),"",MAX(0,TODAY()-A626))</ns0:f>
        <ns0:v/>
      </ns0:c>
      <ns0:c r="F626" s="9" t="str">
        <ns0:f>IFERROR(MATCH(ROW()-4,'販売記録'!$L$5:$L$1004,0),"")</ns0:f>
        <ns0:v/>
      </ns0:c>
    </ns0:row>
    <ns0:row r="627">
      <ns0:c r="A627" s="11" t="str">
        <ns0:f>IF($F627="","",IF(INDEX('販売記録'!$K$5:$K$1004,$F627)="","",INDEX('販売記録'!$K$5:$K$1004,$F627)))</ns0:f>
        <ns0:v/>
      </ns0:c>
      <ns0:c r="B627" s="9" t="str">
        <ns0:f>IF($F627="","",IF(INDEX('販売記録'!$B$5:$B$1004,$F627)="","",INDEX('販売記録'!$B$5:$B$1004,$F627)))</ns0:f>
        <ns0:v/>
      </ns0:c>
      <ns0:c r="C627" s="9" t="str">
        <ns0:f>IF($F627="","",IF(INDEX('販売記録'!$C$5:$C$1004,$F627)="","",INDEX('販売記録'!$C$5:$C$1004,$F627)))</ns0:f>
        <ns0:v/>
      </ns0:c>
      <ns0:c r="D627" s="8" t="str">
        <ns0:f>IF($F627="","",IF(INDEX('販売記録'!$D$5:$D$1004,$F627)="","",INDEX('販売記録'!$D$5:$D$1004,$F627)))</ns0:f>
        <ns0:v/>
      </ns0:c>
      <ns0:c r="E627" s="12" t="str">
        <ns0:f>IF(OR(A627="",B627=""),"",MAX(0,TODAY()-A627))</ns0:f>
        <ns0:v/>
      </ns0:c>
      <ns0:c r="F627" s="9" t="str">
        <ns0:f>IFERROR(MATCH(ROW()-4,'販売記録'!$L$5:$L$1004,0),"")</ns0:f>
        <ns0:v/>
      </ns0:c>
    </ns0:row>
    <ns0:row r="628">
      <ns0:c r="A628" s="11" t="str">
        <ns0:f>IF($F628="","",IF(INDEX('販売記録'!$K$5:$K$1004,$F628)="","",INDEX('販売記録'!$K$5:$K$1004,$F628)))</ns0:f>
        <ns0:v/>
      </ns0:c>
      <ns0:c r="B628" s="9" t="str">
        <ns0:f>IF($F628="","",IF(INDEX('販売記録'!$B$5:$B$1004,$F628)="","",INDEX('販売記録'!$B$5:$B$1004,$F628)))</ns0:f>
        <ns0:v/>
      </ns0:c>
      <ns0:c r="C628" s="9" t="str">
        <ns0:f>IF($F628="","",IF(INDEX('販売記録'!$C$5:$C$1004,$F628)="","",INDEX('販売記録'!$C$5:$C$1004,$F628)))</ns0:f>
        <ns0:v/>
      </ns0:c>
      <ns0:c r="D628" s="8" t="str">
        <ns0:f>IF($F628="","",IF(INDEX('販売記録'!$D$5:$D$1004,$F628)="","",INDEX('販売記録'!$D$5:$D$1004,$F628)))</ns0:f>
        <ns0:v/>
      </ns0:c>
      <ns0:c r="E628" s="12" t="str">
        <ns0:f>IF(OR(A628="",B628=""),"",MAX(0,TODAY()-A628))</ns0:f>
        <ns0:v/>
      </ns0:c>
      <ns0:c r="F628" s="9" t="str">
        <ns0:f>IFERROR(MATCH(ROW()-4,'販売記録'!$L$5:$L$1004,0),"")</ns0:f>
        <ns0:v/>
      </ns0:c>
    </ns0:row>
    <ns0:row r="629">
      <ns0:c r="A629" s="11" t="str">
        <ns0:f>IF($F629="","",IF(INDEX('販売記録'!$K$5:$K$1004,$F629)="","",INDEX('販売記録'!$K$5:$K$1004,$F629)))</ns0:f>
        <ns0:v/>
      </ns0:c>
      <ns0:c r="B629" s="9" t="str">
        <ns0:f>IF($F629="","",IF(INDEX('販売記録'!$B$5:$B$1004,$F629)="","",INDEX('販売記録'!$B$5:$B$1004,$F629)))</ns0:f>
        <ns0:v/>
      </ns0:c>
      <ns0:c r="C629" s="9" t="str">
        <ns0:f>IF($F629="","",IF(INDEX('販売記録'!$C$5:$C$1004,$F629)="","",INDEX('販売記録'!$C$5:$C$1004,$F629)))</ns0:f>
        <ns0:v/>
      </ns0:c>
      <ns0:c r="D629" s="8" t="str">
        <ns0:f>IF($F629="","",IF(INDEX('販売記録'!$D$5:$D$1004,$F629)="","",INDEX('販売記録'!$D$5:$D$1004,$F629)))</ns0:f>
        <ns0:v/>
      </ns0:c>
      <ns0:c r="E629" s="12" t="str">
        <ns0:f>IF(OR(A629="",B629=""),"",MAX(0,TODAY()-A629))</ns0:f>
        <ns0:v/>
      </ns0:c>
      <ns0:c r="F629" s="9" t="str">
        <ns0:f>IFERROR(MATCH(ROW()-4,'販売記録'!$L$5:$L$1004,0),"")</ns0:f>
        <ns0:v/>
      </ns0:c>
    </ns0:row>
    <ns0:row r="630">
      <ns0:c r="A630" s="11" t="str">
        <ns0:f>IF($F630="","",IF(INDEX('販売記録'!$K$5:$K$1004,$F630)="","",INDEX('販売記録'!$K$5:$K$1004,$F630)))</ns0:f>
        <ns0:v/>
      </ns0:c>
      <ns0:c r="B630" s="9" t="str">
        <ns0:f>IF($F630="","",IF(INDEX('販売記録'!$B$5:$B$1004,$F630)="","",INDEX('販売記録'!$B$5:$B$1004,$F630)))</ns0:f>
        <ns0:v/>
      </ns0:c>
      <ns0:c r="C630" s="9" t="str">
        <ns0:f>IF($F630="","",IF(INDEX('販売記録'!$C$5:$C$1004,$F630)="","",INDEX('販売記録'!$C$5:$C$1004,$F630)))</ns0:f>
        <ns0:v/>
      </ns0:c>
      <ns0:c r="D630" s="8" t="str">
        <ns0:f>IF($F630="","",IF(INDEX('販売記録'!$D$5:$D$1004,$F630)="","",INDEX('販売記録'!$D$5:$D$1004,$F630)))</ns0:f>
        <ns0:v/>
      </ns0:c>
      <ns0:c r="E630" s="12" t="str">
        <ns0:f>IF(OR(A630="",B630=""),"",MAX(0,TODAY()-A630))</ns0:f>
        <ns0:v/>
      </ns0:c>
      <ns0:c r="F630" s="9" t="str">
        <ns0:f>IFERROR(MATCH(ROW()-4,'販売記録'!$L$5:$L$1004,0),"")</ns0:f>
        <ns0:v/>
      </ns0:c>
    </ns0:row>
    <ns0:row r="631">
      <ns0:c r="A631" s="11" t="str">
        <ns0:f>IF($F631="","",IF(INDEX('販売記録'!$K$5:$K$1004,$F631)="","",INDEX('販売記録'!$K$5:$K$1004,$F631)))</ns0:f>
        <ns0:v/>
      </ns0:c>
      <ns0:c r="B631" s="9" t="str">
        <ns0:f>IF($F631="","",IF(INDEX('販売記録'!$B$5:$B$1004,$F631)="","",INDEX('販売記録'!$B$5:$B$1004,$F631)))</ns0:f>
        <ns0:v/>
      </ns0:c>
      <ns0:c r="C631" s="9" t="str">
        <ns0:f>IF($F631="","",IF(INDEX('販売記録'!$C$5:$C$1004,$F631)="","",INDEX('販売記録'!$C$5:$C$1004,$F631)))</ns0:f>
        <ns0:v/>
      </ns0:c>
      <ns0:c r="D631" s="8" t="str">
        <ns0:f>IF($F631="","",IF(INDEX('販売記録'!$D$5:$D$1004,$F631)="","",INDEX('販売記録'!$D$5:$D$1004,$F631)))</ns0:f>
        <ns0:v/>
      </ns0:c>
      <ns0:c r="E631" s="12" t="str">
        <ns0:f>IF(OR(A631="",B631=""),"",MAX(0,TODAY()-A631))</ns0:f>
        <ns0:v/>
      </ns0:c>
      <ns0:c r="F631" s="9" t="str">
        <ns0:f>IFERROR(MATCH(ROW()-4,'販売記録'!$L$5:$L$1004,0),"")</ns0:f>
        <ns0:v/>
      </ns0:c>
    </ns0:row>
    <ns0:row r="632">
      <ns0:c r="A632" s="11" t="str">
        <ns0:f>IF($F632="","",IF(INDEX('販売記録'!$K$5:$K$1004,$F632)="","",INDEX('販売記録'!$K$5:$K$1004,$F632)))</ns0:f>
        <ns0:v/>
      </ns0:c>
      <ns0:c r="B632" s="9" t="str">
        <ns0:f>IF($F632="","",IF(INDEX('販売記録'!$B$5:$B$1004,$F632)="","",INDEX('販売記録'!$B$5:$B$1004,$F632)))</ns0:f>
        <ns0:v/>
      </ns0:c>
      <ns0:c r="C632" s="9" t="str">
        <ns0:f>IF($F632="","",IF(INDEX('販売記録'!$C$5:$C$1004,$F632)="","",INDEX('販売記録'!$C$5:$C$1004,$F632)))</ns0:f>
        <ns0:v/>
      </ns0:c>
      <ns0:c r="D632" s="8" t="str">
        <ns0:f>IF($F632="","",IF(INDEX('販売記録'!$D$5:$D$1004,$F632)="","",INDEX('販売記録'!$D$5:$D$1004,$F632)))</ns0:f>
        <ns0:v/>
      </ns0:c>
      <ns0:c r="E632" s="12" t="str">
        <ns0:f>IF(OR(A632="",B632=""),"",MAX(0,TODAY()-A632))</ns0:f>
        <ns0:v/>
      </ns0:c>
      <ns0:c r="F632" s="9" t="str">
        <ns0:f>IFERROR(MATCH(ROW()-4,'販売記録'!$L$5:$L$1004,0),"")</ns0:f>
        <ns0:v/>
      </ns0:c>
    </ns0:row>
    <ns0:row r="633">
      <ns0:c r="A633" s="11" t="str">
        <ns0:f>IF($F633="","",IF(INDEX('販売記録'!$K$5:$K$1004,$F633)="","",INDEX('販売記録'!$K$5:$K$1004,$F633)))</ns0:f>
        <ns0:v/>
      </ns0:c>
      <ns0:c r="B633" s="9" t="str">
        <ns0:f>IF($F633="","",IF(INDEX('販売記録'!$B$5:$B$1004,$F633)="","",INDEX('販売記録'!$B$5:$B$1004,$F633)))</ns0:f>
        <ns0:v/>
      </ns0:c>
      <ns0:c r="C633" s="9" t="str">
        <ns0:f>IF($F633="","",IF(INDEX('販売記録'!$C$5:$C$1004,$F633)="","",INDEX('販売記録'!$C$5:$C$1004,$F633)))</ns0:f>
        <ns0:v/>
      </ns0:c>
      <ns0:c r="D633" s="8" t="str">
        <ns0:f>IF($F633="","",IF(INDEX('販売記録'!$D$5:$D$1004,$F633)="","",INDEX('販売記録'!$D$5:$D$1004,$F633)))</ns0:f>
        <ns0:v/>
      </ns0:c>
      <ns0:c r="E633" s="12" t="str">
        <ns0:f>IF(OR(A633="",B633=""),"",MAX(0,TODAY()-A633))</ns0:f>
        <ns0:v/>
      </ns0:c>
      <ns0:c r="F633" s="9" t="str">
        <ns0:f>IFERROR(MATCH(ROW()-4,'販売記録'!$L$5:$L$1004,0),"")</ns0:f>
        <ns0:v/>
      </ns0:c>
    </ns0:row>
    <ns0:row r="634">
      <ns0:c r="A634" s="11" t="str">
        <ns0:f>IF($F634="","",IF(INDEX('販売記録'!$K$5:$K$1004,$F634)="","",INDEX('販売記録'!$K$5:$K$1004,$F634)))</ns0:f>
        <ns0:v/>
      </ns0:c>
      <ns0:c r="B634" s="9" t="str">
        <ns0:f>IF($F634="","",IF(INDEX('販売記録'!$B$5:$B$1004,$F634)="","",INDEX('販売記録'!$B$5:$B$1004,$F634)))</ns0:f>
        <ns0:v/>
      </ns0:c>
      <ns0:c r="C634" s="9" t="str">
        <ns0:f>IF($F634="","",IF(INDEX('販売記録'!$C$5:$C$1004,$F634)="","",INDEX('販売記録'!$C$5:$C$1004,$F634)))</ns0:f>
        <ns0:v/>
      </ns0:c>
      <ns0:c r="D634" s="8" t="str">
        <ns0:f>IF($F634="","",IF(INDEX('販売記録'!$D$5:$D$1004,$F634)="","",INDEX('販売記録'!$D$5:$D$1004,$F634)))</ns0:f>
        <ns0:v/>
      </ns0:c>
      <ns0:c r="E634" s="12" t="str">
        <ns0:f>IF(OR(A634="",B634=""),"",MAX(0,TODAY()-A634))</ns0:f>
        <ns0:v/>
      </ns0:c>
      <ns0:c r="F634" s="9" t="str">
        <ns0:f>IFERROR(MATCH(ROW()-4,'販売記録'!$L$5:$L$1004,0),"")</ns0:f>
        <ns0:v/>
      </ns0:c>
    </ns0:row>
    <ns0:row r="635">
      <ns0:c r="A635" s="11" t="str">
        <ns0:f>IF($F635="","",IF(INDEX('販売記録'!$K$5:$K$1004,$F635)="","",INDEX('販売記録'!$K$5:$K$1004,$F635)))</ns0:f>
        <ns0:v/>
      </ns0:c>
      <ns0:c r="B635" s="9" t="str">
        <ns0:f>IF($F635="","",IF(INDEX('販売記録'!$B$5:$B$1004,$F635)="","",INDEX('販売記録'!$B$5:$B$1004,$F635)))</ns0:f>
        <ns0:v/>
      </ns0:c>
      <ns0:c r="C635" s="9" t="str">
        <ns0:f>IF($F635="","",IF(INDEX('販売記録'!$C$5:$C$1004,$F635)="","",INDEX('販売記録'!$C$5:$C$1004,$F635)))</ns0:f>
        <ns0:v/>
      </ns0:c>
      <ns0:c r="D635" s="8" t="str">
        <ns0:f>IF($F635="","",IF(INDEX('販売記録'!$D$5:$D$1004,$F635)="","",INDEX('販売記録'!$D$5:$D$1004,$F635)))</ns0:f>
        <ns0:v/>
      </ns0:c>
      <ns0:c r="E635" s="12" t="str">
        <ns0:f>IF(OR(A635="",B635=""),"",MAX(0,TODAY()-A635))</ns0:f>
        <ns0:v/>
      </ns0:c>
      <ns0:c r="F635" s="9" t="str">
        <ns0:f>IFERROR(MATCH(ROW()-4,'販売記録'!$L$5:$L$1004,0),"")</ns0:f>
        <ns0:v/>
      </ns0:c>
    </ns0:row>
    <ns0:row r="636">
      <ns0:c r="A636" s="11" t="str">
        <ns0:f>IF($F636="","",IF(INDEX('販売記録'!$K$5:$K$1004,$F636)="","",INDEX('販売記録'!$K$5:$K$1004,$F636)))</ns0:f>
        <ns0:v/>
      </ns0:c>
      <ns0:c r="B636" s="9" t="str">
        <ns0:f>IF($F636="","",IF(INDEX('販売記録'!$B$5:$B$1004,$F636)="","",INDEX('販売記録'!$B$5:$B$1004,$F636)))</ns0:f>
        <ns0:v/>
      </ns0:c>
      <ns0:c r="C636" s="9" t="str">
        <ns0:f>IF($F636="","",IF(INDEX('販売記録'!$C$5:$C$1004,$F636)="","",INDEX('販売記録'!$C$5:$C$1004,$F636)))</ns0:f>
        <ns0:v/>
      </ns0:c>
      <ns0:c r="D636" s="8" t="str">
        <ns0:f>IF($F636="","",IF(INDEX('販売記録'!$D$5:$D$1004,$F636)="","",INDEX('販売記録'!$D$5:$D$1004,$F636)))</ns0:f>
        <ns0:v/>
      </ns0:c>
      <ns0:c r="E636" s="12" t="str">
        <ns0:f>IF(OR(A636="",B636=""),"",MAX(0,TODAY()-A636))</ns0:f>
        <ns0:v/>
      </ns0:c>
      <ns0:c r="F636" s="9" t="str">
        <ns0:f>IFERROR(MATCH(ROW()-4,'販売記録'!$L$5:$L$1004,0),"")</ns0:f>
        <ns0:v/>
      </ns0:c>
    </ns0:row>
    <ns0:row r="637">
      <ns0:c r="A637" s="11" t="str">
        <ns0:f>IF($F637="","",IF(INDEX('販売記録'!$K$5:$K$1004,$F637)="","",INDEX('販売記録'!$K$5:$K$1004,$F637)))</ns0:f>
        <ns0:v/>
      </ns0:c>
      <ns0:c r="B637" s="9" t="str">
        <ns0:f>IF($F637="","",IF(INDEX('販売記録'!$B$5:$B$1004,$F637)="","",INDEX('販売記録'!$B$5:$B$1004,$F637)))</ns0:f>
        <ns0:v/>
      </ns0:c>
      <ns0:c r="C637" s="9" t="str">
        <ns0:f>IF($F637="","",IF(INDEX('販売記録'!$C$5:$C$1004,$F637)="","",INDEX('販売記録'!$C$5:$C$1004,$F637)))</ns0:f>
        <ns0:v/>
      </ns0:c>
      <ns0:c r="D637" s="8" t="str">
        <ns0:f>IF($F637="","",IF(INDEX('販売記録'!$D$5:$D$1004,$F637)="","",INDEX('販売記録'!$D$5:$D$1004,$F637)))</ns0:f>
        <ns0:v/>
      </ns0:c>
      <ns0:c r="E637" s="12" t="str">
        <ns0:f>IF(OR(A637="",B637=""),"",MAX(0,TODAY()-A637))</ns0:f>
        <ns0:v/>
      </ns0:c>
      <ns0:c r="F637" s="9" t="str">
        <ns0:f>IFERROR(MATCH(ROW()-4,'販売記録'!$L$5:$L$1004,0),"")</ns0:f>
        <ns0:v/>
      </ns0:c>
    </ns0:row>
    <ns0:row r="638">
      <ns0:c r="A638" s="11" t="str">
        <ns0:f>IF($F638="","",IF(INDEX('販売記録'!$K$5:$K$1004,$F638)="","",INDEX('販売記録'!$K$5:$K$1004,$F638)))</ns0:f>
        <ns0:v/>
      </ns0:c>
      <ns0:c r="B638" s="9" t="str">
        <ns0:f>IF($F638="","",IF(INDEX('販売記録'!$B$5:$B$1004,$F638)="","",INDEX('販売記録'!$B$5:$B$1004,$F638)))</ns0:f>
        <ns0:v/>
      </ns0:c>
      <ns0:c r="C638" s="9" t="str">
        <ns0:f>IF($F638="","",IF(INDEX('販売記録'!$C$5:$C$1004,$F638)="","",INDEX('販売記録'!$C$5:$C$1004,$F638)))</ns0:f>
        <ns0:v/>
      </ns0:c>
      <ns0:c r="D638" s="8" t="str">
        <ns0:f>IF($F638="","",IF(INDEX('販売記録'!$D$5:$D$1004,$F638)="","",INDEX('販売記録'!$D$5:$D$1004,$F638)))</ns0:f>
        <ns0:v/>
      </ns0:c>
      <ns0:c r="E638" s="12" t="str">
        <ns0:f>IF(OR(A638="",B638=""),"",MAX(0,TODAY()-A638))</ns0:f>
        <ns0:v/>
      </ns0:c>
      <ns0:c r="F638" s="9" t="str">
        <ns0:f>IFERROR(MATCH(ROW()-4,'販売記録'!$L$5:$L$1004,0),"")</ns0:f>
        <ns0:v/>
      </ns0:c>
    </ns0:row>
    <ns0:row r="639">
      <ns0:c r="A639" s="11" t="str">
        <ns0:f>IF($F639="","",IF(INDEX('販売記録'!$K$5:$K$1004,$F639)="","",INDEX('販売記録'!$K$5:$K$1004,$F639)))</ns0:f>
        <ns0:v/>
      </ns0:c>
      <ns0:c r="B639" s="9" t="str">
        <ns0:f>IF($F639="","",IF(INDEX('販売記録'!$B$5:$B$1004,$F639)="","",INDEX('販売記録'!$B$5:$B$1004,$F639)))</ns0:f>
        <ns0:v/>
      </ns0:c>
      <ns0:c r="C639" s="9" t="str">
        <ns0:f>IF($F639="","",IF(INDEX('販売記録'!$C$5:$C$1004,$F639)="","",INDEX('販売記録'!$C$5:$C$1004,$F639)))</ns0:f>
        <ns0:v/>
      </ns0:c>
      <ns0:c r="D639" s="8" t="str">
        <ns0:f>IF($F639="","",IF(INDEX('販売記録'!$D$5:$D$1004,$F639)="","",INDEX('販売記録'!$D$5:$D$1004,$F639)))</ns0:f>
        <ns0:v/>
      </ns0:c>
      <ns0:c r="E639" s="12" t="str">
        <ns0:f>IF(OR(A639="",B639=""),"",MAX(0,TODAY()-A639))</ns0:f>
        <ns0:v/>
      </ns0:c>
      <ns0:c r="F639" s="9" t="str">
        <ns0:f>IFERROR(MATCH(ROW()-4,'販売記録'!$L$5:$L$1004,0),"")</ns0:f>
        <ns0:v/>
      </ns0:c>
    </ns0:row>
    <ns0:row r="640">
      <ns0:c r="A640" s="11" t="str">
        <ns0:f>IF($F640="","",IF(INDEX('販売記録'!$K$5:$K$1004,$F640)="","",INDEX('販売記録'!$K$5:$K$1004,$F640)))</ns0:f>
        <ns0:v/>
      </ns0:c>
      <ns0:c r="B640" s="9" t="str">
        <ns0:f>IF($F640="","",IF(INDEX('販売記録'!$B$5:$B$1004,$F640)="","",INDEX('販売記録'!$B$5:$B$1004,$F640)))</ns0:f>
        <ns0:v/>
      </ns0:c>
      <ns0:c r="C640" s="9" t="str">
        <ns0:f>IF($F640="","",IF(INDEX('販売記録'!$C$5:$C$1004,$F640)="","",INDEX('販売記録'!$C$5:$C$1004,$F640)))</ns0:f>
        <ns0:v/>
      </ns0:c>
      <ns0:c r="D640" s="8" t="str">
        <ns0:f>IF($F640="","",IF(INDEX('販売記録'!$D$5:$D$1004,$F640)="","",INDEX('販売記録'!$D$5:$D$1004,$F640)))</ns0:f>
        <ns0:v/>
      </ns0:c>
      <ns0:c r="E640" s="12" t="str">
        <ns0:f>IF(OR(A640="",B640=""),"",MAX(0,TODAY()-A640))</ns0:f>
        <ns0:v/>
      </ns0:c>
      <ns0:c r="F640" s="9" t="str">
        <ns0:f>IFERROR(MATCH(ROW()-4,'販売記録'!$L$5:$L$1004,0),"")</ns0:f>
        <ns0:v/>
      </ns0:c>
    </ns0:row>
    <ns0:row r="641">
      <ns0:c r="A641" s="11" t="str">
        <ns0:f>IF($F641="","",IF(INDEX('販売記録'!$K$5:$K$1004,$F641)="","",INDEX('販売記録'!$K$5:$K$1004,$F641)))</ns0:f>
        <ns0:v/>
      </ns0:c>
      <ns0:c r="B641" s="9" t="str">
        <ns0:f>IF($F641="","",IF(INDEX('販売記録'!$B$5:$B$1004,$F641)="","",INDEX('販売記録'!$B$5:$B$1004,$F641)))</ns0:f>
        <ns0:v/>
      </ns0:c>
      <ns0:c r="C641" s="9" t="str">
        <ns0:f>IF($F641="","",IF(INDEX('販売記録'!$C$5:$C$1004,$F641)="","",INDEX('販売記録'!$C$5:$C$1004,$F641)))</ns0:f>
        <ns0:v/>
      </ns0:c>
      <ns0:c r="D641" s="8" t="str">
        <ns0:f>IF($F641="","",IF(INDEX('販売記録'!$D$5:$D$1004,$F641)="","",INDEX('販売記録'!$D$5:$D$1004,$F641)))</ns0:f>
        <ns0:v/>
      </ns0:c>
      <ns0:c r="E641" s="12" t="str">
        <ns0:f>IF(OR(A641="",B641=""),"",MAX(0,TODAY()-A641))</ns0:f>
        <ns0:v/>
      </ns0:c>
      <ns0:c r="F641" s="9" t="str">
        <ns0:f>IFERROR(MATCH(ROW()-4,'販売記録'!$L$5:$L$1004,0),"")</ns0:f>
        <ns0:v/>
      </ns0:c>
    </ns0:row>
    <ns0:row r="642">
      <ns0:c r="A642" s="11" t="str">
        <ns0:f>IF($F642="","",IF(INDEX('販売記録'!$K$5:$K$1004,$F642)="","",INDEX('販売記録'!$K$5:$K$1004,$F642)))</ns0:f>
        <ns0:v/>
      </ns0:c>
      <ns0:c r="B642" s="9" t="str">
        <ns0:f>IF($F642="","",IF(INDEX('販売記録'!$B$5:$B$1004,$F642)="","",INDEX('販売記録'!$B$5:$B$1004,$F642)))</ns0:f>
        <ns0:v/>
      </ns0:c>
      <ns0:c r="C642" s="9" t="str">
        <ns0:f>IF($F642="","",IF(INDEX('販売記録'!$C$5:$C$1004,$F642)="","",INDEX('販売記録'!$C$5:$C$1004,$F642)))</ns0:f>
        <ns0:v/>
      </ns0:c>
      <ns0:c r="D642" s="8" t="str">
        <ns0:f>IF($F642="","",IF(INDEX('販売記録'!$D$5:$D$1004,$F642)="","",INDEX('販売記録'!$D$5:$D$1004,$F642)))</ns0:f>
        <ns0:v/>
      </ns0:c>
      <ns0:c r="E642" s="12" t="str">
        <ns0:f>IF(OR(A642="",B642=""),"",MAX(0,TODAY()-A642))</ns0:f>
        <ns0:v/>
      </ns0:c>
      <ns0:c r="F642" s="9" t="str">
        <ns0:f>IFERROR(MATCH(ROW()-4,'販売記録'!$L$5:$L$1004,0),"")</ns0:f>
        <ns0:v/>
      </ns0:c>
    </ns0:row>
    <ns0:row r="643">
      <ns0:c r="A643" s="11" t="str">
        <ns0:f>IF($F643="","",IF(INDEX('販売記録'!$K$5:$K$1004,$F643)="","",INDEX('販売記録'!$K$5:$K$1004,$F643)))</ns0:f>
        <ns0:v/>
      </ns0:c>
      <ns0:c r="B643" s="9" t="str">
        <ns0:f>IF($F643="","",IF(INDEX('販売記録'!$B$5:$B$1004,$F643)="","",INDEX('販売記録'!$B$5:$B$1004,$F643)))</ns0:f>
        <ns0:v/>
      </ns0:c>
      <ns0:c r="C643" s="9" t="str">
        <ns0:f>IF($F643="","",IF(INDEX('販売記録'!$C$5:$C$1004,$F643)="","",INDEX('販売記録'!$C$5:$C$1004,$F643)))</ns0:f>
        <ns0:v/>
      </ns0:c>
      <ns0:c r="D643" s="8" t="str">
        <ns0:f>IF($F643="","",IF(INDEX('販売記録'!$D$5:$D$1004,$F643)="","",INDEX('販売記録'!$D$5:$D$1004,$F643)))</ns0:f>
        <ns0:v/>
      </ns0:c>
      <ns0:c r="E643" s="12" t="str">
        <ns0:f>IF(OR(A643="",B643=""),"",MAX(0,TODAY()-A643))</ns0:f>
        <ns0:v/>
      </ns0:c>
      <ns0:c r="F643" s="9" t="str">
        <ns0:f>IFERROR(MATCH(ROW()-4,'販売記録'!$L$5:$L$1004,0),"")</ns0:f>
        <ns0:v/>
      </ns0:c>
    </ns0:row>
    <ns0:row r="644">
      <ns0:c r="A644" s="11" t="str">
        <ns0:f>IF($F644="","",IF(INDEX('販売記録'!$K$5:$K$1004,$F644)="","",INDEX('販売記録'!$K$5:$K$1004,$F644)))</ns0:f>
        <ns0:v/>
      </ns0:c>
      <ns0:c r="B644" s="9" t="str">
        <ns0:f>IF($F644="","",IF(INDEX('販売記録'!$B$5:$B$1004,$F644)="","",INDEX('販売記録'!$B$5:$B$1004,$F644)))</ns0:f>
        <ns0:v/>
      </ns0:c>
      <ns0:c r="C644" s="9" t="str">
        <ns0:f>IF($F644="","",IF(INDEX('販売記録'!$C$5:$C$1004,$F644)="","",INDEX('販売記録'!$C$5:$C$1004,$F644)))</ns0:f>
        <ns0:v/>
      </ns0:c>
      <ns0:c r="D644" s="8" t="str">
        <ns0:f>IF($F644="","",IF(INDEX('販売記録'!$D$5:$D$1004,$F644)="","",INDEX('販売記録'!$D$5:$D$1004,$F644)))</ns0:f>
        <ns0:v/>
      </ns0:c>
      <ns0:c r="E644" s="12" t="str">
        <ns0:f>IF(OR(A644="",B644=""),"",MAX(0,TODAY()-A644))</ns0:f>
        <ns0:v/>
      </ns0:c>
      <ns0:c r="F644" s="9" t="str">
        <ns0:f>IFERROR(MATCH(ROW()-4,'販売記録'!$L$5:$L$1004,0),"")</ns0:f>
        <ns0:v/>
      </ns0:c>
    </ns0:row>
    <ns0:row r="645">
      <ns0:c r="A645" s="11" t="str">
        <ns0:f>IF($F645="","",IF(INDEX('販売記録'!$K$5:$K$1004,$F645)="","",INDEX('販売記録'!$K$5:$K$1004,$F645)))</ns0:f>
        <ns0:v/>
      </ns0:c>
      <ns0:c r="B645" s="9" t="str">
        <ns0:f>IF($F645="","",IF(INDEX('販売記録'!$B$5:$B$1004,$F645)="","",INDEX('販売記録'!$B$5:$B$1004,$F645)))</ns0:f>
        <ns0:v/>
      </ns0:c>
      <ns0:c r="C645" s="9" t="str">
        <ns0:f>IF($F645="","",IF(INDEX('販売記録'!$C$5:$C$1004,$F645)="","",INDEX('販売記録'!$C$5:$C$1004,$F645)))</ns0:f>
        <ns0:v/>
      </ns0:c>
      <ns0:c r="D645" s="8" t="str">
        <ns0:f>IF($F645="","",IF(INDEX('販売記録'!$D$5:$D$1004,$F645)="","",INDEX('販売記録'!$D$5:$D$1004,$F645)))</ns0:f>
        <ns0:v/>
      </ns0:c>
      <ns0:c r="E645" s="12" t="str">
        <ns0:f>IF(OR(A645="",B645=""),"",MAX(0,TODAY()-A645))</ns0:f>
        <ns0:v/>
      </ns0:c>
      <ns0:c r="F645" s="9" t="str">
        <ns0:f>IFERROR(MATCH(ROW()-4,'販売記録'!$L$5:$L$1004,0),"")</ns0:f>
        <ns0:v/>
      </ns0:c>
    </ns0:row>
    <ns0:row r="646">
      <ns0:c r="A646" s="11" t="str">
        <ns0:f>IF($F646="","",IF(INDEX('販売記録'!$K$5:$K$1004,$F646)="","",INDEX('販売記録'!$K$5:$K$1004,$F646)))</ns0:f>
        <ns0:v/>
      </ns0:c>
      <ns0:c r="B646" s="9" t="str">
        <ns0:f>IF($F646="","",IF(INDEX('販売記録'!$B$5:$B$1004,$F646)="","",INDEX('販売記録'!$B$5:$B$1004,$F646)))</ns0:f>
        <ns0:v/>
      </ns0:c>
      <ns0:c r="C646" s="9" t="str">
        <ns0:f>IF($F646="","",IF(INDEX('販売記録'!$C$5:$C$1004,$F646)="","",INDEX('販売記録'!$C$5:$C$1004,$F646)))</ns0:f>
        <ns0:v/>
      </ns0:c>
      <ns0:c r="D646" s="8" t="str">
        <ns0:f>IF($F646="","",IF(INDEX('販売記録'!$D$5:$D$1004,$F646)="","",INDEX('販売記録'!$D$5:$D$1004,$F646)))</ns0:f>
        <ns0:v/>
      </ns0:c>
      <ns0:c r="E646" s="12" t="str">
        <ns0:f>IF(OR(A646="",B646=""),"",MAX(0,TODAY()-A646))</ns0:f>
        <ns0:v/>
      </ns0:c>
      <ns0:c r="F646" s="9" t="str">
        <ns0:f>IFERROR(MATCH(ROW()-4,'販売記録'!$L$5:$L$1004,0),"")</ns0:f>
        <ns0:v/>
      </ns0:c>
    </ns0:row>
    <ns0:row r="647">
      <ns0:c r="A647" s="11" t="str">
        <ns0:f>IF($F647="","",IF(INDEX('販売記録'!$K$5:$K$1004,$F647)="","",INDEX('販売記録'!$K$5:$K$1004,$F647)))</ns0:f>
        <ns0:v/>
      </ns0:c>
      <ns0:c r="B647" s="9" t="str">
        <ns0:f>IF($F647="","",IF(INDEX('販売記録'!$B$5:$B$1004,$F647)="","",INDEX('販売記録'!$B$5:$B$1004,$F647)))</ns0:f>
        <ns0:v/>
      </ns0:c>
      <ns0:c r="C647" s="9" t="str">
        <ns0:f>IF($F647="","",IF(INDEX('販売記録'!$C$5:$C$1004,$F647)="","",INDEX('販売記録'!$C$5:$C$1004,$F647)))</ns0:f>
        <ns0:v/>
      </ns0:c>
      <ns0:c r="D647" s="8" t="str">
        <ns0:f>IF($F647="","",IF(INDEX('販売記録'!$D$5:$D$1004,$F647)="","",INDEX('販売記録'!$D$5:$D$1004,$F647)))</ns0:f>
        <ns0:v/>
      </ns0:c>
      <ns0:c r="E647" s="12" t="str">
        <ns0:f>IF(OR(A647="",B647=""),"",MAX(0,TODAY()-A647))</ns0:f>
        <ns0:v/>
      </ns0:c>
      <ns0:c r="F647" s="9" t="str">
        <ns0:f>IFERROR(MATCH(ROW()-4,'販売記録'!$L$5:$L$1004,0),"")</ns0:f>
        <ns0:v/>
      </ns0:c>
    </ns0:row>
    <ns0:row r="648">
      <ns0:c r="A648" s="11" t="str">
        <ns0:f>IF($F648="","",IF(INDEX('販売記録'!$K$5:$K$1004,$F648)="","",INDEX('販売記録'!$K$5:$K$1004,$F648)))</ns0:f>
        <ns0:v/>
      </ns0:c>
      <ns0:c r="B648" s="9" t="str">
        <ns0:f>IF($F648="","",IF(INDEX('販売記録'!$B$5:$B$1004,$F648)="","",INDEX('販売記録'!$B$5:$B$1004,$F648)))</ns0:f>
        <ns0:v/>
      </ns0:c>
      <ns0:c r="C648" s="9" t="str">
        <ns0:f>IF($F648="","",IF(INDEX('販売記録'!$C$5:$C$1004,$F648)="","",INDEX('販売記録'!$C$5:$C$1004,$F648)))</ns0:f>
        <ns0:v/>
      </ns0:c>
      <ns0:c r="D648" s="8" t="str">
        <ns0:f>IF($F648="","",IF(INDEX('販売記録'!$D$5:$D$1004,$F648)="","",INDEX('販売記録'!$D$5:$D$1004,$F648)))</ns0:f>
        <ns0:v/>
      </ns0:c>
      <ns0:c r="E648" s="12" t="str">
        <ns0:f>IF(OR(A648="",B648=""),"",MAX(0,TODAY()-A648))</ns0:f>
        <ns0:v/>
      </ns0:c>
      <ns0:c r="F648" s="9" t="str">
        <ns0:f>IFERROR(MATCH(ROW()-4,'販売記録'!$L$5:$L$1004,0),"")</ns0:f>
        <ns0:v/>
      </ns0:c>
    </ns0:row>
    <ns0:row r="649">
      <ns0:c r="A649" s="11" t="str">
        <ns0:f>IF($F649="","",IF(INDEX('販売記録'!$K$5:$K$1004,$F649)="","",INDEX('販売記録'!$K$5:$K$1004,$F649)))</ns0:f>
        <ns0:v/>
      </ns0:c>
      <ns0:c r="B649" s="9" t="str">
        <ns0:f>IF($F649="","",IF(INDEX('販売記録'!$B$5:$B$1004,$F649)="","",INDEX('販売記録'!$B$5:$B$1004,$F649)))</ns0:f>
        <ns0:v/>
      </ns0:c>
      <ns0:c r="C649" s="9" t="str">
        <ns0:f>IF($F649="","",IF(INDEX('販売記録'!$C$5:$C$1004,$F649)="","",INDEX('販売記録'!$C$5:$C$1004,$F649)))</ns0:f>
        <ns0:v/>
      </ns0:c>
      <ns0:c r="D649" s="8" t="str">
        <ns0:f>IF($F649="","",IF(INDEX('販売記録'!$D$5:$D$1004,$F649)="","",INDEX('販売記録'!$D$5:$D$1004,$F649)))</ns0:f>
        <ns0:v/>
      </ns0:c>
      <ns0:c r="E649" s="12" t="str">
        <ns0:f>IF(OR(A649="",B649=""),"",MAX(0,TODAY()-A649))</ns0:f>
        <ns0:v/>
      </ns0:c>
      <ns0:c r="F649" s="9" t="str">
        <ns0:f>IFERROR(MATCH(ROW()-4,'販売記録'!$L$5:$L$1004,0),"")</ns0:f>
        <ns0:v/>
      </ns0:c>
    </ns0:row>
    <ns0:row r="650">
      <ns0:c r="A650" s="11" t="str">
        <ns0:f>IF($F650="","",IF(INDEX('販売記録'!$K$5:$K$1004,$F650)="","",INDEX('販売記録'!$K$5:$K$1004,$F650)))</ns0:f>
        <ns0:v/>
      </ns0:c>
      <ns0:c r="B650" s="9" t="str">
        <ns0:f>IF($F650="","",IF(INDEX('販売記録'!$B$5:$B$1004,$F650)="","",INDEX('販売記録'!$B$5:$B$1004,$F650)))</ns0:f>
        <ns0:v/>
      </ns0:c>
      <ns0:c r="C650" s="9" t="str">
        <ns0:f>IF($F650="","",IF(INDEX('販売記録'!$C$5:$C$1004,$F650)="","",INDEX('販売記録'!$C$5:$C$1004,$F650)))</ns0:f>
        <ns0:v/>
      </ns0:c>
      <ns0:c r="D650" s="8" t="str">
        <ns0:f>IF($F650="","",IF(INDEX('販売記録'!$D$5:$D$1004,$F650)="","",INDEX('販売記録'!$D$5:$D$1004,$F650)))</ns0:f>
        <ns0:v/>
      </ns0:c>
      <ns0:c r="E650" s="12" t="str">
        <ns0:f>IF(OR(A650="",B650=""),"",MAX(0,TODAY()-A650))</ns0:f>
        <ns0:v/>
      </ns0:c>
      <ns0:c r="F650" s="9" t="str">
        <ns0:f>IFERROR(MATCH(ROW()-4,'販売記録'!$L$5:$L$1004,0),"")</ns0:f>
        <ns0:v/>
      </ns0:c>
    </ns0:row>
    <ns0:row r="651">
      <ns0:c r="A651" s="11" t="str">
        <ns0:f>IF($F651="","",IF(INDEX('販売記録'!$K$5:$K$1004,$F651)="","",INDEX('販売記録'!$K$5:$K$1004,$F651)))</ns0:f>
        <ns0:v/>
      </ns0:c>
      <ns0:c r="B651" s="9" t="str">
        <ns0:f>IF($F651="","",IF(INDEX('販売記録'!$B$5:$B$1004,$F651)="","",INDEX('販売記録'!$B$5:$B$1004,$F651)))</ns0:f>
        <ns0:v/>
      </ns0:c>
      <ns0:c r="C651" s="9" t="str">
        <ns0:f>IF($F651="","",IF(INDEX('販売記録'!$C$5:$C$1004,$F651)="","",INDEX('販売記録'!$C$5:$C$1004,$F651)))</ns0:f>
        <ns0:v/>
      </ns0:c>
      <ns0:c r="D651" s="8" t="str">
        <ns0:f>IF($F651="","",IF(INDEX('販売記録'!$D$5:$D$1004,$F651)="","",INDEX('販売記録'!$D$5:$D$1004,$F651)))</ns0:f>
        <ns0:v/>
      </ns0:c>
      <ns0:c r="E651" s="12" t="str">
        <ns0:f>IF(OR(A651="",B651=""),"",MAX(0,TODAY()-A651))</ns0:f>
        <ns0:v/>
      </ns0:c>
      <ns0:c r="F651" s="9" t="str">
        <ns0:f>IFERROR(MATCH(ROW()-4,'販売記録'!$L$5:$L$1004,0),"")</ns0:f>
        <ns0:v/>
      </ns0:c>
    </ns0:row>
    <ns0:row r="652">
      <ns0:c r="A652" s="11" t="str">
        <ns0:f>IF($F652="","",IF(INDEX('販売記録'!$K$5:$K$1004,$F652)="","",INDEX('販売記録'!$K$5:$K$1004,$F652)))</ns0:f>
        <ns0:v/>
      </ns0:c>
      <ns0:c r="B652" s="9" t="str">
        <ns0:f>IF($F652="","",IF(INDEX('販売記録'!$B$5:$B$1004,$F652)="","",INDEX('販売記録'!$B$5:$B$1004,$F652)))</ns0:f>
        <ns0:v/>
      </ns0:c>
      <ns0:c r="C652" s="9" t="str">
        <ns0:f>IF($F652="","",IF(INDEX('販売記録'!$C$5:$C$1004,$F652)="","",INDEX('販売記録'!$C$5:$C$1004,$F652)))</ns0:f>
        <ns0:v/>
      </ns0:c>
      <ns0:c r="D652" s="8" t="str">
        <ns0:f>IF($F652="","",IF(INDEX('販売記録'!$D$5:$D$1004,$F652)="","",INDEX('販売記録'!$D$5:$D$1004,$F652)))</ns0:f>
        <ns0:v/>
      </ns0:c>
      <ns0:c r="E652" s="12" t="str">
        <ns0:f>IF(OR(A652="",B652=""),"",MAX(0,TODAY()-A652))</ns0:f>
        <ns0:v/>
      </ns0:c>
      <ns0:c r="F652" s="9" t="str">
        <ns0:f>IFERROR(MATCH(ROW()-4,'販売記録'!$L$5:$L$1004,0),"")</ns0:f>
        <ns0:v/>
      </ns0:c>
    </ns0:row>
    <ns0:row r="653">
      <ns0:c r="A653" s="11" t="str">
        <ns0:f>IF($F653="","",IF(INDEX('販売記録'!$K$5:$K$1004,$F653)="","",INDEX('販売記録'!$K$5:$K$1004,$F653)))</ns0:f>
        <ns0:v/>
      </ns0:c>
      <ns0:c r="B653" s="9" t="str">
        <ns0:f>IF($F653="","",IF(INDEX('販売記録'!$B$5:$B$1004,$F653)="","",INDEX('販売記録'!$B$5:$B$1004,$F653)))</ns0:f>
        <ns0:v/>
      </ns0:c>
      <ns0:c r="C653" s="9" t="str">
        <ns0:f>IF($F653="","",IF(INDEX('販売記録'!$C$5:$C$1004,$F653)="","",INDEX('販売記録'!$C$5:$C$1004,$F653)))</ns0:f>
        <ns0:v/>
      </ns0:c>
      <ns0:c r="D653" s="8" t="str">
        <ns0:f>IF($F653="","",IF(INDEX('販売記録'!$D$5:$D$1004,$F653)="","",INDEX('販売記録'!$D$5:$D$1004,$F653)))</ns0:f>
        <ns0:v/>
      </ns0:c>
      <ns0:c r="E653" s="12" t="str">
        <ns0:f>IF(OR(A653="",B653=""),"",MAX(0,TODAY()-A653))</ns0:f>
        <ns0:v/>
      </ns0:c>
      <ns0:c r="F653" s="9" t="str">
        <ns0:f>IFERROR(MATCH(ROW()-4,'販売記録'!$L$5:$L$1004,0),"")</ns0:f>
        <ns0:v/>
      </ns0:c>
    </ns0:row>
    <ns0:row r="654">
      <ns0:c r="A654" s="11" t="str">
        <ns0:f>IF($F654="","",IF(INDEX('販売記録'!$K$5:$K$1004,$F654)="","",INDEX('販売記録'!$K$5:$K$1004,$F654)))</ns0:f>
        <ns0:v/>
      </ns0:c>
      <ns0:c r="B654" s="9" t="str">
        <ns0:f>IF($F654="","",IF(INDEX('販売記録'!$B$5:$B$1004,$F654)="","",INDEX('販売記録'!$B$5:$B$1004,$F654)))</ns0:f>
        <ns0:v/>
      </ns0:c>
      <ns0:c r="C654" s="9" t="str">
        <ns0:f>IF($F654="","",IF(INDEX('販売記録'!$C$5:$C$1004,$F654)="","",INDEX('販売記録'!$C$5:$C$1004,$F654)))</ns0:f>
        <ns0:v/>
      </ns0:c>
      <ns0:c r="D654" s="8" t="str">
        <ns0:f>IF($F654="","",IF(INDEX('販売記録'!$D$5:$D$1004,$F654)="","",INDEX('販売記録'!$D$5:$D$1004,$F654)))</ns0:f>
        <ns0:v/>
      </ns0:c>
      <ns0:c r="E654" s="12" t="str">
        <ns0:f>IF(OR(A654="",B654=""),"",MAX(0,TODAY()-A654))</ns0:f>
        <ns0:v/>
      </ns0:c>
      <ns0:c r="F654" s="9" t="str">
        <ns0:f>IFERROR(MATCH(ROW()-4,'販売記録'!$L$5:$L$1004,0),"")</ns0:f>
        <ns0:v/>
      </ns0:c>
    </ns0:row>
    <ns0:row r="655">
      <ns0:c r="A655" s="11" t="str">
        <ns0:f>IF($F655="","",IF(INDEX('販売記録'!$K$5:$K$1004,$F655)="","",INDEX('販売記録'!$K$5:$K$1004,$F655)))</ns0:f>
        <ns0:v/>
      </ns0:c>
      <ns0:c r="B655" s="9" t="str">
        <ns0:f>IF($F655="","",IF(INDEX('販売記録'!$B$5:$B$1004,$F655)="","",INDEX('販売記録'!$B$5:$B$1004,$F655)))</ns0:f>
        <ns0:v/>
      </ns0:c>
      <ns0:c r="C655" s="9" t="str">
        <ns0:f>IF($F655="","",IF(INDEX('販売記録'!$C$5:$C$1004,$F655)="","",INDEX('販売記録'!$C$5:$C$1004,$F655)))</ns0:f>
        <ns0:v/>
      </ns0:c>
      <ns0:c r="D655" s="8" t="str">
        <ns0:f>IF($F655="","",IF(INDEX('販売記録'!$D$5:$D$1004,$F655)="","",INDEX('販売記録'!$D$5:$D$1004,$F655)))</ns0:f>
        <ns0:v/>
      </ns0:c>
      <ns0:c r="E655" s="12" t="str">
        <ns0:f>IF(OR(A655="",B655=""),"",MAX(0,TODAY()-A655))</ns0:f>
        <ns0:v/>
      </ns0:c>
      <ns0:c r="F655" s="9" t="str">
        <ns0:f>IFERROR(MATCH(ROW()-4,'販売記録'!$L$5:$L$1004,0),"")</ns0:f>
        <ns0:v/>
      </ns0:c>
    </ns0:row>
    <ns0:row r="656">
      <ns0:c r="A656" s="11" t="str">
        <ns0:f>IF($F656="","",IF(INDEX('販売記録'!$K$5:$K$1004,$F656)="","",INDEX('販売記録'!$K$5:$K$1004,$F656)))</ns0:f>
        <ns0:v/>
      </ns0:c>
      <ns0:c r="B656" s="9" t="str">
        <ns0:f>IF($F656="","",IF(INDEX('販売記録'!$B$5:$B$1004,$F656)="","",INDEX('販売記録'!$B$5:$B$1004,$F656)))</ns0:f>
        <ns0:v/>
      </ns0:c>
      <ns0:c r="C656" s="9" t="str">
        <ns0:f>IF($F656="","",IF(INDEX('販売記録'!$C$5:$C$1004,$F656)="","",INDEX('販売記録'!$C$5:$C$1004,$F656)))</ns0:f>
        <ns0:v/>
      </ns0:c>
      <ns0:c r="D656" s="8" t="str">
        <ns0:f>IF($F656="","",IF(INDEX('販売記録'!$D$5:$D$1004,$F656)="","",INDEX('販売記録'!$D$5:$D$1004,$F656)))</ns0:f>
        <ns0:v/>
      </ns0:c>
      <ns0:c r="E656" s="12" t="str">
        <ns0:f>IF(OR(A656="",B656=""),"",MAX(0,TODAY()-A656))</ns0:f>
        <ns0:v/>
      </ns0:c>
      <ns0:c r="F656" s="9" t="str">
        <ns0:f>IFERROR(MATCH(ROW()-4,'販売記録'!$L$5:$L$1004,0),"")</ns0:f>
        <ns0:v/>
      </ns0:c>
    </ns0:row>
    <ns0:row r="657">
      <ns0:c r="A657" s="11" t="str">
        <ns0:f>IF($F657="","",IF(INDEX('販売記録'!$K$5:$K$1004,$F657)="","",INDEX('販売記録'!$K$5:$K$1004,$F657)))</ns0:f>
        <ns0:v/>
      </ns0:c>
      <ns0:c r="B657" s="9" t="str">
        <ns0:f>IF($F657="","",IF(INDEX('販売記録'!$B$5:$B$1004,$F657)="","",INDEX('販売記録'!$B$5:$B$1004,$F657)))</ns0:f>
        <ns0:v/>
      </ns0:c>
      <ns0:c r="C657" s="9" t="str">
        <ns0:f>IF($F657="","",IF(INDEX('販売記録'!$C$5:$C$1004,$F657)="","",INDEX('販売記録'!$C$5:$C$1004,$F657)))</ns0:f>
        <ns0:v/>
      </ns0:c>
      <ns0:c r="D657" s="8" t="str">
        <ns0:f>IF($F657="","",IF(INDEX('販売記録'!$D$5:$D$1004,$F657)="","",INDEX('販売記録'!$D$5:$D$1004,$F657)))</ns0:f>
        <ns0:v/>
      </ns0:c>
      <ns0:c r="E657" s="12" t="str">
        <ns0:f>IF(OR(A657="",B657=""),"",MAX(0,TODAY()-A657))</ns0:f>
        <ns0:v/>
      </ns0:c>
      <ns0:c r="F657" s="9" t="str">
        <ns0:f>IFERROR(MATCH(ROW()-4,'販売記録'!$L$5:$L$1004,0),"")</ns0:f>
        <ns0:v/>
      </ns0:c>
    </ns0:row>
    <ns0:row r="658">
      <ns0:c r="A658" s="11" t="str">
        <ns0:f>IF($F658="","",IF(INDEX('販売記録'!$K$5:$K$1004,$F658)="","",INDEX('販売記録'!$K$5:$K$1004,$F658)))</ns0:f>
        <ns0:v/>
      </ns0:c>
      <ns0:c r="B658" s="9" t="str">
        <ns0:f>IF($F658="","",IF(INDEX('販売記録'!$B$5:$B$1004,$F658)="","",INDEX('販売記録'!$B$5:$B$1004,$F658)))</ns0:f>
        <ns0:v/>
      </ns0:c>
      <ns0:c r="C658" s="9" t="str">
        <ns0:f>IF($F658="","",IF(INDEX('販売記録'!$C$5:$C$1004,$F658)="","",INDEX('販売記録'!$C$5:$C$1004,$F658)))</ns0:f>
        <ns0:v/>
      </ns0:c>
      <ns0:c r="D658" s="8" t="str">
        <ns0:f>IF($F658="","",IF(INDEX('販売記録'!$D$5:$D$1004,$F658)="","",INDEX('販売記録'!$D$5:$D$1004,$F658)))</ns0:f>
        <ns0:v/>
      </ns0:c>
      <ns0:c r="E658" s="12" t="str">
        <ns0:f>IF(OR(A658="",B658=""),"",MAX(0,TODAY()-A658))</ns0:f>
        <ns0:v/>
      </ns0:c>
      <ns0:c r="F658" s="9" t="str">
        <ns0:f>IFERROR(MATCH(ROW()-4,'販売記録'!$L$5:$L$1004,0),"")</ns0:f>
        <ns0:v/>
      </ns0:c>
    </ns0:row>
    <ns0:row r="659">
      <ns0:c r="A659" s="11" t="str">
        <ns0:f>IF($F659="","",IF(INDEX('販売記録'!$K$5:$K$1004,$F659)="","",INDEX('販売記録'!$K$5:$K$1004,$F659)))</ns0:f>
        <ns0:v/>
      </ns0:c>
      <ns0:c r="B659" s="9" t="str">
        <ns0:f>IF($F659="","",IF(INDEX('販売記録'!$B$5:$B$1004,$F659)="","",INDEX('販売記録'!$B$5:$B$1004,$F659)))</ns0:f>
        <ns0:v/>
      </ns0:c>
      <ns0:c r="C659" s="9" t="str">
        <ns0:f>IF($F659="","",IF(INDEX('販売記録'!$C$5:$C$1004,$F659)="","",INDEX('販売記録'!$C$5:$C$1004,$F659)))</ns0:f>
        <ns0:v/>
      </ns0:c>
      <ns0:c r="D659" s="8" t="str">
        <ns0:f>IF($F659="","",IF(INDEX('販売記録'!$D$5:$D$1004,$F659)="","",INDEX('販売記録'!$D$5:$D$1004,$F659)))</ns0:f>
        <ns0:v/>
      </ns0:c>
      <ns0:c r="E659" s="12" t="str">
        <ns0:f>IF(OR(A659="",B659=""),"",MAX(0,TODAY()-A659))</ns0:f>
        <ns0:v/>
      </ns0:c>
      <ns0:c r="F659" s="9" t="str">
        <ns0:f>IFERROR(MATCH(ROW()-4,'販売記録'!$L$5:$L$1004,0),"")</ns0:f>
        <ns0:v/>
      </ns0:c>
    </ns0:row>
    <ns0:row r="660">
      <ns0:c r="A660" s="11" t="str">
        <ns0:f>IF($F660="","",IF(INDEX('販売記録'!$K$5:$K$1004,$F660)="","",INDEX('販売記録'!$K$5:$K$1004,$F660)))</ns0:f>
        <ns0:v/>
      </ns0:c>
      <ns0:c r="B660" s="9" t="str">
        <ns0:f>IF($F660="","",IF(INDEX('販売記録'!$B$5:$B$1004,$F660)="","",INDEX('販売記録'!$B$5:$B$1004,$F660)))</ns0:f>
        <ns0:v/>
      </ns0:c>
      <ns0:c r="C660" s="9" t="str">
        <ns0:f>IF($F660="","",IF(INDEX('販売記録'!$C$5:$C$1004,$F660)="","",INDEX('販売記録'!$C$5:$C$1004,$F660)))</ns0:f>
        <ns0:v/>
      </ns0:c>
      <ns0:c r="D660" s="8" t="str">
        <ns0:f>IF($F660="","",IF(INDEX('販売記録'!$D$5:$D$1004,$F660)="","",INDEX('販売記録'!$D$5:$D$1004,$F660)))</ns0:f>
        <ns0:v/>
      </ns0:c>
      <ns0:c r="E660" s="12" t="str">
        <ns0:f>IF(OR(A660="",B660=""),"",MAX(0,TODAY()-A660))</ns0:f>
        <ns0:v/>
      </ns0:c>
      <ns0:c r="F660" s="9" t="str">
        <ns0:f>IFERROR(MATCH(ROW()-4,'販売記録'!$L$5:$L$1004,0),"")</ns0:f>
        <ns0:v/>
      </ns0:c>
    </ns0:row>
    <ns0:row r="661">
      <ns0:c r="A661" s="11" t="str">
        <ns0:f>IF($F661="","",IF(INDEX('販売記録'!$K$5:$K$1004,$F661)="","",INDEX('販売記録'!$K$5:$K$1004,$F661)))</ns0:f>
        <ns0:v/>
      </ns0:c>
      <ns0:c r="B661" s="9" t="str">
        <ns0:f>IF($F661="","",IF(INDEX('販売記録'!$B$5:$B$1004,$F661)="","",INDEX('販売記録'!$B$5:$B$1004,$F661)))</ns0:f>
        <ns0:v/>
      </ns0:c>
      <ns0:c r="C661" s="9" t="str">
        <ns0:f>IF($F661="","",IF(INDEX('販売記録'!$C$5:$C$1004,$F661)="","",INDEX('販売記録'!$C$5:$C$1004,$F661)))</ns0:f>
        <ns0:v/>
      </ns0:c>
      <ns0:c r="D661" s="8" t="str">
        <ns0:f>IF($F661="","",IF(INDEX('販売記録'!$D$5:$D$1004,$F661)="","",INDEX('販売記録'!$D$5:$D$1004,$F661)))</ns0:f>
        <ns0:v/>
      </ns0:c>
      <ns0:c r="E661" s="12" t="str">
        <ns0:f>IF(OR(A661="",B661=""),"",MAX(0,TODAY()-A661))</ns0:f>
        <ns0:v/>
      </ns0:c>
      <ns0:c r="F661" s="9" t="str">
        <ns0:f>IFERROR(MATCH(ROW()-4,'販売記録'!$L$5:$L$1004,0),"")</ns0:f>
        <ns0:v/>
      </ns0:c>
    </ns0:row>
    <ns0:row r="662">
      <ns0:c r="A662" s="11" t="str">
        <ns0:f>IF($F662="","",IF(INDEX('販売記録'!$K$5:$K$1004,$F662)="","",INDEX('販売記録'!$K$5:$K$1004,$F662)))</ns0:f>
        <ns0:v/>
      </ns0:c>
      <ns0:c r="B662" s="9" t="str">
        <ns0:f>IF($F662="","",IF(INDEX('販売記録'!$B$5:$B$1004,$F662)="","",INDEX('販売記録'!$B$5:$B$1004,$F662)))</ns0:f>
        <ns0:v/>
      </ns0:c>
      <ns0:c r="C662" s="9" t="str">
        <ns0:f>IF($F662="","",IF(INDEX('販売記録'!$C$5:$C$1004,$F662)="","",INDEX('販売記録'!$C$5:$C$1004,$F662)))</ns0:f>
        <ns0:v/>
      </ns0:c>
      <ns0:c r="D662" s="8" t="str">
        <ns0:f>IF($F662="","",IF(INDEX('販売記録'!$D$5:$D$1004,$F662)="","",INDEX('販売記録'!$D$5:$D$1004,$F662)))</ns0:f>
        <ns0:v/>
      </ns0:c>
      <ns0:c r="E662" s="12" t="str">
        <ns0:f>IF(OR(A662="",B662=""),"",MAX(0,TODAY()-A662))</ns0:f>
        <ns0:v/>
      </ns0:c>
      <ns0:c r="F662" s="9" t="str">
        <ns0:f>IFERROR(MATCH(ROW()-4,'販売記録'!$L$5:$L$1004,0),"")</ns0:f>
        <ns0:v/>
      </ns0:c>
    </ns0:row>
    <ns0:row r="663">
      <ns0:c r="A663" s="11" t="str">
        <ns0:f>IF($F663="","",IF(INDEX('販売記録'!$K$5:$K$1004,$F663)="","",INDEX('販売記録'!$K$5:$K$1004,$F663)))</ns0:f>
        <ns0:v/>
      </ns0:c>
      <ns0:c r="B663" s="9" t="str">
        <ns0:f>IF($F663="","",IF(INDEX('販売記録'!$B$5:$B$1004,$F663)="","",INDEX('販売記録'!$B$5:$B$1004,$F663)))</ns0:f>
        <ns0:v/>
      </ns0:c>
      <ns0:c r="C663" s="9" t="str">
        <ns0:f>IF($F663="","",IF(INDEX('販売記録'!$C$5:$C$1004,$F663)="","",INDEX('販売記録'!$C$5:$C$1004,$F663)))</ns0:f>
        <ns0:v/>
      </ns0:c>
      <ns0:c r="D663" s="8" t="str">
        <ns0:f>IF($F663="","",IF(INDEX('販売記録'!$D$5:$D$1004,$F663)="","",INDEX('販売記録'!$D$5:$D$1004,$F663)))</ns0:f>
        <ns0:v/>
      </ns0:c>
      <ns0:c r="E663" s="12" t="str">
        <ns0:f>IF(OR(A663="",B663=""),"",MAX(0,TODAY()-A663))</ns0:f>
        <ns0:v/>
      </ns0:c>
      <ns0:c r="F663" s="9" t="str">
        <ns0:f>IFERROR(MATCH(ROW()-4,'販売記録'!$L$5:$L$1004,0),"")</ns0:f>
        <ns0:v/>
      </ns0:c>
    </ns0:row>
    <ns0:row r="664">
      <ns0:c r="A664" s="11" t="str">
        <ns0:f>IF($F664="","",IF(INDEX('販売記録'!$K$5:$K$1004,$F664)="","",INDEX('販売記録'!$K$5:$K$1004,$F664)))</ns0:f>
        <ns0:v/>
      </ns0:c>
      <ns0:c r="B664" s="9" t="str">
        <ns0:f>IF($F664="","",IF(INDEX('販売記録'!$B$5:$B$1004,$F664)="","",INDEX('販売記録'!$B$5:$B$1004,$F664)))</ns0:f>
        <ns0:v/>
      </ns0:c>
      <ns0:c r="C664" s="9" t="str">
        <ns0:f>IF($F664="","",IF(INDEX('販売記録'!$C$5:$C$1004,$F664)="","",INDEX('販売記録'!$C$5:$C$1004,$F664)))</ns0:f>
        <ns0:v/>
      </ns0:c>
      <ns0:c r="D664" s="8" t="str">
        <ns0:f>IF($F664="","",IF(INDEX('販売記録'!$D$5:$D$1004,$F664)="","",INDEX('販売記録'!$D$5:$D$1004,$F664)))</ns0:f>
        <ns0:v/>
      </ns0:c>
      <ns0:c r="E664" s="12" t="str">
        <ns0:f>IF(OR(A664="",B664=""),"",MAX(0,TODAY()-A664))</ns0:f>
        <ns0:v/>
      </ns0:c>
      <ns0:c r="F664" s="9" t="str">
        <ns0:f>IFERROR(MATCH(ROW()-4,'販売記録'!$L$5:$L$1004,0),"")</ns0:f>
        <ns0:v/>
      </ns0:c>
    </ns0:row>
    <ns0:row r="665">
      <ns0:c r="A665" s="11" t="str">
        <ns0:f>IF($F665="","",IF(INDEX('販売記録'!$K$5:$K$1004,$F665)="","",INDEX('販売記録'!$K$5:$K$1004,$F665)))</ns0:f>
        <ns0:v/>
      </ns0:c>
      <ns0:c r="B665" s="9" t="str">
        <ns0:f>IF($F665="","",IF(INDEX('販売記録'!$B$5:$B$1004,$F665)="","",INDEX('販売記録'!$B$5:$B$1004,$F665)))</ns0:f>
        <ns0:v/>
      </ns0:c>
      <ns0:c r="C665" s="9" t="str">
        <ns0:f>IF($F665="","",IF(INDEX('販売記録'!$C$5:$C$1004,$F665)="","",INDEX('販売記録'!$C$5:$C$1004,$F665)))</ns0:f>
        <ns0:v/>
      </ns0:c>
      <ns0:c r="D665" s="8" t="str">
        <ns0:f>IF($F665="","",IF(INDEX('販売記録'!$D$5:$D$1004,$F665)="","",INDEX('販売記録'!$D$5:$D$1004,$F665)))</ns0:f>
        <ns0:v/>
      </ns0:c>
      <ns0:c r="E665" s="12" t="str">
        <ns0:f>IF(OR(A665="",B665=""),"",MAX(0,TODAY()-A665))</ns0:f>
        <ns0:v/>
      </ns0:c>
      <ns0:c r="F665" s="9" t="str">
        <ns0:f>IFERROR(MATCH(ROW()-4,'販売記録'!$L$5:$L$1004,0),"")</ns0:f>
        <ns0:v/>
      </ns0:c>
    </ns0:row>
    <ns0:row r="666">
      <ns0:c r="A666" s="11" t="str">
        <ns0:f>IF($F666="","",IF(INDEX('販売記録'!$K$5:$K$1004,$F666)="","",INDEX('販売記録'!$K$5:$K$1004,$F666)))</ns0:f>
        <ns0:v/>
      </ns0:c>
      <ns0:c r="B666" s="9" t="str">
        <ns0:f>IF($F666="","",IF(INDEX('販売記録'!$B$5:$B$1004,$F666)="","",INDEX('販売記録'!$B$5:$B$1004,$F666)))</ns0:f>
        <ns0:v/>
      </ns0:c>
      <ns0:c r="C666" s="9" t="str">
        <ns0:f>IF($F666="","",IF(INDEX('販売記録'!$C$5:$C$1004,$F666)="","",INDEX('販売記録'!$C$5:$C$1004,$F666)))</ns0:f>
        <ns0:v/>
      </ns0:c>
      <ns0:c r="D666" s="8" t="str">
        <ns0:f>IF($F666="","",IF(INDEX('販売記録'!$D$5:$D$1004,$F666)="","",INDEX('販売記録'!$D$5:$D$1004,$F666)))</ns0:f>
        <ns0:v/>
      </ns0:c>
      <ns0:c r="E666" s="12" t="str">
        <ns0:f>IF(OR(A666="",B666=""),"",MAX(0,TODAY()-A666))</ns0:f>
        <ns0:v/>
      </ns0:c>
      <ns0:c r="F666" s="9" t="str">
        <ns0:f>IFERROR(MATCH(ROW()-4,'販売記録'!$L$5:$L$1004,0),"")</ns0:f>
        <ns0:v/>
      </ns0:c>
    </ns0:row>
    <ns0:row r="667">
      <ns0:c r="A667" s="11" t="str">
        <ns0:f>IF($F667="","",IF(INDEX('販売記録'!$K$5:$K$1004,$F667)="","",INDEX('販売記録'!$K$5:$K$1004,$F667)))</ns0:f>
        <ns0:v/>
      </ns0:c>
      <ns0:c r="B667" s="9" t="str">
        <ns0:f>IF($F667="","",IF(INDEX('販売記録'!$B$5:$B$1004,$F667)="","",INDEX('販売記録'!$B$5:$B$1004,$F667)))</ns0:f>
        <ns0:v/>
      </ns0:c>
      <ns0:c r="C667" s="9" t="str">
        <ns0:f>IF($F667="","",IF(INDEX('販売記録'!$C$5:$C$1004,$F667)="","",INDEX('販売記録'!$C$5:$C$1004,$F667)))</ns0:f>
        <ns0:v/>
      </ns0:c>
      <ns0:c r="D667" s="8" t="str">
        <ns0:f>IF($F667="","",IF(INDEX('販売記録'!$D$5:$D$1004,$F667)="","",INDEX('販売記録'!$D$5:$D$1004,$F667)))</ns0:f>
        <ns0:v/>
      </ns0:c>
      <ns0:c r="E667" s="12" t="str">
        <ns0:f>IF(OR(A667="",B667=""),"",MAX(0,TODAY()-A667))</ns0:f>
        <ns0:v/>
      </ns0:c>
      <ns0:c r="F667" s="9" t="str">
        <ns0:f>IFERROR(MATCH(ROW()-4,'販売記録'!$L$5:$L$1004,0),"")</ns0:f>
        <ns0:v/>
      </ns0:c>
    </ns0:row>
    <ns0:row r="668">
      <ns0:c r="A668" s="11" t="str">
        <ns0:f>IF($F668="","",IF(INDEX('販売記録'!$K$5:$K$1004,$F668)="","",INDEX('販売記録'!$K$5:$K$1004,$F668)))</ns0:f>
        <ns0:v/>
      </ns0:c>
      <ns0:c r="B668" s="9" t="str">
        <ns0:f>IF($F668="","",IF(INDEX('販売記録'!$B$5:$B$1004,$F668)="","",INDEX('販売記録'!$B$5:$B$1004,$F668)))</ns0:f>
        <ns0:v/>
      </ns0:c>
      <ns0:c r="C668" s="9" t="str">
        <ns0:f>IF($F668="","",IF(INDEX('販売記録'!$C$5:$C$1004,$F668)="","",INDEX('販売記録'!$C$5:$C$1004,$F668)))</ns0:f>
        <ns0:v/>
      </ns0:c>
      <ns0:c r="D668" s="8" t="str">
        <ns0:f>IF($F668="","",IF(INDEX('販売記録'!$D$5:$D$1004,$F668)="","",INDEX('販売記録'!$D$5:$D$1004,$F668)))</ns0:f>
        <ns0:v/>
      </ns0:c>
      <ns0:c r="E668" s="12" t="str">
        <ns0:f>IF(OR(A668="",B668=""),"",MAX(0,TODAY()-A668))</ns0:f>
        <ns0:v/>
      </ns0:c>
      <ns0:c r="F668" s="9" t="str">
        <ns0:f>IFERROR(MATCH(ROW()-4,'販売記録'!$L$5:$L$1004,0),"")</ns0:f>
        <ns0:v/>
      </ns0:c>
    </ns0:row>
    <ns0:row r="669">
      <ns0:c r="A669" s="11" t="str">
        <ns0:f>IF($F669="","",IF(INDEX('販売記録'!$K$5:$K$1004,$F669)="","",INDEX('販売記録'!$K$5:$K$1004,$F669)))</ns0:f>
        <ns0:v/>
      </ns0:c>
      <ns0:c r="B669" s="9" t="str">
        <ns0:f>IF($F669="","",IF(INDEX('販売記録'!$B$5:$B$1004,$F669)="","",INDEX('販売記録'!$B$5:$B$1004,$F669)))</ns0:f>
        <ns0:v/>
      </ns0:c>
      <ns0:c r="C669" s="9" t="str">
        <ns0:f>IF($F669="","",IF(INDEX('販売記録'!$C$5:$C$1004,$F669)="","",INDEX('販売記録'!$C$5:$C$1004,$F669)))</ns0:f>
        <ns0:v/>
      </ns0:c>
      <ns0:c r="D669" s="8" t="str">
        <ns0:f>IF($F669="","",IF(INDEX('販売記録'!$D$5:$D$1004,$F669)="","",INDEX('販売記録'!$D$5:$D$1004,$F669)))</ns0:f>
        <ns0:v/>
      </ns0:c>
      <ns0:c r="E669" s="12" t="str">
        <ns0:f>IF(OR(A669="",B669=""),"",MAX(0,TODAY()-A669))</ns0:f>
        <ns0:v/>
      </ns0:c>
      <ns0:c r="F669" s="9" t="str">
        <ns0:f>IFERROR(MATCH(ROW()-4,'販売記録'!$L$5:$L$1004,0),"")</ns0:f>
        <ns0:v/>
      </ns0:c>
    </ns0:row>
    <ns0:row r="670">
      <ns0:c r="A670" s="11" t="str">
        <ns0:f>IF($F670="","",IF(INDEX('販売記録'!$K$5:$K$1004,$F670)="","",INDEX('販売記録'!$K$5:$K$1004,$F670)))</ns0:f>
        <ns0:v/>
      </ns0:c>
      <ns0:c r="B670" s="9" t="str">
        <ns0:f>IF($F670="","",IF(INDEX('販売記録'!$B$5:$B$1004,$F670)="","",INDEX('販売記録'!$B$5:$B$1004,$F670)))</ns0:f>
        <ns0:v/>
      </ns0:c>
      <ns0:c r="C670" s="9" t="str">
        <ns0:f>IF($F670="","",IF(INDEX('販売記録'!$C$5:$C$1004,$F670)="","",INDEX('販売記録'!$C$5:$C$1004,$F670)))</ns0:f>
        <ns0:v/>
      </ns0:c>
      <ns0:c r="D670" s="8" t="str">
        <ns0:f>IF($F670="","",IF(INDEX('販売記録'!$D$5:$D$1004,$F670)="","",INDEX('販売記録'!$D$5:$D$1004,$F670)))</ns0:f>
        <ns0:v/>
      </ns0:c>
      <ns0:c r="E670" s="12" t="str">
        <ns0:f>IF(OR(A670="",B670=""),"",MAX(0,TODAY()-A670))</ns0:f>
        <ns0:v/>
      </ns0:c>
      <ns0:c r="F670" s="9" t="str">
        <ns0:f>IFERROR(MATCH(ROW()-4,'販売記録'!$L$5:$L$1004,0),"")</ns0:f>
        <ns0:v/>
      </ns0:c>
    </ns0:row>
    <ns0:row r="671">
      <ns0:c r="A671" s="11" t="str">
        <ns0:f>IF($F671="","",IF(INDEX('販売記録'!$K$5:$K$1004,$F671)="","",INDEX('販売記録'!$K$5:$K$1004,$F671)))</ns0:f>
        <ns0:v/>
      </ns0:c>
      <ns0:c r="B671" s="9" t="str">
        <ns0:f>IF($F671="","",IF(INDEX('販売記録'!$B$5:$B$1004,$F671)="","",INDEX('販売記録'!$B$5:$B$1004,$F671)))</ns0:f>
        <ns0:v/>
      </ns0:c>
      <ns0:c r="C671" s="9" t="str">
        <ns0:f>IF($F671="","",IF(INDEX('販売記録'!$C$5:$C$1004,$F671)="","",INDEX('販売記録'!$C$5:$C$1004,$F671)))</ns0:f>
        <ns0:v/>
      </ns0:c>
      <ns0:c r="D671" s="8" t="str">
        <ns0:f>IF($F671="","",IF(INDEX('販売記録'!$D$5:$D$1004,$F671)="","",INDEX('販売記録'!$D$5:$D$1004,$F671)))</ns0:f>
        <ns0:v/>
      </ns0:c>
      <ns0:c r="E671" s="12" t="str">
        <ns0:f>IF(OR(A671="",B671=""),"",MAX(0,TODAY()-A671))</ns0:f>
        <ns0:v/>
      </ns0:c>
      <ns0:c r="F671" s="9" t="str">
        <ns0:f>IFERROR(MATCH(ROW()-4,'販売記録'!$L$5:$L$1004,0),"")</ns0:f>
        <ns0:v/>
      </ns0:c>
    </ns0:row>
    <ns0:row r="672">
      <ns0:c r="A672" s="11" t="str">
        <ns0:f>IF($F672="","",IF(INDEX('販売記録'!$K$5:$K$1004,$F672)="","",INDEX('販売記録'!$K$5:$K$1004,$F672)))</ns0:f>
        <ns0:v/>
      </ns0:c>
      <ns0:c r="B672" s="9" t="str">
        <ns0:f>IF($F672="","",IF(INDEX('販売記録'!$B$5:$B$1004,$F672)="","",INDEX('販売記録'!$B$5:$B$1004,$F672)))</ns0:f>
        <ns0:v/>
      </ns0:c>
      <ns0:c r="C672" s="9" t="str">
        <ns0:f>IF($F672="","",IF(INDEX('販売記録'!$C$5:$C$1004,$F672)="","",INDEX('販売記録'!$C$5:$C$1004,$F672)))</ns0:f>
        <ns0:v/>
      </ns0:c>
      <ns0:c r="D672" s="8" t="str">
        <ns0:f>IF($F672="","",IF(INDEX('販売記録'!$D$5:$D$1004,$F672)="","",INDEX('販売記録'!$D$5:$D$1004,$F672)))</ns0:f>
        <ns0:v/>
      </ns0:c>
      <ns0:c r="E672" s="12" t="str">
        <ns0:f>IF(OR(A672="",B672=""),"",MAX(0,TODAY()-A672))</ns0:f>
        <ns0:v/>
      </ns0:c>
      <ns0:c r="F672" s="9" t="str">
        <ns0:f>IFERROR(MATCH(ROW()-4,'販売記録'!$L$5:$L$1004,0),"")</ns0:f>
        <ns0:v/>
      </ns0:c>
    </ns0:row>
    <ns0:row r="673">
      <ns0:c r="A673" s="11" t="str">
        <ns0:f>IF($F673="","",IF(INDEX('販売記録'!$K$5:$K$1004,$F673)="","",INDEX('販売記録'!$K$5:$K$1004,$F673)))</ns0:f>
        <ns0:v/>
      </ns0:c>
      <ns0:c r="B673" s="9" t="str">
        <ns0:f>IF($F673="","",IF(INDEX('販売記録'!$B$5:$B$1004,$F673)="","",INDEX('販売記録'!$B$5:$B$1004,$F673)))</ns0:f>
        <ns0:v/>
      </ns0:c>
      <ns0:c r="C673" s="9" t="str">
        <ns0:f>IF($F673="","",IF(INDEX('販売記録'!$C$5:$C$1004,$F673)="","",INDEX('販売記録'!$C$5:$C$1004,$F673)))</ns0:f>
        <ns0:v/>
      </ns0:c>
      <ns0:c r="D673" s="8" t="str">
        <ns0:f>IF($F673="","",IF(INDEX('販売記録'!$D$5:$D$1004,$F673)="","",INDEX('販売記録'!$D$5:$D$1004,$F673)))</ns0:f>
        <ns0:v/>
      </ns0:c>
      <ns0:c r="E673" s="12" t="str">
        <ns0:f>IF(OR(A673="",B673=""),"",MAX(0,TODAY()-A673))</ns0:f>
        <ns0:v/>
      </ns0:c>
      <ns0:c r="F673" s="9" t="str">
        <ns0:f>IFERROR(MATCH(ROW()-4,'販売記録'!$L$5:$L$1004,0),"")</ns0:f>
        <ns0:v/>
      </ns0:c>
    </ns0:row>
    <ns0:row r="674">
      <ns0:c r="A674" s="11" t="str">
        <ns0:f>IF($F674="","",IF(INDEX('販売記録'!$K$5:$K$1004,$F674)="","",INDEX('販売記録'!$K$5:$K$1004,$F674)))</ns0:f>
        <ns0:v/>
      </ns0:c>
      <ns0:c r="B674" s="9" t="str">
        <ns0:f>IF($F674="","",IF(INDEX('販売記録'!$B$5:$B$1004,$F674)="","",INDEX('販売記録'!$B$5:$B$1004,$F674)))</ns0:f>
        <ns0:v/>
      </ns0:c>
      <ns0:c r="C674" s="9" t="str">
        <ns0:f>IF($F674="","",IF(INDEX('販売記録'!$C$5:$C$1004,$F674)="","",INDEX('販売記録'!$C$5:$C$1004,$F674)))</ns0:f>
        <ns0:v/>
      </ns0:c>
      <ns0:c r="D674" s="8" t="str">
        <ns0:f>IF($F674="","",IF(INDEX('販売記録'!$D$5:$D$1004,$F674)="","",INDEX('販売記録'!$D$5:$D$1004,$F674)))</ns0:f>
        <ns0:v/>
      </ns0:c>
      <ns0:c r="E674" s="12" t="str">
        <ns0:f>IF(OR(A674="",B674=""),"",MAX(0,TODAY()-A674))</ns0:f>
        <ns0:v/>
      </ns0:c>
      <ns0:c r="F674" s="9" t="str">
        <ns0:f>IFERROR(MATCH(ROW()-4,'販売記録'!$L$5:$L$1004,0),"")</ns0:f>
        <ns0:v/>
      </ns0:c>
    </ns0:row>
    <ns0:row r="675">
      <ns0:c r="A675" s="11" t="str">
        <ns0:f>IF($F675="","",IF(INDEX('販売記録'!$K$5:$K$1004,$F675)="","",INDEX('販売記録'!$K$5:$K$1004,$F675)))</ns0:f>
        <ns0:v/>
      </ns0:c>
      <ns0:c r="B675" s="9" t="str">
        <ns0:f>IF($F675="","",IF(INDEX('販売記録'!$B$5:$B$1004,$F675)="","",INDEX('販売記録'!$B$5:$B$1004,$F675)))</ns0:f>
        <ns0:v/>
      </ns0:c>
      <ns0:c r="C675" s="9" t="str">
        <ns0:f>IF($F675="","",IF(INDEX('販売記録'!$C$5:$C$1004,$F675)="","",INDEX('販売記録'!$C$5:$C$1004,$F675)))</ns0:f>
        <ns0:v/>
      </ns0:c>
      <ns0:c r="D675" s="8" t="str">
        <ns0:f>IF($F675="","",IF(INDEX('販売記録'!$D$5:$D$1004,$F675)="","",INDEX('販売記録'!$D$5:$D$1004,$F675)))</ns0:f>
        <ns0:v/>
      </ns0:c>
      <ns0:c r="E675" s="12" t="str">
        <ns0:f>IF(OR(A675="",B675=""),"",MAX(0,TODAY()-A675))</ns0:f>
        <ns0:v/>
      </ns0:c>
      <ns0:c r="F675" s="9" t="str">
        <ns0:f>IFERROR(MATCH(ROW()-4,'販売記録'!$L$5:$L$1004,0),"")</ns0:f>
        <ns0:v/>
      </ns0:c>
    </ns0:row>
    <ns0:row r="676">
      <ns0:c r="A676" s="11" t="str">
        <ns0:f>IF($F676="","",IF(INDEX('販売記録'!$K$5:$K$1004,$F676)="","",INDEX('販売記録'!$K$5:$K$1004,$F676)))</ns0:f>
        <ns0:v/>
      </ns0:c>
      <ns0:c r="B676" s="9" t="str">
        <ns0:f>IF($F676="","",IF(INDEX('販売記録'!$B$5:$B$1004,$F676)="","",INDEX('販売記録'!$B$5:$B$1004,$F676)))</ns0:f>
        <ns0:v/>
      </ns0:c>
      <ns0:c r="C676" s="9" t="str">
        <ns0:f>IF($F676="","",IF(INDEX('販売記録'!$C$5:$C$1004,$F676)="","",INDEX('販売記録'!$C$5:$C$1004,$F676)))</ns0:f>
        <ns0:v/>
      </ns0:c>
      <ns0:c r="D676" s="8" t="str">
        <ns0:f>IF($F676="","",IF(INDEX('販売記録'!$D$5:$D$1004,$F676)="","",INDEX('販売記録'!$D$5:$D$1004,$F676)))</ns0:f>
        <ns0:v/>
      </ns0:c>
      <ns0:c r="E676" s="12" t="str">
        <ns0:f>IF(OR(A676="",B676=""),"",MAX(0,TODAY()-A676))</ns0:f>
        <ns0:v/>
      </ns0:c>
      <ns0:c r="F676" s="9" t="str">
        <ns0:f>IFERROR(MATCH(ROW()-4,'販売記録'!$L$5:$L$1004,0),"")</ns0:f>
        <ns0:v/>
      </ns0:c>
    </ns0:row>
    <ns0:row r="677">
      <ns0:c r="A677" s="11" t="str">
        <ns0:f>IF($F677="","",IF(INDEX('販売記録'!$K$5:$K$1004,$F677)="","",INDEX('販売記録'!$K$5:$K$1004,$F677)))</ns0:f>
        <ns0:v/>
      </ns0:c>
      <ns0:c r="B677" s="9" t="str">
        <ns0:f>IF($F677="","",IF(INDEX('販売記録'!$B$5:$B$1004,$F677)="","",INDEX('販売記録'!$B$5:$B$1004,$F677)))</ns0:f>
        <ns0:v/>
      </ns0:c>
      <ns0:c r="C677" s="9" t="str">
        <ns0:f>IF($F677="","",IF(INDEX('販売記録'!$C$5:$C$1004,$F677)="","",INDEX('販売記録'!$C$5:$C$1004,$F677)))</ns0:f>
        <ns0:v/>
      </ns0:c>
      <ns0:c r="D677" s="8" t="str">
        <ns0:f>IF($F677="","",IF(INDEX('販売記録'!$D$5:$D$1004,$F677)="","",INDEX('販売記録'!$D$5:$D$1004,$F677)))</ns0:f>
        <ns0:v/>
      </ns0:c>
      <ns0:c r="E677" s="12" t="str">
        <ns0:f>IF(OR(A677="",B677=""),"",MAX(0,TODAY()-A677))</ns0:f>
        <ns0:v/>
      </ns0:c>
      <ns0:c r="F677" s="9" t="str">
        <ns0:f>IFERROR(MATCH(ROW()-4,'販売記録'!$L$5:$L$1004,0),"")</ns0:f>
        <ns0:v/>
      </ns0:c>
    </ns0:row>
    <ns0:row r="678">
      <ns0:c r="A678" s="11" t="str">
        <ns0:f>IF($F678="","",IF(INDEX('販売記録'!$K$5:$K$1004,$F678)="","",INDEX('販売記録'!$K$5:$K$1004,$F678)))</ns0:f>
        <ns0:v/>
      </ns0:c>
      <ns0:c r="B678" s="9" t="str">
        <ns0:f>IF($F678="","",IF(INDEX('販売記録'!$B$5:$B$1004,$F678)="","",INDEX('販売記録'!$B$5:$B$1004,$F678)))</ns0:f>
        <ns0:v/>
      </ns0:c>
      <ns0:c r="C678" s="9" t="str">
        <ns0:f>IF($F678="","",IF(INDEX('販売記録'!$C$5:$C$1004,$F678)="","",INDEX('販売記録'!$C$5:$C$1004,$F678)))</ns0:f>
        <ns0:v/>
      </ns0:c>
      <ns0:c r="D678" s="8" t="str">
        <ns0:f>IF($F678="","",IF(INDEX('販売記録'!$D$5:$D$1004,$F678)="","",INDEX('販売記録'!$D$5:$D$1004,$F678)))</ns0:f>
        <ns0:v/>
      </ns0:c>
      <ns0:c r="E678" s="12" t="str">
        <ns0:f>IF(OR(A678="",B678=""),"",MAX(0,TODAY()-A678))</ns0:f>
        <ns0:v/>
      </ns0:c>
      <ns0:c r="F678" s="9" t="str">
        <ns0:f>IFERROR(MATCH(ROW()-4,'販売記録'!$L$5:$L$1004,0),"")</ns0:f>
        <ns0:v/>
      </ns0:c>
    </ns0:row>
    <ns0:row r="679">
      <ns0:c r="A679" s="11" t="str">
        <ns0:f>IF($F679="","",IF(INDEX('販売記録'!$K$5:$K$1004,$F679)="","",INDEX('販売記録'!$K$5:$K$1004,$F679)))</ns0:f>
        <ns0:v/>
      </ns0:c>
      <ns0:c r="B679" s="9" t="str">
        <ns0:f>IF($F679="","",IF(INDEX('販売記録'!$B$5:$B$1004,$F679)="","",INDEX('販売記録'!$B$5:$B$1004,$F679)))</ns0:f>
        <ns0:v/>
      </ns0:c>
      <ns0:c r="C679" s="9" t="str">
        <ns0:f>IF($F679="","",IF(INDEX('販売記録'!$C$5:$C$1004,$F679)="","",INDEX('販売記録'!$C$5:$C$1004,$F679)))</ns0:f>
        <ns0:v/>
      </ns0:c>
      <ns0:c r="D679" s="8" t="str">
        <ns0:f>IF($F679="","",IF(INDEX('販売記録'!$D$5:$D$1004,$F679)="","",INDEX('販売記録'!$D$5:$D$1004,$F679)))</ns0:f>
        <ns0:v/>
      </ns0:c>
      <ns0:c r="E679" s="12" t="str">
        <ns0:f>IF(OR(A679="",B679=""),"",MAX(0,TODAY()-A679))</ns0:f>
        <ns0:v/>
      </ns0:c>
      <ns0:c r="F679" s="9" t="str">
        <ns0:f>IFERROR(MATCH(ROW()-4,'販売記録'!$L$5:$L$1004,0),"")</ns0:f>
        <ns0:v/>
      </ns0:c>
    </ns0:row>
    <ns0:row r="680">
      <ns0:c r="A680" s="11" t="str">
        <ns0:f>IF($F680="","",IF(INDEX('販売記録'!$K$5:$K$1004,$F680)="","",INDEX('販売記録'!$K$5:$K$1004,$F680)))</ns0:f>
        <ns0:v/>
      </ns0:c>
      <ns0:c r="B680" s="9" t="str">
        <ns0:f>IF($F680="","",IF(INDEX('販売記録'!$B$5:$B$1004,$F680)="","",INDEX('販売記録'!$B$5:$B$1004,$F680)))</ns0:f>
        <ns0:v/>
      </ns0:c>
      <ns0:c r="C680" s="9" t="str">
        <ns0:f>IF($F680="","",IF(INDEX('販売記録'!$C$5:$C$1004,$F680)="","",INDEX('販売記録'!$C$5:$C$1004,$F680)))</ns0:f>
        <ns0:v/>
      </ns0:c>
      <ns0:c r="D680" s="8" t="str">
        <ns0:f>IF($F680="","",IF(INDEX('販売記録'!$D$5:$D$1004,$F680)="","",INDEX('販売記録'!$D$5:$D$1004,$F680)))</ns0:f>
        <ns0:v/>
      </ns0:c>
      <ns0:c r="E680" s="12" t="str">
        <ns0:f>IF(OR(A680="",B680=""),"",MAX(0,TODAY()-A680))</ns0:f>
        <ns0:v/>
      </ns0:c>
      <ns0:c r="F680" s="9" t="str">
        <ns0:f>IFERROR(MATCH(ROW()-4,'販売記録'!$L$5:$L$1004,0),"")</ns0:f>
        <ns0:v/>
      </ns0:c>
    </ns0:row>
    <ns0:row r="681">
      <ns0:c r="A681" s="11" t="str">
        <ns0:f>IF($F681="","",IF(INDEX('販売記録'!$K$5:$K$1004,$F681)="","",INDEX('販売記録'!$K$5:$K$1004,$F681)))</ns0:f>
        <ns0:v/>
      </ns0:c>
      <ns0:c r="B681" s="9" t="str">
        <ns0:f>IF($F681="","",IF(INDEX('販売記録'!$B$5:$B$1004,$F681)="","",INDEX('販売記録'!$B$5:$B$1004,$F681)))</ns0:f>
        <ns0:v/>
      </ns0:c>
      <ns0:c r="C681" s="9" t="str">
        <ns0:f>IF($F681="","",IF(INDEX('販売記録'!$C$5:$C$1004,$F681)="","",INDEX('販売記録'!$C$5:$C$1004,$F681)))</ns0:f>
        <ns0:v/>
      </ns0:c>
      <ns0:c r="D681" s="8" t="str">
        <ns0:f>IF($F681="","",IF(INDEX('販売記録'!$D$5:$D$1004,$F681)="","",INDEX('販売記録'!$D$5:$D$1004,$F681)))</ns0:f>
        <ns0:v/>
      </ns0:c>
      <ns0:c r="E681" s="12" t="str">
        <ns0:f>IF(OR(A681="",B681=""),"",MAX(0,TODAY()-A681))</ns0:f>
        <ns0:v/>
      </ns0:c>
      <ns0:c r="F681" s="9" t="str">
        <ns0:f>IFERROR(MATCH(ROW()-4,'販売記録'!$L$5:$L$1004,0),"")</ns0:f>
        <ns0:v/>
      </ns0:c>
    </ns0:row>
    <ns0:row r="682">
      <ns0:c r="A682" s="11" t="str">
        <ns0:f>IF($F682="","",IF(INDEX('販売記録'!$K$5:$K$1004,$F682)="","",INDEX('販売記録'!$K$5:$K$1004,$F682)))</ns0:f>
        <ns0:v/>
      </ns0:c>
      <ns0:c r="B682" s="9" t="str">
        <ns0:f>IF($F682="","",IF(INDEX('販売記録'!$B$5:$B$1004,$F682)="","",INDEX('販売記録'!$B$5:$B$1004,$F682)))</ns0:f>
        <ns0:v/>
      </ns0:c>
      <ns0:c r="C682" s="9" t="str">
        <ns0:f>IF($F682="","",IF(INDEX('販売記録'!$C$5:$C$1004,$F682)="","",INDEX('販売記録'!$C$5:$C$1004,$F682)))</ns0:f>
        <ns0:v/>
      </ns0:c>
      <ns0:c r="D682" s="8" t="str">
        <ns0:f>IF($F682="","",IF(INDEX('販売記録'!$D$5:$D$1004,$F682)="","",INDEX('販売記録'!$D$5:$D$1004,$F682)))</ns0:f>
        <ns0:v/>
      </ns0:c>
      <ns0:c r="E682" s="12" t="str">
        <ns0:f>IF(OR(A682="",B682=""),"",MAX(0,TODAY()-A682))</ns0:f>
        <ns0:v/>
      </ns0:c>
      <ns0:c r="F682" s="9" t="str">
        <ns0:f>IFERROR(MATCH(ROW()-4,'販売記録'!$L$5:$L$1004,0),"")</ns0:f>
        <ns0:v/>
      </ns0:c>
    </ns0:row>
    <ns0:row r="683">
      <ns0:c r="A683" s="11" t="str">
        <ns0:f>IF($F683="","",IF(INDEX('販売記録'!$K$5:$K$1004,$F683)="","",INDEX('販売記録'!$K$5:$K$1004,$F683)))</ns0:f>
        <ns0:v/>
      </ns0:c>
      <ns0:c r="B683" s="9" t="str">
        <ns0:f>IF($F683="","",IF(INDEX('販売記録'!$B$5:$B$1004,$F683)="","",INDEX('販売記録'!$B$5:$B$1004,$F683)))</ns0:f>
        <ns0:v/>
      </ns0:c>
      <ns0:c r="C683" s="9" t="str">
        <ns0:f>IF($F683="","",IF(INDEX('販売記録'!$C$5:$C$1004,$F683)="","",INDEX('販売記録'!$C$5:$C$1004,$F683)))</ns0:f>
        <ns0:v/>
      </ns0:c>
      <ns0:c r="D683" s="8" t="str">
        <ns0:f>IF($F683="","",IF(INDEX('販売記録'!$D$5:$D$1004,$F683)="","",INDEX('販売記録'!$D$5:$D$1004,$F683)))</ns0:f>
        <ns0:v/>
      </ns0:c>
      <ns0:c r="E683" s="12" t="str">
        <ns0:f>IF(OR(A683="",B683=""),"",MAX(0,TODAY()-A683))</ns0:f>
        <ns0:v/>
      </ns0:c>
      <ns0:c r="F683" s="9" t="str">
        <ns0:f>IFERROR(MATCH(ROW()-4,'販売記録'!$L$5:$L$1004,0),"")</ns0:f>
        <ns0:v/>
      </ns0:c>
    </ns0:row>
    <ns0:row r="684">
      <ns0:c r="A684" s="11" t="str">
        <ns0:f>IF($F684="","",IF(INDEX('販売記録'!$K$5:$K$1004,$F684)="","",INDEX('販売記録'!$K$5:$K$1004,$F684)))</ns0:f>
        <ns0:v/>
      </ns0:c>
      <ns0:c r="B684" s="9" t="str">
        <ns0:f>IF($F684="","",IF(INDEX('販売記録'!$B$5:$B$1004,$F684)="","",INDEX('販売記録'!$B$5:$B$1004,$F684)))</ns0:f>
        <ns0:v/>
      </ns0:c>
      <ns0:c r="C684" s="9" t="str">
        <ns0:f>IF($F684="","",IF(INDEX('販売記録'!$C$5:$C$1004,$F684)="","",INDEX('販売記録'!$C$5:$C$1004,$F684)))</ns0:f>
        <ns0:v/>
      </ns0:c>
      <ns0:c r="D684" s="8" t="str">
        <ns0:f>IF($F684="","",IF(INDEX('販売記録'!$D$5:$D$1004,$F684)="","",INDEX('販売記録'!$D$5:$D$1004,$F684)))</ns0:f>
        <ns0:v/>
      </ns0:c>
      <ns0:c r="E684" s="12" t="str">
        <ns0:f>IF(OR(A684="",B684=""),"",MAX(0,TODAY()-A684))</ns0:f>
        <ns0:v/>
      </ns0:c>
      <ns0:c r="F684" s="9" t="str">
        <ns0:f>IFERROR(MATCH(ROW()-4,'販売記録'!$L$5:$L$1004,0),"")</ns0:f>
        <ns0:v/>
      </ns0:c>
    </ns0:row>
    <ns0:row r="685">
      <ns0:c r="A685" s="11" t="str">
        <ns0:f>IF($F685="","",IF(INDEX('販売記録'!$K$5:$K$1004,$F685)="","",INDEX('販売記録'!$K$5:$K$1004,$F685)))</ns0:f>
        <ns0:v/>
      </ns0:c>
      <ns0:c r="B685" s="9" t="str">
        <ns0:f>IF($F685="","",IF(INDEX('販売記録'!$B$5:$B$1004,$F685)="","",INDEX('販売記録'!$B$5:$B$1004,$F685)))</ns0:f>
        <ns0:v/>
      </ns0:c>
      <ns0:c r="C685" s="9" t="str">
        <ns0:f>IF($F685="","",IF(INDEX('販売記録'!$C$5:$C$1004,$F685)="","",INDEX('販売記録'!$C$5:$C$1004,$F685)))</ns0:f>
        <ns0:v/>
      </ns0:c>
      <ns0:c r="D685" s="8" t="str">
        <ns0:f>IF($F685="","",IF(INDEX('販売記録'!$D$5:$D$1004,$F685)="","",INDEX('販売記録'!$D$5:$D$1004,$F685)))</ns0:f>
        <ns0:v/>
      </ns0:c>
      <ns0:c r="E685" s="12" t="str">
        <ns0:f>IF(OR(A685="",B685=""),"",MAX(0,TODAY()-A685))</ns0:f>
        <ns0:v/>
      </ns0:c>
      <ns0:c r="F685" s="9" t="str">
        <ns0:f>IFERROR(MATCH(ROW()-4,'販売記録'!$L$5:$L$1004,0),"")</ns0:f>
        <ns0:v/>
      </ns0:c>
    </ns0:row>
    <ns0:row r="686">
      <ns0:c r="A686" s="11" t="str">
        <ns0:f>IF($F686="","",IF(INDEX('販売記録'!$K$5:$K$1004,$F686)="","",INDEX('販売記録'!$K$5:$K$1004,$F686)))</ns0:f>
        <ns0:v/>
      </ns0:c>
      <ns0:c r="B686" s="9" t="str">
        <ns0:f>IF($F686="","",IF(INDEX('販売記録'!$B$5:$B$1004,$F686)="","",INDEX('販売記録'!$B$5:$B$1004,$F686)))</ns0:f>
        <ns0:v/>
      </ns0:c>
      <ns0:c r="C686" s="9" t="str">
        <ns0:f>IF($F686="","",IF(INDEX('販売記録'!$C$5:$C$1004,$F686)="","",INDEX('販売記録'!$C$5:$C$1004,$F686)))</ns0:f>
        <ns0:v/>
      </ns0:c>
      <ns0:c r="D686" s="8" t="str">
        <ns0:f>IF($F686="","",IF(INDEX('販売記録'!$D$5:$D$1004,$F686)="","",INDEX('販売記録'!$D$5:$D$1004,$F686)))</ns0:f>
        <ns0:v/>
      </ns0:c>
      <ns0:c r="E686" s="12" t="str">
        <ns0:f>IF(OR(A686="",B686=""),"",MAX(0,TODAY()-A686))</ns0:f>
        <ns0:v/>
      </ns0:c>
      <ns0:c r="F686" s="9" t="str">
        <ns0:f>IFERROR(MATCH(ROW()-4,'販売記録'!$L$5:$L$1004,0),"")</ns0:f>
        <ns0:v/>
      </ns0:c>
    </ns0:row>
    <ns0:row r="687">
      <ns0:c r="A687" s="11" t="str">
        <ns0:f>IF($F687="","",IF(INDEX('販売記録'!$K$5:$K$1004,$F687)="","",INDEX('販売記録'!$K$5:$K$1004,$F687)))</ns0:f>
        <ns0:v/>
      </ns0:c>
      <ns0:c r="B687" s="9" t="str">
        <ns0:f>IF($F687="","",IF(INDEX('販売記録'!$B$5:$B$1004,$F687)="","",INDEX('販売記録'!$B$5:$B$1004,$F687)))</ns0:f>
        <ns0:v/>
      </ns0:c>
      <ns0:c r="C687" s="9" t="str">
        <ns0:f>IF($F687="","",IF(INDEX('販売記録'!$C$5:$C$1004,$F687)="","",INDEX('販売記録'!$C$5:$C$1004,$F687)))</ns0:f>
        <ns0:v/>
      </ns0:c>
      <ns0:c r="D687" s="8" t="str">
        <ns0:f>IF($F687="","",IF(INDEX('販売記録'!$D$5:$D$1004,$F687)="","",INDEX('販売記録'!$D$5:$D$1004,$F687)))</ns0:f>
        <ns0:v/>
      </ns0:c>
      <ns0:c r="E687" s="12" t="str">
        <ns0:f>IF(OR(A687="",B687=""),"",MAX(0,TODAY()-A687))</ns0:f>
        <ns0:v/>
      </ns0:c>
      <ns0:c r="F687" s="9" t="str">
        <ns0:f>IFERROR(MATCH(ROW()-4,'販売記録'!$L$5:$L$1004,0),"")</ns0:f>
        <ns0:v/>
      </ns0:c>
    </ns0:row>
    <ns0:row r="688">
      <ns0:c r="A688" s="11" t="str">
        <ns0:f>IF($F688="","",IF(INDEX('販売記録'!$K$5:$K$1004,$F688)="","",INDEX('販売記録'!$K$5:$K$1004,$F688)))</ns0:f>
        <ns0:v/>
      </ns0:c>
      <ns0:c r="B688" s="9" t="str">
        <ns0:f>IF($F688="","",IF(INDEX('販売記録'!$B$5:$B$1004,$F688)="","",INDEX('販売記録'!$B$5:$B$1004,$F688)))</ns0:f>
        <ns0:v/>
      </ns0:c>
      <ns0:c r="C688" s="9" t="str">
        <ns0:f>IF($F688="","",IF(INDEX('販売記録'!$C$5:$C$1004,$F688)="","",INDEX('販売記録'!$C$5:$C$1004,$F688)))</ns0:f>
        <ns0:v/>
      </ns0:c>
      <ns0:c r="D688" s="8" t="str">
        <ns0:f>IF($F688="","",IF(INDEX('販売記録'!$D$5:$D$1004,$F688)="","",INDEX('販売記録'!$D$5:$D$1004,$F688)))</ns0:f>
        <ns0:v/>
      </ns0:c>
      <ns0:c r="E688" s="12" t="str">
        <ns0:f>IF(OR(A688="",B688=""),"",MAX(0,TODAY()-A688))</ns0:f>
        <ns0:v/>
      </ns0:c>
      <ns0:c r="F688" s="9" t="str">
        <ns0:f>IFERROR(MATCH(ROW()-4,'販売記録'!$L$5:$L$1004,0),"")</ns0:f>
        <ns0:v/>
      </ns0:c>
    </ns0:row>
    <ns0:row r="689">
      <ns0:c r="A689" s="11" t="str">
        <ns0:f>IF($F689="","",IF(INDEX('販売記録'!$K$5:$K$1004,$F689)="","",INDEX('販売記録'!$K$5:$K$1004,$F689)))</ns0:f>
        <ns0:v/>
      </ns0:c>
      <ns0:c r="B689" s="9" t="str">
        <ns0:f>IF($F689="","",IF(INDEX('販売記録'!$B$5:$B$1004,$F689)="","",INDEX('販売記録'!$B$5:$B$1004,$F689)))</ns0:f>
        <ns0:v/>
      </ns0:c>
      <ns0:c r="C689" s="9" t="str">
        <ns0:f>IF($F689="","",IF(INDEX('販売記録'!$C$5:$C$1004,$F689)="","",INDEX('販売記録'!$C$5:$C$1004,$F689)))</ns0:f>
        <ns0:v/>
      </ns0:c>
      <ns0:c r="D689" s="8" t="str">
        <ns0:f>IF($F689="","",IF(INDEX('販売記録'!$D$5:$D$1004,$F689)="","",INDEX('販売記録'!$D$5:$D$1004,$F689)))</ns0:f>
        <ns0:v/>
      </ns0:c>
      <ns0:c r="E689" s="12" t="str">
        <ns0:f>IF(OR(A689="",B689=""),"",MAX(0,TODAY()-A689))</ns0:f>
        <ns0:v/>
      </ns0:c>
      <ns0:c r="F689" s="9" t="str">
        <ns0:f>IFERROR(MATCH(ROW()-4,'販売記録'!$L$5:$L$1004,0),"")</ns0:f>
        <ns0:v/>
      </ns0:c>
    </ns0:row>
    <ns0:row r="690">
      <ns0:c r="A690" s="11" t="str">
        <ns0:f>IF($F690="","",IF(INDEX('販売記録'!$K$5:$K$1004,$F690)="","",INDEX('販売記録'!$K$5:$K$1004,$F690)))</ns0:f>
        <ns0:v/>
      </ns0:c>
      <ns0:c r="B690" s="9" t="str">
        <ns0:f>IF($F690="","",IF(INDEX('販売記録'!$B$5:$B$1004,$F690)="","",INDEX('販売記録'!$B$5:$B$1004,$F690)))</ns0:f>
        <ns0:v/>
      </ns0:c>
      <ns0:c r="C690" s="9" t="str">
        <ns0:f>IF($F690="","",IF(INDEX('販売記録'!$C$5:$C$1004,$F690)="","",INDEX('販売記録'!$C$5:$C$1004,$F690)))</ns0:f>
        <ns0:v/>
      </ns0:c>
      <ns0:c r="D690" s="8" t="str">
        <ns0:f>IF($F690="","",IF(INDEX('販売記録'!$D$5:$D$1004,$F690)="","",INDEX('販売記録'!$D$5:$D$1004,$F690)))</ns0:f>
        <ns0:v/>
      </ns0:c>
      <ns0:c r="E690" s="12" t="str">
        <ns0:f>IF(OR(A690="",B690=""),"",MAX(0,TODAY()-A690))</ns0:f>
        <ns0:v/>
      </ns0:c>
      <ns0:c r="F690" s="9" t="str">
        <ns0:f>IFERROR(MATCH(ROW()-4,'販売記録'!$L$5:$L$1004,0),"")</ns0:f>
        <ns0:v/>
      </ns0:c>
    </ns0:row>
    <ns0:row r="691">
      <ns0:c r="A691" s="11" t="str">
        <ns0:f>IF($F691="","",IF(INDEX('販売記録'!$K$5:$K$1004,$F691)="","",INDEX('販売記録'!$K$5:$K$1004,$F691)))</ns0:f>
        <ns0:v/>
      </ns0:c>
      <ns0:c r="B691" s="9" t="str">
        <ns0:f>IF($F691="","",IF(INDEX('販売記録'!$B$5:$B$1004,$F691)="","",INDEX('販売記録'!$B$5:$B$1004,$F691)))</ns0:f>
        <ns0:v/>
      </ns0:c>
      <ns0:c r="C691" s="9" t="str">
        <ns0:f>IF($F691="","",IF(INDEX('販売記録'!$C$5:$C$1004,$F691)="","",INDEX('販売記録'!$C$5:$C$1004,$F691)))</ns0:f>
        <ns0:v/>
      </ns0:c>
      <ns0:c r="D691" s="8" t="str">
        <ns0:f>IF($F691="","",IF(INDEX('販売記録'!$D$5:$D$1004,$F691)="","",INDEX('販売記録'!$D$5:$D$1004,$F691)))</ns0:f>
        <ns0:v/>
      </ns0:c>
      <ns0:c r="E691" s="12" t="str">
        <ns0:f>IF(OR(A691="",B691=""),"",MAX(0,TODAY()-A691))</ns0:f>
        <ns0:v/>
      </ns0:c>
      <ns0:c r="F691" s="9" t="str">
        <ns0:f>IFERROR(MATCH(ROW()-4,'販売記録'!$L$5:$L$1004,0),"")</ns0:f>
        <ns0:v/>
      </ns0:c>
    </ns0:row>
    <ns0:row r="692">
      <ns0:c r="A692" s="11" t="str">
        <ns0:f>IF($F692="","",IF(INDEX('販売記録'!$K$5:$K$1004,$F692)="","",INDEX('販売記録'!$K$5:$K$1004,$F692)))</ns0:f>
        <ns0:v/>
      </ns0:c>
      <ns0:c r="B692" s="9" t="str">
        <ns0:f>IF($F692="","",IF(INDEX('販売記録'!$B$5:$B$1004,$F692)="","",INDEX('販売記録'!$B$5:$B$1004,$F692)))</ns0:f>
        <ns0:v/>
      </ns0:c>
      <ns0:c r="C692" s="9" t="str">
        <ns0:f>IF($F692="","",IF(INDEX('販売記録'!$C$5:$C$1004,$F692)="","",INDEX('販売記録'!$C$5:$C$1004,$F692)))</ns0:f>
        <ns0:v/>
      </ns0:c>
      <ns0:c r="D692" s="8" t="str">
        <ns0:f>IF($F692="","",IF(INDEX('販売記録'!$D$5:$D$1004,$F692)="","",INDEX('販売記録'!$D$5:$D$1004,$F692)))</ns0:f>
        <ns0:v/>
      </ns0:c>
      <ns0:c r="E692" s="12" t="str">
        <ns0:f>IF(OR(A692="",B692=""),"",MAX(0,TODAY()-A692))</ns0:f>
        <ns0:v/>
      </ns0:c>
      <ns0:c r="F692" s="9" t="str">
        <ns0:f>IFERROR(MATCH(ROW()-4,'販売記録'!$L$5:$L$1004,0),"")</ns0:f>
        <ns0:v/>
      </ns0:c>
    </ns0:row>
    <ns0:row r="693">
      <ns0:c r="A693" s="11" t="str">
        <ns0:f>IF($F693="","",IF(INDEX('販売記録'!$K$5:$K$1004,$F693)="","",INDEX('販売記録'!$K$5:$K$1004,$F693)))</ns0:f>
        <ns0:v/>
      </ns0:c>
      <ns0:c r="B693" s="9" t="str">
        <ns0:f>IF($F693="","",IF(INDEX('販売記録'!$B$5:$B$1004,$F693)="","",INDEX('販売記録'!$B$5:$B$1004,$F693)))</ns0:f>
        <ns0:v/>
      </ns0:c>
      <ns0:c r="C693" s="9" t="str">
        <ns0:f>IF($F693="","",IF(INDEX('販売記録'!$C$5:$C$1004,$F693)="","",INDEX('販売記録'!$C$5:$C$1004,$F693)))</ns0:f>
        <ns0:v/>
      </ns0:c>
      <ns0:c r="D693" s="8" t="str">
        <ns0:f>IF($F693="","",IF(INDEX('販売記録'!$D$5:$D$1004,$F693)="","",INDEX('販売記録'!$D$5:$D$1004,$F693)))</ns0:f>
        <ns0:v/>
      </ns0:c>
      <ns0:c r="E693" s="12" t="str">
        <ns0:f>IF(OR(A693="",B693=""),"",MAX(0,TODAY()-A693))</ns0:f>
        <ns0:v/>
      </ns0:c>
      <ns0:c r="F693" s="9" t="str">
        <ns0:f>IFERROR(MATCH(ROW()-4,'販売記録'!$L$5:$L$1004,0),"")</ns0:f>
        <ns0:v/>
      </ns0:c>
    </ns0:row>
    <ns0:row r="694">
      <ns0:c r="A694" s="11" t="str">
        <ns0:f>IF($F694="","",IF(INDEX('販売記録'!$K$5:$K$1004,$F694)="","",INDEX('販売記録'!$K$5:$K$1004,$F694)))</ns0:f>
        <ns0:v/>
      </ns0:c>
      <ns0:c r="B694" s="9" t="str">
        <ns0:f>IF($F694="","",IF(INDEX('販売記録'!$B$5:$B$1004,$F694)="","",INDEX('販売記録'!$B$5:$B$1004,$F694)))</ns0:f>
        <ns0:v/>
      </ns0:c>
      <ns0:c r="C694" s="9" t="str">
        <ns0:f>IF($F694="","",IF(INDEX('販売記録'!$C$5:$C$1004,$F694)="","",INDEX('販売記録'!$C$5:$C$1004,$F694)))</ns0:f>
        <ns0:v/>
      </ns0:c>
      <ns0:c r="D694" s="8" t="str">
        <ns0:f>IF($F694="","",IF(INDEX('販売記録'!$D$5:$D$1004,$F694)="","",INDEX('販売記録'!$D$5:$D$1004,$F694)))</ns0:f>
        <ns0:v/>
      </ns0:c>
      <ns0:c r="E694" s="12" t="str">
        <ns0:f>IF(OR(A694="",B694=""),"",MAX(0,TODAY()-A694))</ns0:f>
        <ns0:v/>
      </ns0:c>
      <ns0:c r="F694" s="9" t="str">
        <ns0:f>IFERROR(MATCH(ROW()-4,'販売記録'!$L$5:$L$1004,0),"")</ns0:f>
        <ns0:v/>
      </ns0:c>
    </ns0:row>
    <ns0:row r="695">
      <ns0:c r="A695" s="11" t="str">
        <ns0:f>IF($F695="","",IF(INDEX('販売記録'!$K$5:$K$1004,$F695)="","",INDEX('販売記録'!$K$5:$K$1004,$F695)))</ns0:f>
        <ns0:v/>
      </ns0:c>
      <ns0:c r="B695" s="9" t="str">
        <ns0:f>IF($F695="","",IF(INDEX('販売記録'!$B$5:$B$1004,$F695)="","",INDEX('販売記録'!$B$5:$B$1004,$F695)))</ns0:f>
        <ns0:v/>
      </ns0:c>
      <ns0:c r="C695" s="9" t="str">
        <ns0:f>IF($F695="","",IF(INDEX('販売記録'!$C$5:$C$1004,$F695)="","",INDEX('販売記録'!$C$5:$C$1004,$F695)))</ns0:f>
        <ns0:v/>
      </ns0:c>
      <ns0:c r="D695" s="8" t="str">
        <ns0:f>IF($F695="","",IF(INDEX('販売記録'!$D$5:$D$1004,$F695)="","",INDEX('販売記録'!$D$5:$D$1004,$F695)))</ns0:f>
        <ns0:v/>
      </ns0:c>
      <ns0:c r="E695" s="12" t="str">
        <ns0:f>IF(OR(A695="",B695=""),"",MAX(0,TODAY()-A695))</ns0:f>
        <ns0:v/>
      </ns0:c>
      <ns0:c r="F695" s="9" t="str">
        <ns0:f>IFERROR(MATCH(ROW()-4,'販売記録'!$L$5:$L$1004,0),"")</ns0:f>
        <ns0:v/>
      </ns0:c>
    </ns0:row>
    <ns0:row r="696">
      <ns0:c r="A696" s="11" t="str">
        <ns0:f>IF($F696="","",IF(INDEX('販売記録'!$K$5:$K$1004,$F696)="","",INDEX('販売記録'!$K$5:$K$1004,$F696)))</ns0:f>
        <ns0:v/>
      </ns0:c>
      <ns0:c r="B696" s="9" t="str">
        <ns0:f>IF($F696="","",IF(INDEX('販売記録'!$B$5:$B$1004,$F696)="","",INDEX('販売記録'!$B$5:$B$1004,$F696)))</ns0:f>
        <ns0:v/>
      </ns0:c>
      <ns0:c r="C696" s="9" t="str">
        <ns0:f>IF($F696="","",IF(INDEX('販売記録'!$C$5:$C$1004,$F696)="","",INDEX('販売記録'!$C$5:$C$1004,$F696)))</ns0:f>
        <ns0:v/>
      </ns0:c>
      <ns0:c r="D696" s="8" t="str">
        <ns0:f>IF($F696="","",IF(INDEX('販売記録'!$D$5:$D$1004,$F696)="","",INDEX('販売記録'!$D$5:$D$1004,$F696)))</ns0:f>
        <ns0:v/>
      </ns0:c>
      <ns0:c r="E696" s="12" t="str">
        <ns0:f>IF(OR(A696="",B696=""),"",MAX(0,TODAY()-A696))</ns0:f>
        <ns0:v/>
      </ns0:c>
      <ns0:c r="F696" s="9" t="str">
        <ns0:f>IFERROR(MATCH(ROW()-4,'販売記録'!$L$5:$L$1004,0),"")</ns0:f>
        <ns0:v/>
      </ns0:c>
    </ns0:row>
    <ns0:row r="697">
      <ns0:c r="A697" s="11" t="str">
        <ns0:f>IF($F697="","",IF(INDEX('販売記録'!$K$5:$K$1004,$F697)="","",INDEX('販売記録'!$K$5:$K$1004,$F697)))</ns0:f>
        <ns0:v/>
      </ns0:c>
      <ns0:c r="B697" s="9" t="str">
        <ns0:f>IF($F697="","",IF(INDEX('販売記録'!$B$5:$B$1004,$F697)="","",INDEX('販売記録'!$B$5:$B$1004,$F697)))</ns0:f>
        <ns0:v/>
      </ns0:c>
      <ns0:c r="C697" s="9" t="str">
        <ns0:f>IF($F697="","",IF(INDEX('販売記録'!$C$5:$C$1004,$F697)="","",INDEX('販売記録'!$C$5:$C$1004,$F697)))</ns0:f>
        <ns0:v/>
      </ns0:c>
      <ns0:c r="D697" s="8" t="str">
        <ns0:f>IF($F697="","",IF(INDEX('販売記録'!$D$5:$D$1004,$F697)="","",INDEX('販売記録'!$D$5:$D$1004,$F697)))</ns0:f>
        <ns0:v/>
      </ns0:c>
      <ns0:c r="E697" s="12" t="str">
        <ns0:f>IF(OR(A697="",B697=""),"",MAX(0,TODAY()-A697))</ns0:f>
        <ns0:v/>
      </ns0:c>
      <ns0:c r="F697" s="9" t="str">
        <ns0:f>IFERROR(MATCH(ROW()-4,'販売記録'!$L$5:$L$1004,0),"")</ns0:f>
        <ns0:v/>
      </ns0:c>
    </ns0:row>
    <ns0:row r="698">
      <ns0:c r="A698" s="11" t="str">
        <ns0:f>IF($F698="","",IF(INDEX('販売記録'!$K$5:$K$1004,$F698)="","",INDEX('販売記録'!$K$5:$K$1004,$F698)))</ns0:f>
        <ns0:v/>
      </ns0:c>
      <ns0:c r="B698" s="9" t="str">
        <ns0:f>IF($F698="","",IF(INDEX('販売記録'!$B$5:$B$1004,$F698)="","",INDEX('販売記録'!$B$5:$B$1004,$F698)))</ns0:f>
        <ns0:v/>
      </ns0:c>
      <ns0:c r="C698" s="9" t="str">
        <ns0:f>IF($F698="","",IF(INDEX('販売記録'!$C$5:$C$1004,$F698)="","",INDEX('販売記録'!$C$5:$C$1004,$F698)))</ns0:f>
        <ns0:v/>
      </ns0:c>
      <ns0:c r="D698" s="8" t="str">
        <ns0:f>IF($F698="","",IF(INDEX('販売記録'!$D$5:$D$1004,$F698)="","",INDEX('販売記録'!$D$5:$D$1004,$F698)))</ns0:f>
        <ns0:v/>
      </ns0:c>
      <ns0:c r="E698" s="12" t="str">
        <ns0:f>IF(OR(A698="",B698=""),"",MAX(0,TODAY()-A698))</ns0:f>
        <ns0:v/>
      </ns0:c>
      <ns0:c r="F698" s="9" t="str">
        <ns0:f>IFERROR(MATCH(ROW()-4,'販売記録'!$L$5:$L$1004,0),"")</ns0:f>
        <ns0:v/>
      </ns0:c>
    </ns0:row>
    <ns0:row r="699">
      <ns0:c r="A699" s="11" t="str">
        <ns0:f>IF($F699="","",IF(INDEX('販売記録'!$K$5:$K$1004,$F699)="","",INDEX('販売記録'!$K$5:$K$1004,$F699)))</ns0:f>
        <ns0:v/>
      </ns0:c>
      <ns0:c r="B699" s="9" t="str">
        <ns0:f>IF($F699="","",IF(INDEX('販売記録'!$B$5:$B$1004,$F699)="","",INDEX('販売記録'!$B$5:$B$1004,$F699)))</ns0:f>
        <ns0:v/>
      </ns0:c>
      <ns0:c r="C699" s="9" t="str">
        <ns0:f>IF($F699="","",IF(INDEX('販売記録'!$C$5:$C$1004,$F699)="","",INDEX('販売記録'!$C$5:$C$1004,$F699)))</ns0:f>
        <ns0:v/>
      </ns0:c>
      <ns0:c r="D699" s="8" t="str">
        <ns0:f>IF($F699="","",IF(INDEX('販売記録'!$D$5:$D$1004,$F699)="","",INDEX('販売記録'!$D$5:$D$1004,$F699)))</ns0:f>
        <ns0:v/>
      </ns0:c>
      <ns0:c r="E699" s="12" t="str">
        <ns0:f>IF(OR(A699="",B699=""),"",MAX(0,TODAY()-A699))</ns0:f>
        <ns0:v/>
      </ns0:c>
      <ns0:c r="F699" s="9" t="str">
        <ns0:f>IFERROR(MATCH(ROW()-4,'販売記録'!$L$5:$L$1004,0),"")</ns0:f>
        <ns0:v/>
      </ns0:c>
    </ns0:row>
    <ns0:row r="700">
      <ns0:c r="A700" s="11" t="str">
        <ns0:f>IF($F700="","",IF(INDEX('販売記録'!$K$5:$K$1004,$F700)="","",INDEX('販売記録'!$K$5:$K$1004,$F700)))</ns0:f>
        <ns0:v/>
      </ns0:c>
      <ns0:c r="B700" s="9" t="str">
        <ns0:f>IF($F700="","",IF(INDEX('販売記録'!$B$5:$B$1004,$F700)="","",INDEX('販売記録'!$B$5:$B$1004,$F700)))</ns0:f>
        <ns0:v/>
      </ns0:c>
      <ns0:c r="C700" s="9" t="str">
        <ns0:f>IF($F700="","",IF(INDEX('販売記録'!$C$5:$C$1004,$F700)="","",INDEX('販売記録'!$C$5:$C$1004,$F700)))</ns0:f>
        <ns0:v/>
      </ns0:c>
      <ns0:c r="D700" s="8" t="str">
        <ns0:f>IF($F700="","",IF(INDEX('販売記録'!$D$5:$D$1004,$F700)="","",INDEX('販売記録'!$D$5:$D$1004,$F700)))</ns0:f>
        <ns0:v/>
      </ns0:c>
      <ns0:c r="E700" s="12" t="str">
        <ns0:f>IF(OR(A700="",B700=""),"",MAX(0,TODAY()-A700))</ns0:f>
        <ns0:v/>
      </ns0:c>
      <ns0:c r="F700" s="9" t="str">
        <ns0:f>IFERROR(MATCH(ROW()-4,'販売記録'!$L$5:$L$1004,0),"")</ns0:f>
        <ns0:v/>
      </ns0:c>
    </ns0:row>
    <ns0:row r="701">
      <ns0:c r="A701" s="11" t="str">
        <ns0:f>IF($F701="","",IF(INDEX('販売記録'!$K$5:$K$1004,$F701)="","",INDEX('販売記録'!$K$5:$K$1004,$F701)))</ns0:f>
        <ns0:v/>
      </ns0:c>
      <ns0:c r="B701" s="9" t="str">
        <ns0:f>IF($F701="","",IF(INDEX('販売記録'!$B$5:$B$1004,$F701)="","",INDEX('販売記録'!$B$5:$B$1004,$F701)))</ns0:f>
        <ns0:v/>
      </ns0:c>
      <ns0:c r="C701" s="9" t="str">
        <ns0:f>IF($F701="","",IF(INDEX('販売記録'!$C$5:$C$1004,$F701)="","",INDEX('販売記録'!$C$5:$C$1004,$F701)))</ns0:f>
        <ns0:v/>
      </ns0:c>
      <ns0:c r="D701" s="8" t="str">
        <ns0:f>IF($F701="","",IF(INDEX('販売記録'!$D$5:$D$1004,$F701)="","",INDEX('販売記録'!$D$5:$D$1004,$F701)))</ns0:f>
        <ns0:v/>
      </ns0:c>
      <ns0:c r="E701" s="12" t="str">
        <ns0:f>IF(OR(A701="",B701=""),"",MAX(0,TODAY()-A701))</ns0:f>
        <ns0:v/>
      </ns0:c>
      <ns0:c r="F701" s="9" t="str">
        <ns0:f>IFERROR(MATCH(ROW()-4,'販売記録'!$L$5:$L$1004,0),"")</ns0:f>
        <ns0:v/>
      </ns0:c>
    </ns0:row>
    <ns0:row r="702">
      <ns0:c r="A702" s="11" t="str">
        <ns0:f>IF($F702="","",IF(INDEX('販売記録'!$K$5:$K$1004,$F702)="","",INDEX('販売記録'!$K$5:$K$1004,$F702)))</ns0:f>
        <ns0:v/>
      </ns0:c>
      <ns0:c r="B702" s="9" t="str">
        <ns0:f>IF($F702="","",IF(INDEX('販売記録'!$B$5:$B$1004,$F702)="","",INDEX('販売記録'!$B$5:$B$1004,$F702)))</ns0:f>
        <ns0:v/>
      </ns0:c>
      <ns0:c r="C702" s="9" t="str">
        <ns0:f>IF($F702="","",IF(INDEX('販売記録'!$C$5:$C$1004,$F702)="","",INDEX('販売記録'!$C$5:$C$1004,$F702)))</ns0:f>
        <ns0:v/>
      </ns0:c>
      <ns0:c r="D702" s="8" t="str">
        <ns0:f>IF($F702="","",IF(INDEX('販売記録'!$D$5:$D$1004,$F702)="","",INDEX('販売記録'!$D$5:$D$1004,$F702)))</ns0:f>
        <ns0:v/>
      </ns0:c>
      <ns0:c r="E702" s="12" t="str">
        <ns0:f>IF(OR(A702="",B702=""),"",MAX(0,TODAY()-A702))</ns0:f>
        <ns0:v/>
      </ns0:c>
      <ns0:c r="F702" s="9" t="str">
        <ns0:f>IFERROR(MATCH(ROW()-4,'販売記録'!$L$5:$L$1004,0),"")</ns0:f>
        <ns0:v/>
      </ns0:c>
    </ns0:row>
    <ns0:row r="703">
      <ns0:c r="A703" s="11" t="str">
        <ns0:f>IF($F703="","",IF(INDEX('販売記録'!$K$5:$K$1004,$F703)="","",INDEX('販売記録'!$K$5:$K$1004,$F703)))</ns0:f>
        <ns0:v/>
      </ns0:c>
      <ns0:c r="B703" s="9" t="str">
        <ns0:f>IF($F703="","",IF(INDEX('販売記録'!$B$5:$B$1004,$F703)="","",INDEX('販売記録'!$B$5:$B$1004,$F703)))</ns0:f>
        <ns0:v/>
      </ns0:c>
      <ns0:c r="C703" s="9" t="str">
        <ns0:f>IF($F703="","",IF(INDEX('販売記録'!$C$5:$C$1004,$F703)="","",INDEX('販売記録'!$C$5:$C$1004,$F703)))</ns0:f>
        <ns0:v/>
      </ns0:c>
      <ns0:c r="D703" s="8" t="str">
        <ns0:f>IF($F703="","",IF(INDEX('販売記録'!$D$5:$D$1004,$F703)="","",INDEX('販売記録'!$D$5:$D$1004,$F703)))</ns0:f>
        <ns0:v/>
      </ns0:c>
      <ns0:c r="E703" s="12" t="str">
        <ns0:f>IF(OR(A703="",B703=""),"",MAX(0,TODAY()-A703))</ns0:f>
        <ns0:v/>
      </ns0:c>
      <ns0:c r="F703" s="9" t="str">
        <ns0:f>IFERROR(MATCH(ROW()-4,'販売記録'!$L$5:$L$1004,0),"")</ns0:f>
        <ns0:v/>
      </ns0:c>
    </ns0:row>
    <ns0:row r="704">
      <ns0:c r="A704" s="11" t="str">
        <ns0:f>IF($F704="","",IF(INDEX('販売記録'!$K$5:$K$1004,$F704)="","",INDEX('販売記録'!$K$5:$K$1004,$F704)))</ns0:f>
        <ns0:v/>
      </ns0:c>
      <ns0:c r="B704" s="9" t="str">
        <ns0:f>IF($F704="","",IF(INDEX('販売記録'!$B$5:$B$1004,$F704)="","",INDEX('販売記録'!$B$5:$B$1004,$F704)))</ns0:f>
        <ns0:v/>
      </ns0:c>
      <ns0:c r="C704" s="9" t="str">
        <ns0:f>IF($F704="","",IF(INDEX('販売記録'!$C$5:$C$1004,$F704)="","",INDEX('販売記録'!$C$5:$C$1004,$F704)))</ns0:f>
        <ns0:v/>
      </ns0:c>
      <ns0:c r="D704" s="8" t="str">
        <ns0:f>IF($F704="","",IF(INDEX('販売記録'!$D$5:$D$1004,$F704)="","",INDEX('販売記録'!$D$5:$D$1004,$F704)))</ns0:f>
        <ns0:v/>
      </ns0:c>
      <ns0:c r="E704" s="12" t="str">
        <ns0:f>IF(OR(A704="",B704=""),"",MAX(0,TODAY()-A704))</ns0:f>
        <ns0:v/>
      </ns0:c>
      <ns0:c r="F704" s="9" t="str">
        <ns0:f>IFERROR(MATCH(ROW()-4,'販売記録'!$L$5:$L$1004,0),"")</ns0:f>
        <ns0:v/>
      </ns0:c>
    </ns0:row>
    <ns0:row r="705">
      <ns0:c r="A705" s="11" t="str">
        <ns0:f>IF($F705="","",IF(INDEX('販売記録'!$K$5:$K$1004,$F705)="","",INDEX('販売記録'!$K$5:$K$1004,$F705)))</ns0:f>
        <ns0:v/>
      </ns0:c>
      <ns0:c r="B705" s="9" t="str">
        <ns0:f>IF($F705="","",IF(INDEX('販売記録'!$B$5:$B$1004,$F705)="","",INDEX('販売記録'!$B$5:$B$1004,$F705)))</ns0:f>
        <ns0:v/>
      </ns0:c>
      <ns0:c r="C705" s="9" t="str">
        <ns0:f>IF($F705="","",IF(INDEX('販売記録'!$C$5:$C$1004,$F705)="","",INDEX('販売記録'!$C$5:$C$1004,$F705)))</ns0:f>
        <ns0:v/>
      </ns0:c>
      <ns0:c r="D705" s="8" t="str">
        <ns0:f>IF($F705="","",IF(INDEX('販売記録'!$D$5:$D$1004,$F705)="","",INDEX('販売記録'!$D$5:$D$1004,$F705)))</ns0:f>
        <ns0:v/>
      </ns0:c>
      <ns0:c r="E705" s="12" t="str">
        <ns0:f>IF(OR(A705="",B705=""),"",MAX(0,TODAY()-A705))</ns0:f>
        <ns0:v/>
      </ns0:c>
      <ns0:c r="F705" s="9" t="str">
        <ns0:f>IFERROR(MATCH(ROW()-4,'販売記録'!$L$5:$L$1004,0),"")</ns0:f>
        <ns0:v/>
      </ns0:c>
    </ns0:row>
    <ns0:row r="706">
      <ns0:c r="A706" s="11" t="str">
        <ns0:f>IF($F706="","",IF(INDEX('販売記録'!$K$5:$K$1004,$F706)="","",INDEX('販売記録'!$K$5:$K$1004,$F706)))</ns0:f>
        <ns0:v/>
      </ns0:c>
      <ns0:c r="B706" s="9" t="str">
        <ns0:f>IF($F706="","",IF(INDEX('販売記録'!$B$5:$B$1004,$F706)="","",INDEX('販売記録'!$B$5:$B$1004,$F706)))</ns0:f>
        <ns0:v/>
      </ns0:c>
      <ns0:c r="C706" s="9" t="str">
        <ns0:f>IF($F706="","",IF(INDEX('販売記録'!$C$5:$C$1004,$F706)="","",INDEX('販売記録'!$C$5:$C$1004,$F706)))</ns0:f>
        <ns0:v/>
      </ns0:c>
      <ns0:c r="D706" s="8" t="str">
        <ns0:f>IF($F706="","",IF(INDEX('販売記録'!$D$5:$D$1004,$F706)="","",INDEX('販売記録'!$D$5:$D$1004,$F706)))</ns0:f>
        <ns0:v/>
      </ns0:c>
      <ns0:c r="E706" s="12" t="str">
        <ns0:f>IF(OR(A706="",B706=""),"",MAX(0,TODAY()-A706))</ns0:f>
        <ns0:v/>
      </ns0:c>
      <ns0:c r="F706" s="9" t="str">
        <ns0:f>IFERROR(MATCH(ROW()-4,'販売記録'!$L$5:$L$1004,0),"")</ns0:f>
        <ns0:v/>
      </ns0:c>
    </ns0:row>
    <ns0:row r="707">
      <ns0:c r="A707" s="11" t="str">
        <ns0:f>IF($F707="","",IF(INDEX('販売記録'!$K$5:$K$1004,$F707)="","",INDEX('販売記録'!$K$5:$K$1004,$F707)))</ns0:f>
        <ns0:v/>
      </ns0:c>
      <ns0:c r="B707" s="9" t="str">
        <ns0:f>IF($F707="","",IF(INDEX('販売記録'!$B$5:$B$1004,$F707)="","",INDEX('販売記録'!$B$5:$B$1004,$F707)))</ns0:f>
        <ns0:v/>
      </ns0:c>
      <ns0:c r="C707" s="9" t="str">
        <ns0:f>IF($F707="","",IF(INDEX('販売記録'!$C$5:$C$1004,$F707)="","",INDEX('販売記録'!$C$5:$C$1004,$F707)))</ns0:f>
        <ns0:v/>
      </ns0:c>
      <ns0:c r="D707" s="8" t="str">
        <ns0:f>IF($F707="","",IF(INDEX('販売記録'!$D$5:$D$1004,$F707)="","",INDEX('販売記録'!$D$5:$D$1004,$F707)))</ns0:f>
        <ns0:v/>
      </ns0:c>
      <ns0:c r="E707" s="12" t="str">
        <ns0:f>IF(OR(A707="",B707=""),"",MAX(0,TODAY()-A707))</ns0:f>
        <ns0:v/>
      </ns0:c>
      <ns0:c r="F707" s="9" t="str">
        <ns0:f>IFERROR(MATCH(ROW()-4,'販売記録'!$L$5:$L$1004,0),"")</ns0:f>
        <ns0:v/>
      </ns0:c>
    </ns0:row>
    <ns0:row r="708">
      <ns0:c r="A708" s="11" t="str">
        <ns0:f>IF($F708="","",IF(INDEX('販売記録'!$K$5:$K$1004,$F708)="","",INDEX('販売記録'!$K$5:$K$1004,$F708)))</ns0:f>
        <ns0:v/>
      </ns0:c>
      <ns0:c r="B708" s="9" t="str">
        <ns0:f>IF($F708="","",IF(INDEX('販売記録'!$B$5:$B$1004,$F708)="","",INDEX('販売記録'!$B$5:$B$1004,$F708)))</ns0:f>
        <ns0:v/>
      </ns0:c>
      <ns0:c r="C708" s="9" t="str">
        <ns0:f>IF($F708="","",IF(INDEX('販売記録'!$C$5:$C$1004,$F708)="","",INDEX('販売記録'!$C$5:$C$1004,$F708)))</ns0:f>
        <ns0:v/>
      </ns0:c>
      <ns0:c r="D708" s="8" t="str">
        <ns0:f>IF($F708="","",IF(INDEX('販売記録'!$D$5:$D$1004,$F708)="","",INDEX('販売記録'!$D$5:$D$1004,$F708)))</ns0:f>
        <ns0:v/>
      </ns0:c>
      <ns0:c r="E708" s="12" t="str">
        <ns0:f>IF(OR(A708="",B708=""),"",MAX(0,TODAY()-A708))</ns0:f>
        <ns0:v/>
      </ns0:c>
      <ns0:c r="F708" s="9" t="str">
        <ns0:f>IFERROR(MATCH(ROW()-4,'販売記録'!$L$5:$L$1004,0),"")</ns0:f>
        <ns0:v/>
      </ns0:c>
    </ns0:row>
    <ns0:row r="709">
      <ns0:c r="A709" s="11" t="str">
        <ns0:f>IF($F709="","",IF(INDEX('販売記録'!$K$5:$K$1004,$F709)="","",INDEX('販売記録'!$K$5:$K$1004,$F709)))</ns0:f>
        <ns0:v/>
      </ns0:c>
      <ns0:c r="B709" s="9" t="str">
        <ns0:f>IF($F709="","",IF(INDEX('販売記録'!$B$5:$B$1004,$F709)="","",INDEX('販売記録'!$B$5:$B$1004,$F709)))</ns0:f>
        <ns0:v/>
      </ns0:c>
      <ns0:c r="C709" s="9" t="str">
        <ns0:f>IF($F709="","",IF(INDEX('販売記録'!$C$5:$C$1004,$F709)="","",INDEX('販売記録'!$C$5:$C$1004,$F709)))</ns0:f>
        <ns0:v/>
      </ns0:c>
      <ns0:c r="D709" s="8" t="str">
        <ns0:f>IF($F709="","",IF(INDEX('販売記録'!$D$5:$D$1004,$F709)="","",INDEX('販売記録'!$D$5:$D$1004,$F709)))</ns0:f>
        <ns0:v/>
      </ns0:c>
      <ns0:c r="E709" s="12" t="str">
        <ns0:f>IF(OR(A709="",B709=""),"",MAX(0,TODAY()-A709))</ns0:f>
        <ns0:v/>
      </ns0:c>
      <ns0:c r="F709" s="9" t="str">
        <ns0:f>IFERROR(MATCH(ROW()-4,'販売記録'!$L$5:$L$1004,0),"")</ns0:f>
        <ns0:v/>
      </ns0:c>
    </ns0:row>
    <ns0:row r="710">
      <ns0:c r="A710" s="11" t="str">
        <ns0:f>IF($F710="","",IF(INDEX('販売記録'!$K$5:$K$1004,$F710)="","",INDEX('販売記録'!$K$5:$K$1004,$F710)))</ns0:f>
        <ns0:v/>
      </ns0:c>
      <ns0:c r="B710" s="9" t="str">
        <ns0:f>IF($F710="","",IF(INDEX('販売記録'!$B$5:$B$1004,$F710)="","",INDEX('販売記録'!$B$5:$B$1004,$F710)))</ns0:f>
        <ns0:v/>
      </ns0:c>
      <ns0:c r="C710" s="9" t="str">
        <ns0:f>IF($F710="","",IF(INDEX('販売記録'!$C$5:$C$1004,$F710)="","",INDEX('販売記録'!$C$5:$C$1004,$F710)))</ns0:f>
        <ns0:v/>
      </ns0:c>
      <ns0:c r="D710" s="8" t="str">
        <ns0:f>IF($F710="","",IF(INDEX('販売記録'!$D$5:$D$1004,$F710)="","",INDEX('販売記録'!$D$5:$D$1004,$F710)))</ns0:f>
        <ns0:v/>
      </ns0:c>
      <ns0:c r="E710" s="12" t="str">
        <ns0:f>IF(OR(A710="",B710=""),"",MAX(0,TODAY()-A710))</ns0:f>
        <ns0:v/>
      </ns0:c>
      <ns0:c r="F710" s="9" t="str">
        <ns0:f>IFERROR(MATCH(ROW()-4,'販売記録'!$L$5:$L$1004,0),"")</ns0:f>
        <ns0:v/>
      </ns0:c>
    </ns0:row>
    <ns0:row r="711">
      <ns0:c r="A711" s="11" t="str">
        <ns0:f>IF($F711="","",IF(INDEX('販売記録'!$K$5:$K$1004,$F711)="","",INDEX('販売記録'!$K$5:$K$1004,$F711)))</ns0:f>
        <ns0:v/>
      </ns0:c>
      <ns0:c r="B711" s="9" t="str">
        <ns0:f>IF($F711="","",IF(INDEX('販売記録'!$B$5:$B$1004,$F711)="","",INDEX('販売記録'!$B$5:$B$1004,$F711)))</ns0:f>
        <ns0:v/>
      </ns0:c>
      <ns0:c r="C711" s="9" t="str">
        <ns0:f>IF($F711="","",IF(INDEX('販売記録'!$C$5:$C$1004,$F711)="","",INDEX('販売記録'!$C$5:$C$1004,$F711)))</ns0:f>
        <ns0:v/>
      </ns0:c>
      <ns0:c r="D711" s="8" t="str">
        <ns0:f>IF($F711="","",IF(INDEX('販売記録'!$D$5:$D$1004,$F711)="","",INDEX('販売記録'!$D$5:$D$1004,$F711)))</ns0:f>
        <ns0:v/>
      </ns0:c>
      <ns0:c r="E711" s="12" t="str">
        <ns0:f>IF(OR(A711="",B711=""),"",MAX(0,TODAY()-A711))</ns0:f>
        <ns0:v/>
      </ns0:c>
      <ns0:c r="F711" s="9" t="str">
        <ns0:f>IFERROR(MATCH(ROW()-4,'販売記録'!$L$5:$L$1004,0),"")</ns0:f>
        <ns0:v/>
      </ns0:c>
    </ns0:row>
    <ns0:row r="712">
      <ns0:c r="A712" s="11" t="str">
        <ns0:f>IF($F712="","",IF(INDEX('販売記録'!$K$5:$K$1004,$F712)="","",INDEX('販売記録'!$K$5:$K$1004,$F712)))</ns0:f>
        <ns0:v/>
      </ns0:c>
      <ns0:c r="B712" s="9" t="str">
        <ns0:f>IF($F712="","",IF(INDEX('販売記録'!$B$5:$B$1004,$F712)="","",INDEX('販売記録'!$B$5:$B$1004,$F712)))</ns0:f>
        <ns0:v/>
      </ns0:c>
      <ns0:c r="C712" s="9" t="str">
        <ns0:f>IF($F712="","",IF(INDEX('販売記録'!$C$5:$C$1004,$F712)="","",INDEX('販売記録'!$C$5:$C$1004,$F712)))</ns0:f>
        <ns0:v/>
      </ns0:c>
      <ns0:c r="D712" s="8" t="str">
        <ns0:f>IF($F712="","",IF(INDEX('販売記録'!$D$5:$D$1004,$F712)="","",INDEX('販売記録'!$D$5:$D$1004,$F712)))</ns0:f>
        <ns0:v/>
      </ns0:c>
      <ns0:c r="E712" s="12" t="str">
        <ns0:f>IF(OR(A712="",B712=""),"",MAX(0,TODAY()-A712))</ns0:f>
        <ns0:v/>
      </ns0:c>
      <ns0:c r="F712" s="9" t="str">
        <ns0:f>IFERROR(MATCH(ROW()-4,'販売記録'!$L$5:$L$1004,0),"")</ns0:f>
        <ns0:v/>
      </ns0:c>
    </ns0:row>
    <ns0:row r="713">
      <ns0:c r="A713" s="11" t="str">
        <ns0:f>IF($F713="","",IF(INDEX('販売記録'!$K$5:$K$1004,$F713)="","",INDEX('販売記録'!$K$5:$K$1004,$F713)))</ns0:f>
        <ns0:v/>
      </ns0:c>
      <ns0:c r="B713" s="9" t="str">
        <ns0:f>IF($F713="","",IF(INDEX('販売記録'!$B$5:$B$1004,$F713)="","",INDEX('販売記録'!$B$5:$B$1004,$F713)))</ns0:f>
        <ns0:v/>
      </ns0:c>
      <ns0:c r="C713" s="9" t="str">
        <ns0:f>IF($F713="","",IF(INDEX('販売記録'!$C$5:$C$1004,$F713)="","",INDEX('販売記録'!$C$5:$C$1004,$F713)))</ns0:f>
        <ns0:v/>
      </ns0:c>
      <ns0:c r="D713" s="8" t="str">
        <ns0:f>IF($F713="","",IF(INDEX('販売記録'!$D$5:$D$1004,$F713)="","",INDEX('販売記録'!$D$5:$D$1004,$F713)))</ns0:f>
        <ns0:v/>
      </ns0:c>
      <ns0:c r="E713" s="12" t="str">
        <ns0:f>IF(OR(A713="",B713=""),"",MAX(0,TODAY()-A713))</ns0:f>
        <ns0:v/>
      </ns0:c>
      <ns0:c r="F713" s="9" t="str">
        <ns0:f>IFERROR(MATCH(ROW()-4,'販売記録'!$L$5:$L$1004,0),"")</ns0:f>
        <ns0:v/>
      </ns0:c>
    </ns0:row>
    <ns0:row r="714">
      <ns0:c r="A714" s="11" t="str">
        <ns0:f>IF($F714="","",IF(INDEX('販売記録'!$K$5:$K$1004,$F714)="","",INDEX('販売記録'!$K$5:$K$1004,$F714)))</ns0:f>
        <ns0:v/>
      </ns0:c>
      <ns0:c r="B714" s="9" t="str">
        <ns0:f>IF($F714="","",IF(INDEX('販売記録'!$B$5:$B$1004,$F714)="","",INDEX('販売記録'!$B$5:$B$1004,$F714)))</ns0:f>
        <ns0:v/>
      </ns0:c>
      <ns0:c r="C714" s="9" t="str">
        <ns0:f>IF($F714="","",IF(INDEX('販売記録'!$C$5:$C$1004,$F714)="","",INDEX('販売記録'!$C$5:$C$1004,$F714)))</ns0:f>
        <ns0:v/>
      </ns0:c>
      <ns0:c r="D714" s="8" t="str">
        <ns0:f>IF($F714="","",IF(INDEX('販売記録'!$D$5:$D$1004,$F714)="","",INDEX('販売記録'!$D$5:$D$1004,$F714)))</ns0:f>
        <ns0:v/>
      </ns0:c>
      <ns0:c r="E714" s="12" t="str">
        <ns0:f>IF(OR(A714="",B714=""),"",MAX(0,TODAY()-A714))</ns0:f>
        <ns0:v/>
      </ns0:c>
      <ns0:c r="F714" s="9" t="str">
        <ns0:f>IFERROR(MATCH(ROW()-4,'販売記録'!$L$5:$L$1004,0),"")</ns0:f>
        <ns0:v/>
      </ns0:c>
    </ns0:row>
    <ns0:row r="715">
      <ns0:c r="A715" s="11" t="str">
        <ns0:f>IF($F715="","",IF(INDEX('販売記録'!$K$5:$K$1004,$F715)="","",INDEX('販売記録'!$K$5:$K$1004,$F715)))</ns0:f>
        <ns0:v/>
      </ns0:c>
      <ns0:c r="B715" s="9" t="str">
        <ns0:f>IF($F715="","",IF(INDEX('販売記録'!$B$5:$B$1004,$F715)="","",INDEX('販売記録'!$B$5:$B$1004,$F715)))</ns0:f>
        <ns0:v/>
      </ns0:c>
      <ns0:c r="C715" s="9" t="str">
        <ns0:f>IF($F715="","",IF(INDEX('販売記録'!$C$5:$C$1004,$F715)="","",INDEX('販売記録'!$C$5:$C$1004,$F715)))</ns0:f>
        <ns0:v/>
      </ns0:c>
      <ns0:c r="D715" s="8" t="str">
        <ns0:f>IF($F715="","",IF(INDEX('販売記録'!$D$5:$D$1004,$F715)="","",INDEX('販売記録'!$D$5:$D$1004,$F715)))</ns0:f>
        <ns0:v/>
      </ns0:c>
      <ns0:c r="E715" s="12" t="str">
        <ns0:f>IF(OR(A715="",B715=""),"",MAX(0,TODAY()-A715))</ns0:f>
        <ns0:v/>
      </ns0:c>
      <ns0:c r="F715" s="9" t="str">
        <ns0:f>IFERROR(MATCH(ROW()-4,'販売記録'!$L$5:$L$1004,0),"")</ns0:f>
        <ns0:v/>
      </ns0:c>
    </ns0:row>
    <ns0:row r="716">
      <ns0:c r="A716" s="11" t="str">
        <ns0:f>IF($F716="","",IF(INDEX('販売記録'!$K$5:$K$1004,$F716)="","",INDEX('販売記録'!$K$5:$K$1004,$F716)))</ns0:f>
        <ns0:v/>
      </ns0:c>
      <ns0:c r="B716" s="9" t="str">
        <ns0:f>IF($F716="","",IF(INDEX('販売記録'!$B$5:$B$1004,$F716)="","",INDEX('販売記録'!$B$5:$B$1004,$F716)))</ns0:f>
        <ns0:v/>
      </ns0:c>
      <ns0:c r="C716" s="9" t="str">
        <ns0:f>IF($F716="","",IF(INDEX('販売記録'!$C$5:$C$1004,$F716)="","",INDEX('販売記録'!$C$5:$C$1004,$F716)))</ns0:f>
        <ns0:v/>
      </ns0:c>
      <ns0:c r="D716" s="8" t="str">
        <ns0:f>IF($F716="","",IF(INDEX('販売記録'!$D$5:$D$1004,$F716)="","",INDEX('販売記録'!$D$5:$D$1004,$F716)))</ns0:f>
        <ns0:v/>
      </ns0:c>
      <ns0:c r="E716" s="12" t="str">
        <ns0:f>IF(OR(A716="",B716=""),"",MAX(0,TODAY()-A716))</ns0:f>
        <ns0:v/>
      </ns0:c>
      <ns0:c r="F716" s="9" t="str">
        <ns0:f>IFERROR(MATCH(ROW()-4,'販売記録'!$L$5:$L$1004,0),"")</ns0:f>
        <ns0:v/>
      </ns0:c>
    </ns0:row>
    <ns0:row r="717">
      <ns0:c r="A717" s="11" t="str">
        <ns0:f>IF($F717="","",IF(INDEX('販売記録'!$K$5:$K$1004,$F717)="","",INDEX('販売記録'!$K$5:$K$1004,$F717)))</ns0:f>
        <ns0:v/>
      </ns0:c>
      <ns0:c r="B717" s="9" t="str">
        <ns0:f>IF($F717="","",IF(INDEX('販売記録'!$B$5:$B$1004,$F717)="","",INDEX('販売記録'!$B$5:$B$1004,$F717)))</ns0:f>
        <ns0:v/>
      </ns0:c>
      <ns0:c r="C717" s="9" t="str">
        <ns0:f>IF($F717="","",IF(INDEX('販売記録'!$C$5:$C$1004,$F717)="","",INDEX('販売記録'!$C$5:$C$1004,$F717)))</ns0:f>
        <ns0:v/>
      </ns0:c>
      <ns0:c r="D717" s="8" t="str">
        <ns0:f>IF($F717="","",IF(INDEX('販売記録'!$D$5:$D$1004,$F717)="","",INDEX('販売記録'!$D$5:$D$1004,$F717)))</ns0:f>
        <ns0:v/>
      </ns0:c>
      <ns0:c r="E717" s="12" t="str">
        <ns0:f>IF(OR(A717="",B717=""),"",MAX(0,TODAY()-A717))</ns0:f>
        <ns0:v/>
      </ns0:c>
      <ns0:c r="F717" s="9" t="str">
        <ns0:f>IFERROR(MATCH(ROW()-4,'販売記録'!$L$5:$L$1004,0),"")</ns0:f>
        <ns0:v/>
      </ns0:c>
    </ns0:row>
    <ns0:row r="718">
      <ns0:c r="A718" s="11" t="str">
        <ns0:f>IF($F718="","",IF(INDEX('販売記録'!$K$5:$K$1004,$F718)="","",INDEX('販売記録'!$K$5:$K$1004,$F718)))</ns0:f>
        <ns0:v/>
      </ns0:c>
      <ns0:c r="B718" s="9" t="str">
        <ns0:f>IF($F718="","",IF(INDEX('販売記録'!$B$5:$B$1004,$F718)="","",INDEX('販売記録'!$B$5:$B$1004,$F718)))</ns0:f>
        <ns0:v/>
      </ns0:c>
      <ns0:c r="C718" s="9" t="str">
        <ns0:f>IF($F718="","",IF(INDEX('販売記録'!$C$5:$C$1004,$F718)="","",INDEX('販売記録'!$C$5:$C$1004,$F718)))</ns0:f>
        <ns0:v/>
      </ns0:c>
      <ns0:c r="D718" s="8" t="str">
        <ns0:f>IF($F718="","",IF(INDEX('販売記録'!$D$5:$D$1004,$F718)="","",INDEX('販売記録'!$D$5:$D$1004,$F718)))</ns0:f>
        <ns0:v/>
      </ns0:c>
      <ns0:c r="E718" s="12" t="str">
        <ns0:f>IF(OR(A718="",B718=""),"",MAX(0,TODAY()-A718))</ns0:f>
        <ns0:v/>
      </ns0:c>
      <ns0:c r="F718" s="9" t="str">
        <ns0:f>IFERROR(MATCH(ROW()-4,'販売記録'!$L$5:$L$1004,0),"")</ns0:f>
        <ns0:v/>
      </ns0:c>
    </ns0:row>
    <ns0:row r="719">
      <ns0:c r="A719" s="11" t="str">
        <ns0:f>IF($F719="","",IF(INDEX('販売記録'!$K$5:$K$1004,$F719)="","",INDEX('販売記録'!$K$5:$K$1004,$F719)))</ns0:f>
        <ns0:v/>
      </ns0:c>
      <ns0:c r="B719" s="9" t="str">
        <ns0:f>IF($F719="","",IF(INDEX('販売記録'!$B$5:$B$1004,$F719)="","",INDEX('販売記録'!$B$5:$B$1004,$F719)))</ns0:f>
        <ns0:v/>
      </ns0:c>
      <ns0:c r="C719" s="9" t="str">
        <ns0:f>IF($F719="","",IF(INDEX('販売記録'!$C$5:$C$1004,$F719)="","",INDEX('販売記録'!$C$5:$C$1004,$F719)))</ns0:f>
        <ns0:v/>
      </ns0:c>
      <ns0:c r="D719" s="8" t="str">
        <ns0:f>IF($F719="","",IF(INDEX('販売記録'!$D$5:$D$1004,$F719)="","",INDEX('販売記録'!$D$5:$D$1004,$F719)))</ns0:f>
        <ns0:v/>
      </ns0:c>
      <ns0:c r="E719" s="12" t="str">
        <ns0:f>IF(OR(A719="",B719=""),"",MAX(0,TODAY()-A719))</ns0:f>
        <ns0:v/>
      </ns0:c>
      <ns0:c r="F719" s="9" t="str">
        <ns0:f>IFERROR(MATCH(ROW()-4,'販売記録'!$L$5:$L$1004,0),"")</ns0:f>
        <ns0:v/>
      </ns0:c>
    </ns0:row>
    <ns0:row r="720">
      <ns0:c r="A720" s="11" t="str">
        <ns0:f>IF($F720="","",IF(INDEX('販売記録'!$K$5:$K$1004,$F720)="","",INDEX('販売記録'!$K$5:$K$1004,$F720)))</ns0:f>
        <ns0:v/>
      </ns0:c>
      <ns0:c r="B720" s="9" t="str">
        <ns0:f>IF($F720="","",IF(INDEX('販売記録'!$B$5:$B$1004,$F720)="","",INDEX('販売記録'!$B$5:$B$1004,$F720)))</ns0:f>
        <ns0:v/>
      </ns0:c>
      <ns0:c r="C720" s="9" t="str">
        <ns0:f>IF($F720="","",IF(INDEX('販売記録'!$C$5:$C$1004,$F720)="","",INDEX('販売記録'!$C$5:$C$1004,$F720)))</ns0:f>
        <ns0:v/>
      </ns0:c>
      <ns0:c r="D720" s="8" t="str">
        <ns0:f>IF($F720="","",IF(INDEX('販売記録'!$D$5:$D$1004,$F720)="","",INDEX('販売記録'!$D$5:$D$1004,$F720)))</ns0:f>
        <ns0:v/>
      </ns0:c>
      <ns0:c r="E720" s="12" t="str">
        <ns0:f>IF(OR(A720="",B720=""),"",MAX(0,TODAY()-A720))</ns0:f>
        <ns0:v/>
      </ns0:c>
      <ns0:c r="F720" s="9" t="str">
        <ns0:f>IFERROR(MATCH(ROW()-4,'販売記録'!$L$5:$L$1004,0),"")</ns0:f>
        <ns0:v/>
      </ns0:c>
    </ns0:row>
    <ns0:row r="721">
      <ns0:c r="A721" s="11" t="str">
        <ns0:f>IF($F721="","",IF(INDEX('販売記録'!$K$5:$K$1004,$F721)="","",INDEX('販売記録'!$K$5:$K$1004,$F721)))</ns0:f>
        <ns0:v/>
      </ns0:c>
      <ns0:c r="B721" s="9" t="str">
        <ns0:f>IF($F721="","",IF(INDEX('販売記録'!$B$5:$B$1004,$F721)="","",INDEX('販売記録'!$B$5:$B$1004,$F721)))</ns0:f>
        <ns0:v/>
      </ns0:c>
      <ns0:c r="C721" s="9" t="str">
        <ns0:f>IF($F721="","",IF(INDEX('販売記録'!$C$5:$C$1004,$F721)="","",INDEX('販売記録'!$C$5:$C$1004,$F721)))</ns0:f>
        <ns0:v/>
      </ns0:c>
      <ns0:c r="D721" s="8" t="str">
        <ns0:f>IF($F721="","",IF(INDEX('販売記録'!$D$5:$D$1004,$F721)="","",INDEX('販売記録'!$D$5:$D$1004,$F721)))</ns0:f>
        <ns0:v/>
      </ns0:c>
      <ns0:c r="E721" s="12" t="str">
        <ns0:f>IF(OR(A721="",B721=""),"",MAX(0,TODAY()-A721))</ns0:f>
        <ns0:v/>
      </ns0:c>
      <ns0:c r="F721" s="9" t="str">
        <ns0:f>IFERROR(MATCH(ROW()-4,'販売記録'!$L$5:$L$1004,0),"")</ns0:f>
        <ns0:v/>
      </ns0:c>
    </ns0:row>
    <ns0:row r="722">
      <ns0:c r="A722" s="11" t="str">
        <ns0:f>IF($F722="","",IF(INDEX('販売記録'!$K$5:$K$1004,$F722)="","",INDEX('販売記録'!$K$5:$K$1004,$F722)))</ns0:f>
        <ns0:v/>
      </ns0:c>
      <ns0:c r="B722" s="9" t="str">
        <ns0:f>IF($F722="","",IF(INDEX('販売記録'!$B$5:$B$1004,$F722)="","",INDEX('販売記録'!$B$5:$B$1004,$F722)))</ns0:f>
        <ns0:v/>
      </ns0:c>
      <ns0:c r="C722" s="9" t="str">
        <ns0:f>IF($F722="","",IF(INDEX('販売記録'!$C$5:$C$1004,$F722)="","",INDEX('販売記録'!$C$5:$C$1004,$F722)))</ns0:f>
        <ns0:v/>
      </ns0:c>
      <ns0:c r="D722" s="8" t="str">
        <ns0:f>IF($F722="","",IF(INDEX('販売記録'!$D$5:$D$1004,$F722)="","",INDEX('販売記録'!$D$5:$D$1004,$F722)))</ns0:f>
        <ns0:v/>
      </ns0:c>
      <ns0:c r="E722" s="12" t="str">
        <ns0:f>IF(OR(A722="",B722=""),"",MAX(0,TODAY()-A722))</ns0:f>
        <ns0:v/>
      </ns0:c>
      <ns0:c r="F722" s="9" t="str">
        <ns0:f>IFERROR(MATCH(ROW()-4,'販売記録'!$L$5:$L$1004,0),"")</ns0:f>
        <ns0:v/>
      </ns0:c>
    </ns0:row>
    <ns0:row r="723">
      <ns0:c r="A723" s="11" t="str">
        <ns0:f>IF($F723="","",IF(INDEX('販売記録'!$K$5:$K$1004,$F723)="","",INDEX('販売記録'!$K$5:$K$1004,$F723)))</ns0:f>
        <ns0:v/>
      </ns0:c>
      <ns0:c r="B723" s="9" t="str">
        <ns0:f>IF($F723="","",IF(INDEX('販売記録'!$B$5:$B$1004,$F723)="","",INDEX('販売記録'!$B$5:$B$1004,$F723)))</ns0:f>
        <ns0:v/>
      </ns0:c>
      <ns0:c r="C723" s="9" t="str">
        <ns0:f>IF($F723="","",IF(INDEX('販売記録'!$C$5:$C$1004,$F723)="","",INDEX('販売記録'!$C$5:$C$1004,$F723)))</ns0:f>
        <ns0:v/>
      </ns0:c>
      <ns0:c r="D723" s="8" t="str">
        <ns0:f>IF($F723="","",IF(INDEX('販売記録'!$D$5:$D$1004,$F723)="","",INDEX('販売記録'!$D$5:$D$1004,$F723)))</ns0:f>
        <ns0:v/>
      </ns0:c>
      <ns0:c r="E723" s="12" t="str">
        <ns0:f>IF(OR(A723="",B723=""),"",MAX(0,TODAY()-A723))</ns0:f>
        <ns0:v/>
      </ns0:c>
      <ns0:c r="F723" s="9" t="str">
        <ns0:f>IFERROR(MATCH(ROW()-4,'販売記録'!$L$5:$L$1004,0),"")</ns0:f>
        <ns0:v/>
      </ns0:c>
    </ns0:row>
    <ns0:row r="724">
      <ns0:c r="A724" s="11" t="str">
        <ns0:f>IF($F724="","",IF(INDEX('販売記録'!$K$5:$K$1004,$F724)="","",INDEX('販売記録'!$K$5:$K$1004,$F724)))</ns0:f>
        <ns0:v/>
      </ns0:c>
      <ns0:c r="B724" s="9" t="str">
        <ns0:f>IF($F724="","",IF(INDEX('販売記録'!$B$5:$B$1004,$F724)="","",INDEX('販売記録'!$B$5:$B$1004,$F724)))</ns0:f>
        <ns0:v/>
      </ns0:c>
      <ns0:c r="C724" s="9" t="str">
        <ns0:f>IF($F724="","",IF(INDEX('販売記録'!$C$5:$C$1004,$F724)="","",INDEX('販売記録'!$C$5:$C$1004,$F724)))</ns0:f>
        <ns0:v/>
      </ns0:c>
      <ns0:c r="D724" s="8" t="str">
        <ns0:f>IF($F724="","",IF(INDEX('販売記録'!$D$5:$D$1004,$F724)="","",INDEX('販売記録'!$D$5:$D$1004,$F724)))</ns0:f>
        <ns0:v/>
      </ns0:c>
      <ns0:c r="E724" s="12" t="str">
        <ns0:f>IF(OR(A724="",B724=""),"",MAX(0,TODAY()-A724))</ns0:f>
        <ns0:v/>
      </ns0:c>
      <ns0:c r="F724" s="9" t="str">
        <ns0:f>IFERROR(MATCH(ROW()-4,'販売記録'!$L$5:$L$1004,0),"")</ns0:f>
        <ns0:v/>
      </ns0:c>
    </ns0:row>
    <ns0:row r="725">
      <ns0:c r="A725" s="11" t="str">
        <ns0:f>IF($F725="","",IF(INDEX('販売記録'!$K$5:$K$1004,$F725)="","",INDEX('販売記録'!$K$5:$K$1004,$F725)))</ns0:f>
        <ns0:v/>
      </ns0:c>
      <ns0:c r="B725" s="9" t="str">
        <ns0:f>IF($F725="","",IF(INDEX('販売記録'!$B$5:$B$1004,$F725)="","",INDEX('販売記録'!$B$5:$B$1004,$F725)))</ns0:f>
        <ns0:v/>
      </ns0:c>
      <ns0:c r="C725" s="9" t="str">
        <ns0:f>IF($F725="","",IF(INDEX('販売記録'!$C$5:$C$1004,$F725)="","",INDEX('販売記録'!$C$5:$C$1004,$F725)))</ns0:f>
        <ns0:v/>
      </ns0:c>
      <ns0:c r="D725" s="8" t="str">
        <ns0:f>IF($F725="","",IF(INDEX('販売記録'!$D$5:$D$1004,$F725)="","",INDEX('販売記録'!$D$5:$D$1004,$F725)))</ns0:f>
        <ns0:v/>
      </ns0:c>
      <ns0:c r="E725" s="12" t="str">
        <ns0:f>IF(OR(A725="",B725=""),"",MAX(0,TODAY()-A725))</ns0:f>
        <ns0:v/>
      </ns0:c>
      <ns0:c r="F725" s="9" t="str">
        <ns0:f>IFERROR(MATCH(ROW()-4,'販売記録'!$L$5:$L$1004,0),"")</ns0:f>
        <ns0:v/>
      </ns0:c>
    </ns0:row>
    <ns0:row r="726">
      <ns0:c r="A726" s="11" t="str">
        <ns0:f>IF($F726="","",IF(INDEX('販売記録'!$K$5:$K$1004,$F726)="","",INDEX('販売記録'!$K$5:$K$1004,$F726)))</ns0:f>
        <ns0:v/>
      </ns0:c>
      <ns0:c r="B726" s="9" t="str">
        <ns0:f>IF($F726="","",IF(INDEX('販売記録'!$B$5:$B$1004,$F726)="","",INDEX('販売記録'!$B$5:$B$1004,$F726)))</ns0:f>
        <ns0:v/>
      </ns0:c>
      <ns0:c r="C726" s="9" t="str">
        <ns0:f>IF($F726="","",IF(INDEX('販売記録'!$C$5:$C$1004,$F726)="","",INDEX('販売記録'!$C$5:$C$1004,$F726)))</ns0:f>
        <ns0:v/>
      </ns0:c>
      <ns0:c r="D726" s="8" t="str">
        <ns0:f>IF($F726="","",IF(INDEX('販売記録'!$D$5:$D$1004,$F726)="","",INDEX('販売記録'!$D$5:$D$1004,$F726)))</ns0:f>
        <ns0:v/>
      </ns0:c>
      <ns0:c r="E726" s="12" t="str">
        <ns0:f>IF(OR(A726="",B726=""),"",MAX(0,TODAY()-A726))</ns0:f>
        <ns0:v/>
      </ns0:c>
      <ns0:c r="F726" s="9" t="str">
        <ns0:f>IFERROR(MATCH(ROW()-4,'販売記録'!$L$5:$L$1004,0),"")</ns0:f>
        <ns0:v/>
      </ns0:c>
    </ns0:row>
    <ns0:row r="727">
      <ns0:c r="A727" s="11" t="str">
        <ns0:f>IF($F727="","",IF(INDEX('販売記録'!$K$5:$K$1004,$F727)="","",INDEX('販売記録'!$K$5:$K$1004,$F727)))</ns0:f>
        <ns0:v/>
      </ns0:c>
      <ns0:c r="B727" s="9" t="str">
        <ns0:f>IF($F727="","",IF(INDEX('販売記録'!$B$5:$B$1004,$F727)="","",INDEX('販売記録'!$B$5:$B$1004,$F727)))</ns0:f>
        <ns0:v/>
      </ns0:c>
      <ns0:c r="C727" s="9" t="str">
        <ns0:f>IF($F727="","",IF(INDEX('販売記録'!$C$5:$C$1004,$F727)="","",INDEX('販売記録'!$C$5:$C$1004,$F727)))</ns0:f>
        <ns0:v/>
      </ns0:c>
      <ns0:c r="D727" s="8" t="str">
        <ns0:f>IF($F727="","",IF(INDEX('販売記録'!$D$5:$D$1004,$F727)="","",INDEX('販売記録'!$D$5:$D$1004,$F727)))</ns0:f>
        <ns0:v/>
      </ns0:c>
      <ns0:c r="E727" s="12" t="str">
        <ns0:f>IF(OR(A727="",B727=""),"",MAX(0,TODAY()-A727))</ns0:f>
        <ns0:v/>
      </ns0:c>
      <ns0:c r="F727" s="9" t="str">
        <ns0:f>IFERROR(MATCH(ROW()-4,'販売記録'!$L$5:$L$1004,0),"")</ns0:f>
        <ns0:v/>
      </ns0:c>
    </ns0:row>
    <ns0:row r="728">
      <ns0:c r="A728" s="11" t="str">
        <ns0:f>IF($F728="","",IF(INDEX('販売記録'!$K$5:$K$1004,$F728)="","",INDEX('販売記録'!$K$5:$K$1004,$F728)))</ns0:f>
        <ns0:v/>
      </ns0:c>
      <ns0:c r="B728" s="9" t="str">
        <ns0:f>IF($F728="","",IF(INDEX('販売記録'!$B$5:$B$1004,$F728)="","",INDEX('販売記録'!$B$5:$B$1004,$F728)))</ns0:f>
        <ns0:v/>
      </ns0:c>
      <ns0:c r="C728" s="9" t="str">
        <ns0:f>IF($F728="","",IF(INDEX('販売記録'!$C$5:$C$1004,$F728)="","",INDEX('販売記録'!$C$5:$C$1004,$F728)))</ns0:f>
        <ns0:v/>
      </ns0:c>
      <ns0:c r="D728" s="8" t="str">
        <ns0:f>IF($F728="","",IF(INDEX('販売記録'!$D$5:$D$1004,$F728)="","",INDEX('販売記録'!$D$5:$D$1004,$F728)))</ns0:f>
        <ns0:v/>
      </ns0:c>
      <ns0:c r="E728" s="12" t="str">
        <ns0:f>IF(OR(A728="",B728=""),"",MAX(0,TODAY()-A728))</ns0:f>
        <ns0:v/>
      </ns0:c>
      <ns0:c r="F728" s="9" t="str">
        <ns0:f>IFERROR(MATCH(ROW()-4,'販売記録'!$L$5:$L$1004,0),"")</ns0:f>
        <ns0:v/>
      </ns0:c>
    </ns0:row>
    <ns0:row r="729">
      <ns0:c r="A729" s="11" t="str">
        <ns0:f>IF($F729="","",IF(INDEX('販売記録'!$K$5:$K$1004,$F729)="","",INDEX('販売記録'!$K$5:$K$1004,$F729)))</ns0:f>
        <ns0:v/>
      </ns0:c>
      <ns0:c r="B729" s="9" t="str">
        <ns0:f>IF($F729="","",IF(INDEX('販売記録'!$B$5:$B$1004,$F729)="","",INDEX('販売記録'!$B$5:$B$1004,$F729)))</ns0:f>
        <ns0:v/>
      </ns0:c>
      <ns0:c r="C729" s="9" t="str">
        <ns0:f>IF($F729="","",IF(INDEX('販売記録'!$C$5:$C$1004,$F729)="","",INDEX('販売記録'!$C$5:$C$1004,$F729)))</ns0:f>
        <ns0:v/>
      </ns0:c>
      <ns0:c r="D729" s="8" t="str">
        <ns0:f>IF($F729="","",IF(INDEX('販売記録'!$D$5:$D$1004,$F729)="","",INDEX('販売記録'!$D$5:$D$1004,$F729)))</ns0:f>
        <ns0:v/>
      </ns0:c>
      <ns0:c r="E729" s="12" t="str">
        <ns0:f>IF(OR(A729="",B729=""),"",MAX(0,TODAY()-A729))</ns0:f>
        <ns0:v/>
      </ns0:c>
      <ns0:c r="F729" s="9" t="str">
        <ns0:f>IFERROR(MATCH(ROW()-4,'販売記録'!$L$5:$L$1004,0),"")</ns0:f>
        <ns0:v/>
      </ns0:c>
    </ns0:row>
    <ns0:row r="730">
      <ns0:c r="A730" s="11" t="str">
        <ns0:f>IF($F730="","",IF(INDEX('販売記録'!$K$5:$K$1004,$F730)="","",INDEX('販売記録'!$K$5:$K$1004,$F730)))</ns0:f>
        <ns0:v/>
      </ns0:c>
      <ns0:c r="B730" s="9" t="str">
        <ns0:f>IF($F730="","",IF(INDEX('販売記録'!$B$5:$B$1004,$F730)="","",INDEX('販売記録'!$B$5:$B$1004,$F730)))</ns0:f>
        <ns0:v/>
      </ns0:c>
      <ns0:c r="C730" s="9" t="str">
        <ns0:f>IF($F730="","",IF(INDEX('販売記録'!$C$5:$C$1004,$F730)="","",INDEX('販売記録'!$C$5:$C$1004,$F730)))</ns0:f>
        <ns0:v/>
      </ns0:c>
      <ns0:c r="D730" s="8" t="str">
        <ns0:f>IF($F730="","",IF(INDEX('販売記録'!$D$5:$D$1004,$F730)="","",INDEX('販売記録'!$D$5:$D$1004,$F730)))</ns0:f>
        <ns0:v/>
      </ns0:c>
      <ns0:c r="E730" s="12" t="str">
        <ns0:f>IF(OR(A730="",B730=""),"",MAX(0,TODAY()-A730))</ns0:f>
        <ns0:v/>
      </ns0:c>
      <ns0:c r="F730" s="9" t="str">
        <ns0:f>IFERROR(MATCH(ROW()-4,'販売記録'!$L$5:$L$1004,0),"")</ns0:f>
        <ns0:v/>
      </ns0:c>
    </ns0:row>
    <ns0:row r="731">
      <ns0:c r="A731" s="11" t="str">
        <ns0:f>IF($F731="","",IF(INDEX('販売記録'!$K$5:$K$1004,$F731)="","",INDEX('販売記録'!$K$5:$K$1004,$F731)))</ns0:f>
        <ns0:v/>
      </ns0:c>
      <ns0:c r="B731" s="9" t="str">
        <ns0:f>IF($F731="","",IF(INDEX('販売記録'!$B$5:$B$1004,$F731)="","",INDEX('販売記録'!$B$5:$B$1004,$F731)))</ns0:f>
        <ns0:v/>
      </ns0:c>
      <ns0:c r="C731" s="9" t="str">
        <ns0:f>IF($F731="","",IF(INDEX('販売記録'!$C$5:$C$1004,$F731)="","",INDEX('販売記録'!$C$5:$C$1004,$F731)))</ns0:f>
        <ns0:v/>
      </ns0:c>
      <ns0:c r="D731" s="8" t="str">
        <ns0:f>IF($F731="","",IF(INDEX('販売記録'!$D$5:$D$1004,$F731)="","",INDEX('販売記録'!$D$5:$D$1004,$F731)))</ns0:f>
        <ns0:v/>
      </ns0:c>
      <ns0:c r="E731" s="12" t="str">
        <ns0:f>IF(OR(A731="",B731=""),"",MAX(0,TODAY()-A731))</ns0:f>
        <ns0:v/>
      </ns0:c>
      <ns0:c r="F731" s="9" t="str">
        <ns0:f>IFERROR(MATCH(ROW()-4,'販売記録'!$L$5:$L$1004,0),"")</ns0:f>
        <ns0:v/>
      </ns0:c>
    </ns0:row>
    <ns0:row r="732">
      <ns0:c r="A732" s="11" t="str">
        <ns0:f>IF($F732="","",IF(INDEX('販売記録'!$K$5:$K$1004,$F732)="","",INDEX('販売記録'!$K$5:$K$1004,$F732)))</ns0:f>
        <ns0:v/>
      </ns0:c>
      <ns0:c r="B732" s="9" t="str">
        <ns0:f>IF($F732="","",IF(INDEX('販売記録'!$B$5:$B$1004,$F732)="","",INDEX('販売記録'!$B$5:$B$1004,$F732)))</ns0:f>
        <ns0:v/>
      </ns0:c>
      <ns0:c r="C732" s="9" t="str">
        <ns0:f>IF($F732="","",IF(INDEX('販売記録'!$C$5:$C$1004,$F732)="","",INDEX('販売記録'!$C$5:$C$1004,$F732)))</ns0:f>
        <ns0:v/>
      </ns0:c>
      <ns0:c r="D732" s="8" t="str">
        <ns0:f>IF($F732="","",IF(INDEX('販売記録'!$D$5:$D$1004,$F732)="","",INDEX('販売記録'!$D$5:$D$1004,$F732)))</ns0:f>
        <ns0:v/>
      </ns0:c>
      <ns0:c r="E732" s="12" t="str">
        <ns0:f>IF(OR(A732="",B732=""),"",MAX(0,TODAY()-A732))</ns0:f>
        <ns0:v/>
      </ns0:c>
      <ns0:c r="F732" s="9" t="str">
        <ns0:f>IFERROR(MATCH(ROW()-4,'販売記録'!$L$5:$L$1004,0),"")</ns0:f>
        <ns0:v/>
      </ns0:c>
    </ns0:row>
    <ns0:row r="733">
      <ns0:c r="A733" s="11" t="str">
        <ns0:f>IF($F733="","",IF(INDEX('販売記録'!$K$5:$K$1004,$F733)="","",INDEX('販売記録'!$K$5:$K$1004,$F733)))</ns0:f>
        <ns0:v/>
      </ns0:c>
      <ns0:c r="B733" s="9" t="str">
        <ns0:f>IF($F733="","",IF(INDEX('販売記録'!$B$5:$B$1004,$F733)="","",INDEX('販売記録'!$B$5:$B$1004,$F733)))</ns0:f>
        <ns0:v/>
      </ns0:c>
      <ns0:c r="C733" s="9" t="str">
        <ns0:f>IF($F733="","",IF(INDEX('販売記録'!$C$5:$C$1004,$F733)="","",INDEX('販売記録'!$C$5:$C$1004,$F733)))</ns0:f>
        <ns0:v/>
      </ns0:c>
      <ns0:c r="D733" s="8" t="str">
        <ns0:f>IF($F733="","",IF(INDEX('販売記録'!$D$5:$D$1004,$F733)="","",INDEX('販売記録'!$D$5:$D$1004,$F733)))</ns0:f>
        <ns0:v/>
      </ns0:c>
      <ns0:c r="E733" s="12" t="str">
        <ns0:f>IF(OR(A733="",B733=""),"",MAX(0,TODAY()-A733))</ns0:f>
        <ns0:v/>
      </ns0:c>
      <ns0:c r="F733" s="9" t="str">
        <ns0:f>IFERROR(MATCH(ROW()-4,'販売記録'!$L$5:$L$1004,0),"")</ns0:f>
        <ns0:v/>
      </ns0:c>
    </ns0:row>
    <ns0:row r="734">
      <ns0:c r="A734" s="11" t="str">
        <ns0:f>IF($F734="","",IF(INDEX('販売記録'!$K$5:$K$1004,$F734)="","",INDEX('販売記録'!$K$5:$K$1004,$F734)))</ns0:f>
        <ns0:v/>
      </ns0:c>
      <ns0:c r="B734" s="9" t="str">
        <ns0:f>IF($F734="","",IF(INDEX('販売記録'!$B$5:$B$1004,$F734)="","",INDEX('販売記録'!$B$5:$B$1004,$F734)))</ns0:f>
        <ns0:v/>
      </ns0:c>
      <ns0:c r="C734" s="9" t="str">
        <ns0:f>IF($F734="","",IF(INDEX('販売記録'!$C$5:$C$1004,$F734)="","",INDEX('販売記録'!$C$5:$C$1004,$F734)))</ns0:f>
        <ns0:v/>
      </ns0:c>
      <ns0:c r="D734" s="8" t="str">
        <ns0:f>IF($F734="","",IF(INDEX('販売記録'!$D$5:$D$1004,$F734)="","",INDEX('販売記録'!$D$5:$D$1004,$F734)))</ns0:f>
        <ns0:v/>
      </ns0:c>
      <ns0:c r="E734" s="12" t="str">
        <ns0:f>IF(OR(A734="",B734=""),"",MAX(0,TODAY()-A734))</ns0:f>
        <ns0:v/>
      </ns0:c>
      <ns0:c r="F734" s="9" t="str">
        <ns0:f>IFERROR(MATCH(ROW()-4,'販売記録'!$L$5:$L$1004,0),"")</ns0:f>
        <ns0:v/>
      </ns0:c>
    </ns0:row>
    <ns0:row r="735">
      <ns0:c r="A735" s="11" t="str">
        <ns0:f>IF($F735="","",IF(INDEX('販売記録'!$K$5:$K$1004,$F735)="","",INDEX('販売記録'!$K$5:$K$1004,$F735)))</ns0:f>
        <ns0:v/>
      </ns0:c>
      <ns0:c r="B735" s="9" t="str">
        <ns0:f>IF($F735="","",IF(INDEX('販売記録'!$B$5:$B$1004,$F735)="","",INDEX('販売記録'!$B$5:$B$1004,$F735)))</ns0:f>
        <ns0:v/>
      </ns0:c>
      <ns0:c r="C735" s="9" t="str">
        <ns0:f>IF($F735="","",IF(INDEX('販売記録'!$C$5:$C$1004,$F735)="","",INDEX('販売記録'!$C$5:$C$1004,$F735)))</ns0:f>
        <ns0:v/>
      </ns0:c>
      <ns0:c r="D735" s="8" t="str">
        <ns0:f>IF($F735="","",IF(INDEX('販売記録'!$D$5:$D$1004,$F735)="","",INDEX('販売記録'!$D$5:$D$1004,$F735)))</ns0:f>
        <ns0:v/>
      </ns0:c>
      <ns0:c r="E735" s="12" t="str">
        <ns0:f>IF(OR(A735="",B735=""),"",MAX(0,TODAY()-A735))</ns0:f>
        <ns0:v/>
      </ns0:c>
      <ns0:c r="F735" s="9" t="str">
        <ns0:f>IFERROR(MATCH(ROW()-4,'販売記録'!$L$5:$L$1004,0),"")</ns0:f>
        <ns0:v/>
      </ns0:c>
    </ns0:row>
    <ns0:row r="736">
      <ns0:c r="A736" s="11" t="str">
        <ns0:f>IF($F736="","",IF(INDEX('販売記録'!$K$5:$K$1004,$F736)="","",INDEX('販売記録'!$K$5:$K$1004,$F736)))</ns0:f>
        <ns0:v/>
      </ns0:c>
      <ns0:c r="B736" s="9" t="str">
        <ns0:f>IF($F736="","",IF(INDEX('販売記録'!$B$5:$B$1004,$F736)="","",INDEX('販売記録'!$B$5:$B$1004,$F736)))</ns0:f>
        <ns0:v/>
      </ns0:c>
      <ns0:c r="C736" s="9" t="str">
        <ns0:f>IF($F736="","",IF(INDEX('販売記録'!$C$5:$C$1004,$F736)="","",INDEX('販売記録'!$C$5:$C$1004,$F736)))</ns0:f>
        <ns0:v/>
      </ns0:c>
      <ns0:c r="D736" s="8" t="str">
        <ns0:f>IF($F736="","",IF(INDEX('販売記録'!$D$5:$D$1004,$F736)="","",INDEX('販売記録'!$D$5:$D$1004,$F736)))</ns0:f>
        <ns0:v/>
      </ns0:c>
      <ns0:c r="E736" s="12" t="str">
        <ns0:f>IF(OR(A736="",B736=""),"",MAX(0,TODAY()-A736))</ns0:f>
        <ns0:v/>
      </ns0:c>
      <ns0:c r="F736" s="9" t="str">
        <ns0:f>IFERROR(MATCH(ROW()-4,'販売記録'!$L$5:$L$1004,0),"")</ns0:f>
        <ns0:v/>
      </ns0:c>
    </ns0:row>
    <ns0:row r="737">
      <ns0:c r="A737" s="11" t="str">
        <ns0:f>IF($F737="","",IF(INDEX('販売記録'!$K$5:$K$1004,$F737)="","",INDEX('販売記録'!$K$5:$K$1004,$F737)))</ns0:f>
        <ns0:v/>
      </ns0:c>
      <ns0:c r="B737" s="9" t="str">
        <ns0:f>IF($F737="","",IF(INDEX('販売記録'!$B$5:$B$1004,$F737)="","",INDEX('販売記録'!$B$5:$B$1004,$F737)))</ns0:f>
        <ns0:v/>
      </ns0:c>
      <ns0:c r="C737" s="9" t="str">
        <ns0:f>IF($F737="","",IF(INDEX('販売記録'!$C$5:$C$1004,$F737)="","",INDEX('販売記録'!$C$5:$C$1004,$F737)))</ns0:f>
        <ns0:v/>
      </ns0:c>
      <ns0:c r="D737" s="8" t="str">
        <ns0:f>IF($F737="","",IF(INDEX('販売記録'!$D$5:$D$1004,$F737)="","",INDEX('販売記録'!$D$5:$D$1004,$F737)))</ns0:f>
        <ns0:v/>
      </ns0:c>
      <ns0:c r="E737" s="12" t="str">
        <ns0:f>IF(OR(A737="",B737=""),"",MAX(0,TODAY()-A737))</ns0:f>
        <ns0:v/>
      </ns0:c>
      <ns0:c r="F737" s="9" t="str">
        <ns0:f>IFERROR(MATCH(ROW()-4,'販売記録'!$L$5:$L$1004,0),"")</ns0:f>
        <ns0:v/>
      </ns0:c>
    </ns0:row>
    <ns0:row r="738">
      <ns0:c r="A738" s="11" t="str">
        <ns0:f>IF($F738="","",IF(INDEX('販売記録'!$K$5:$K$1004,$F738)="","",INDEX('販売記録'!$K$5:$K$1004,$F738)))</ns0:f>
        <ns0:v/>
      </ns0:c>
      <ns0:c r="B738" s="9" t="str">
        <ns0:f>IF($F738="","",IF(INDEX('販売記録'!$B$5:$B$1004,$F738)="","",INDEX('販売記録'!$B$5:$B$1004,$F738)))</ns0:f>
        <ns0:v/>
      </ns0:c>
      <ns0:c r="C738" s="9" t="str">
        <ns0:f>IF($F738="","",IF(INDEX('販売記録'!$C$5:$C$1004,$F738)="","",INDEX('販売記録'!$C$5:$C$1004,$F738)))</ns0:f>
        <ns0:v/>
      </ns0:c>
      <ns0:c r="D738" s="8" t="str">
        <ns0:f>IF($F738="","",IF(INDEX('販売記録'!$D$5:$D$1004,$F738)="","",INDEX('販売記録'!$D$5:$D$1004,$F738)))</ns0:f>
        <ns0:v/>
      </ns0:c>
      <ns0:c r="E738" s="12" t="str">
        <ns0:f>IF(OR(A738="",B738=""),"",MAX(0,TODAY()-A738))</ns0:f>
        <ns0:v/>
      </ns0:c>
      <ns0:c r="F738" s="9" t="str">
        <ns0:f>IFERROR(MATCH(ROW()-4,'販売記録'!$L$5:$L$1004,0),"")</ns0:f>
        <ns0:v/>
      </ns0:c>
    </ns0:row>
    <ns0:row r="739">
      <ns0:c r="A739" s="11" t="str">
        <ns0:f>IF($F739="","",IF(INDEX('販売記録'!$K$5:$K$1004,$F739)="","",INDEX('販売記録'!$K$5:$K$1004,$F739)))</ns0:f>
        <ns0:v/>
      </ns0:c>
      <ns0:c r="B739" s="9" t="str">
        <ns0:f>IF($F739="","",IF(INDEX('販売記録'!$B$5:$B$1004,$F739)="","",INDEX('販売記録'!$B$5:$B$1004,$F739)))</ns0:f>
        <ns0:v/>
      </ns0:c>
      <ns0:c r="C739" s="9" t="str">
        <ns0:f>IF($F739="","",IF(INDEX('販売記録'!$C$5:$C$1004,$F739)="","",INDEX('販売記録'!$C$5:$C$1004,$F739)))</ns0:f>
        <ns0:v/>
      </ns0:c>
      <ns0:c r="D739" s="8" t="str">
        <ns0:f>IF($F739="","",IF(INDEX('販売記録'!$D$5:$D$1004,$F739)="","",INDEX('販売記録'!$D$5:$D$1004,$F739)))</ns0:f>
        <ns0:v/>
      </ns0:c>
      <ns0:c r="E739" s="12" t="str">
        <ns0:f>IF(OR(A739="",B739=""),"",MAX(0,TODAY()-A739))</ns0:f>
        <ns0:v/>
      </ns0:c>
      <ns0:c r="F739" s="9" t="str">
        <ns0:f>IFERROR(MATCH(ROW()-4,'販売記録'!$L$5:$L$1004,0),"")</ns0:f>
        <ns0:v/>
      </ns0:c>
    </ns0:row>
    <ns0:row r="740">
      <ns0:c r="A740" s="11" t="str">
        <ns0:f>IF($F740="","",IF(INDEX('販売記録'!$K$5:$K$1004,$F740)="","",INDEX('販売記録'!$K$5:$K$1004,$F740)))</ns0:f>
        <ns0:v/>
      </ns0:c>
      <ns0:c r="B740" s="9" t="str">
        <ns0:f>IF($F740="","",IF(INDEX('販売記録'!$B$5:$B$1004,$F740)="","",INDEX('販売記録'!$B$5:$B$1004,$F740)))</ns0:f>
        <ns0:v/>
      </ns0:c>
      <ns0:c r="C740" s="9" t="str">
        <ns0:f>IF($F740="","",IF(INDEX('販売記録'!$C$5:$C$1004,$F740)="","",INDEX('販売記録'!$C$5:$C$1004,$F740)))</ns0:f>
        <ns0:v/>
      </ns0:c>
      <ns0:c r="D740" s="8" t="str">
        <ns0:f>IF($F740="","",IF(INDEX('販売記録'!$D$5:$D$1004,$F740)="","",INDEX('販売記録'!$D$5:$D$1004,$F740)))</ns0:f>
        <ns0:v/>
      </ns0:c>
      <ns0:c r="E740" s="12" t="str">
        <ns0:f>IF(OR(A740="",B740=""),"",MAX(0,TODAY()-A740))</ns0:f>
        <ns0:v/>
      </ns0:c>
      <ns0:c r="F740" s="9" t="str">
        <ns0:f>IFERROR(MATCH(ROW()-4,'販売記録'!$L$5:$L$1004,0),"")</ns0:f>
        <ns0:v/>
      </ns0:c>
    </ns0:row>
    <ns0:row r="741">
      <ns0:c r="A741" s="11" t="str">
        <ns0:f>IF($F741="","",IF(INDEX('販売記録'!$K$5:$K$1004,$F741)="","",INDEX('販売記録'!$K$5:$K$1004,$F741)))</ns0:f>
        <ns0:v/>
      </ns0:c>
      <ns0:c r="B741" s="9" t="str">
        <ns0:f>IF($F741="","",IF(INDEX('販売記録'!$B$5:$B$1004,$F741)="","",INDEX('販売記録'!$B$5:$B$1004,$F741)))</ns0:f>
        <ns0:v/>
      </ns0:c>
      <ns0:c r="C741" s="9" t="str">
        <ns0:f>IF($F741="","",IF(INDEX('販売記録'!$C$5:$C$1004,$F741)="","",INDEX('販売記録'!$C$5:$C$1004,$F741)))</ns0:f>
        <ns0:v/>
      </ns0:c>
      <ns0:c r="D741" s="8" t="str">
        <ns0:f>IF($F741="","",IF(INDEX('販売記録'!$D$5:$D$1004,$F741)="","",INDEX('販売記録'!$D$5:$D$1004,$F741)))</ns0:f>
        <ns0:v/>
      </ns0:c>
      <ns0:c r="E741" s="12" t="str">
        <ns0:f>IF(OR(A741="",B741=""),"",MAX(0,TODAY()-A741))</ns0:f>
        <ns0:v/>
      </ns0:c>
      <ns0:c r="F741" s="9" t="str">
        <ns0:f>IFERROR(MATCH(ROW()-4,'販売記録'!$L$5:$L$1004,0),"")</ns0:f>
        <ns0:v/>
      </ns0:c>
    </ns0:row>
    <ns0:row r="742">
      <ns0:c r="A742" s="11" t="str">
        <ns0:f>IF($F742="","",IF(INDEX('販売記録'!$K$5:$K$1004,$F742)="","",INDEX('販売記録'!$K$5:$K$1004,$F742)))</ns0:f>
        <ns0:v/>
      </ns0:c>
      <ns0:c r="B742" s="9" t="str">
        <ns0:f>IF($F742="","",IF(INDEX('販売記録'!$B$5:$B$1004,$F742)="","",INDEX('販売記録'!$B$5:$B$1004,$F742)))</ns0:f>
        <ns0:v/>
      </ns0:c>
      <ns0:c r="C742" s="9" t="str">
        <ns0:f>IF($F742="","",IF(INDEX('販売記録'!$C$5:$C$1004,$F742)="","",INDEX('販売記録'!$C$5:$C$1004,$F742)))</ns0:f>
        <ns0:v/>
      </ns0:c>
      <ns0:c r="D742" s="8" t="str">
        <ns0:f>IF($F742="","",IF(INDEX('販売記録'!$D$5:$D$1004,$F742)="","",INDEX('販売記録'!$D$5:$D$1004,$F742)))</ns0:f>
        <ns0:v/>
      </ns0:c>
      <ns0:c r="E742" s="12" t="str">
        <ns0:f>IF(OR(A742="",B742=""),"",MAX(0,TODAY()-A742))</ns0:f>
        <ns0:v/>
      </ns0:c>
      <ns0:c r="F742" s="9" t="str">
        <ns0:f>IFERROR(MATCH(ROW()-4,'販売記録'!$L$5:$L$1004,0),"")</ns0:f>
        <ns0:v/>
      </ns0:c>
    </ns0:row>
    <ns0:row r="743">
      <ns0:c r="A743" s="11" t="str">
        <ns0:f>IF($F743="","",IF(INDEX('販売記録'!$K$5:$K$1004,$F743)="","",INDEX('販売記録'!$K$5:$K$1004,$F743)))</ns0:f>
        <ns0:v/>
      </ns0:c>
      <ns0:c r="B743" s="9" t="str">
        <ns0:f>IF($F743="","",IF(INDEX('販売記録'!$B$5:$B$1004,$F743)="","",INDEX('販売記録'!$B$5:$B$1004,$F743)))</ns0:f>
        <ns0:v/>
      </ns0:c>
      <ns0:c r="C743" s="9" t="str">
        <ns0:f>IF($F743="","",IF(INDEX('販売記録'!$C$5:$C$1004,$F743)="","",INDEX('販売記録'!$C$5:$C$1004,$F743)))</ns0:f>
        <ns0:v/>
      </ns0:c>
      <ns0:c r="D743" s="8" t="str">
        <ns0:f>IF($F743="","",IF(INDEX('販売記録'!$D$5:$D$1004,$F743)="","",INDEX('販売記録'!$D$5:$D$1004,$F743)))</ns0:f>
        <ns0:v/>
      </ns0:c>
      <ns0:c r="E743" s="12" t="str">
        <ns0:f>IF(OR(A743="",B743=""),"",MAX(0,TODAY()-A743))</ns0:f>
        <ns0:v/>
      </ns0:c>
      <ns0:c r="F743" s="9" t="str">
        <ns0:f>IFERROR(MATCH(ROW()-4,'販売記録'!$L$5:$L$1004,0),"")</ns0:f>
        <ns0:v/>
      </ns0:c>
    </ns0:row>
    <ns0:row r="744">
      <ns0:c r="A744" s="11" t="str">
        <ns0:f>IF($F744="","",IF(INDEX('販売記録'!$K$5:$K$1004,$F744)="","",INDEX('販売記録'!$K$5:$K$1004,$F744)))</ns0:f>
        <ns0:v/>
      </ns0:c>
      <ns0:c r="B744" s="9" t="str">
        <ns0:f>IF($F744="","",IF(INDEX('販売記録'!$B$5:$B$1004,$F744)="","",INDEX('販売記録'!$B$5:$B$1004,$F744)))</ns0:f>
        <ns0:v/>
      </ns0:c>
      <ns0:c r="C744" s="9" t="str">
        <ns0:f>IF($F744="","",IF(INDEX('販売記録'!$C$5:$C$1004,$F744)="","",INDEX('販売記録'!$C$5:$C$1004,$F744)))</ns0:f>
        <ns0:v/>
      </ns0:c>
      <ns0:c r="D744" s="8" t="str">
        <ns0:f>IF($F744="","",IF(INDEX('販売記録'!$D$5:$D$1004,$F744)="","",INDEX('販売記録'!$D$5:$D$1004,$F744)))</ns0:f>
        <ns0:v/>
      </ns0:c>
      <ns0:c r="E744" s="12" t="str">
        <ns0:f>IF(OR(A744="",B744=""),"",MAX(0,TODAY()-A744))</ns0:f>
        <ns0:v/>
      </ns0:c>
      <ns0:c r="F744" s="9" t="str">
        <ns0:f>IFERROR(MATCH(ROW()-4,'販売記録'!$L$5:$L$1004,0),"")</ns0:f>
        <ns0:v/>
      </ns0:c>
    </ns0:row>
    <ns0:row r="745">
      <ns0:c r="A745" s="11" t="str">
        <ns0:f>IF($F745="","",IF(INDEX('販売記録'!$K$5:$K$1004,$F745)="","",INDEX('販売記録'!$K$5:$K$1004,$F745)))</ns0:f>
        <ns0:v/>
      </ns0:c>
      <ns0:c r="B745" s="9" t="str">
        <ns0:f>IF($F745="","",IF(INDEX('販売記録'!$B$5:$B$1004,$F745)="","",INDEX('販売記録'!$B$5:$B$1004,$F745)))</ns0:f>
        <ns0:v/>
      </ns0:c>
      <ns0:c r="C745" s="9" t="str">
        <ns0:f>IF($F745="","",IF(INDEX('販売記録'!$C$5:$C$1004,$F745)="","",INDEX('販売記録'!$C$5:$C$1004,$F745)))</ns0:f>
        <ns0:v/>
      </ns0:c>
      <ns0:c r="D745" s="8" t="str">
        <ns0:f>IF($F745="","",IF(INDEX('販売記録'!$D$5:$D$1004,$F745)="","",INDEX('販売記録'!$D$5:$D$1004,$F745)))</ns0:f>
        <ns0:v/>
      </ns0:c>
      <ns0:c r="E745" s="12" t="str">
        <ns0:f>IF(OR(A745="",B745=""),"",MAX(0,TODAY()-A745))</ns0:f>
        <ns0:v/>
      </ns0:c>
      <ns0:c r="F745" s="9" t="str">
        <ns0:f>IFERROR(MATCH(ROW()-4,'販売記録'!$L$5:$L$1004,0),"")</ns0:f>
        <ns0:v/>
      </ns0:c>
    </ns0:row>
    <ns0:row r="746">
      <ns0:c r="A746" s="11" t="str">
        <ns0:f>IF($F746="","",IF(INDEX('販売記録'!$K$5:$K$1004,$F746)="","",INDEX('販売記録'!$K$5:$K$1004,$F746)))</ns0:f>
        <ns0:v/>
      </ns0:c>
      <ns0:c r="B746" s="9" t="str">
        <ns0:f>IF($F746="","",IF(INDEX('販売記録'!$B$5:$B$1004,$F746)="","",INDEX('販売記録'!$B$5:$B$1004,$F746)))</ns0:f>
        <ns0:v/>
      </ns0:c>
      <ns0:c r="C746" s="9" t="str">
        <ns0:f>IF($F746="","",IF(INDEX('販売記録'!$C$5:$C$1004,$F746)="","",INDEX('販売記録'!$C$5:$C$1004,$F746)))</ns0:f>
        <ns0:v/>
      </ns0:c>
      <ns0:c r="D746" s="8" t="str">
        <ns0:f>IF($F746="","",IF(INDEX('販売記録'!$D$5:$D$1004,$F746)="","",INDEX('販売記録'!$D$5:$D$1004,$F746)))</ns0:f>
        <ns0:v/>
      </ns0:c>
      <ns0:c r="E746" s="12" t="str">
        <ns0:f>IF(OR(A746="",B746=""),"",MAX(0,TODAY()-A746))</ns0:f>
        <ns0:v/>
      </ns0:c>
      <ns0:c r="F746" s="9" t="str">
        <ns0:f>IFERROR(MATCH(ROW()-4,'販売記録'!$L$5:$L$1004,0),"")</ns0:f>
        <ns0:v/>
      </ns0:c>
    </ns0:row>
    <ns0:row r="747">
      <ns0:c r="A747" s="11" t="str">
        <ns0:f>IF($F747="","",IF(INDEX('販売記録'!$K$5:$K$1004,$F747)="","",INDEX('販売記録'!$K$5:$K$1004,$F747)))</ns0:f>
        <ns0:v/>
      </ns0:c>
      <ns0:c r="B747" s="9" t="str">
        <ns0:f>IF($F747="","",IF(INDEX('販売記録'!$B$5:$B$1004,$F747)="","",INDEX('販売記録'!$B$5:$B$1004,$F747)))</ns0:f>
        <ns0:v/>
      </ns0:c>
      <ns0:c r="C747" s="9" t="str">
        <ns0:f>IF($F747="","",IF(INDEX('販売記録'!$C$5:$C$1004,$F747)="","",INDEX('販売記録'!$C$5:$C$1004,$F747)))</ns0:f>
        <ns0:v/>
      </ns0:c>
      <ns0:c r="D747" s="8" t="str">
        <ns0:f>IF($F747="","",IF(INDEX('販売記録'!$D$5:$D$1004,$F747)="","",INDEX('販売記録'!$D$5:$D$1004,$F747)))</ns0:f>
        <ns0:v/>
      </ns0:c>
      <ns0:c r="E747" s="12" t="str">
        <ns0:f>IF(OR(A747="",B747=""),"",MAX(0,TODAY()-A747))</ns0:f>
        <ns0:v/>
      </ns0:c>
      <ns0:c r="F747" s="9" t="str">
        <ns0:f>IFERROR(MATCH(ROW()-4,'販売記録'!$L$5:$L$1004,0),"")</ns0:f>
        <ns0:v/>
      </ns0:c>
    </ns0:row>
    <ns0:row r="748">
      <ns0:c r="A748" s="11" t="str">
        <ns0:f>IF($F748="","",IF(INDEX('販売記録'!$K$5:$K$1004,$F748)="","",INDEX('販売記録'!$K$5:$K$1004,$F748)))</ns0:f>
        <ns0:v/>
      </ns0:c>
      <ns0:c r="B748" s="9" t="str">
        <ns0:f>IF($F748="","",IF(INDEX('販売記録'!$B$5:$B$1004,$F748)="","",INDEX('販売記録'!$B$5:$B$1004,$F748)))</ns0:f>
        <ns0:v/>
      </ns0:c>
      <ns0:c r="C748" s="9" t="str">
        <ns0:f>IF($F748="","",IF(INDEX('販売記録'!$C$5:$C$1004,$F748)="","",INDEX('販売記録'!$C$5:$C$1004,$F748)))</ns0:f>
        <ns0:v/>
      </ns0:c>
      <ns0:c r="D748" s="8" t="str">
        <ns0:f>IF($F748="","",IF(INDEX('販売記録'!$D$5:$D$1004,$F748)="","",INDEX('販売記録'!$D$5:$D$1004,$F748)))</ns0:f>
        <ns0:v/>
      </ns0:c>
      <ns0:c r="E748" s="12" t="str">
        <ns0:f>IF(OR(A748="",B748=""),"",MAX(0,TODAY()-A748))</ns0:f>
        <ns0:v/>
      </ns0:c>
      <ns0:c r="F748" s="9" t="str">
        <ns0:f>IFERROR(MATCH(ROW()-4,'販売記録'!$L$5:$L$1004,0),"")</ns0:f>
        <ns0:v/>
      </ns0:c>
    </ns0:row>
    <ns0:row r="749">
      <ns0:c r="A749" s="11" t="str">
        <ns0:f>IF($F749="","",IF(INDEX('販売記録'!$K$5:$K$1004,$F749)="","",INDEX('販売記録'!$K$5:$K$1004,$F749)))</ns0:f>
        <ns0:v/>
      </ns0:c>
      <ns0:c r="B749" s="9" t="str">
        <ns0:f>IF($F749="","",IF(INDEX('販売記録'!$B$5:$B$1004,$F749)="","",INDEX('販売記録'!$B$5:$B$1004,$F749)))</ns0:f>
        <ns0:v/>
      </ns0:c>
      <ns0:c r="C749" s="9" t="str">
        <ns0:f>IF($F749="","",IF(INDEX('販売記録'!$C$5:$C$1004,$F749)="","",INDEX('販売記録'!$C$5:$C$1004,$F749)))</ns0:f>
        <ns0:v/>
      </ns0:c>
      <ns0:c r="D749" s="8" t="str">
        <ns0:f>IF($F749="","",IF(INDEX('販売記録'!$D$5:$D$1004,$F749)="","",INDEX('販売記録'!$D$5:$D$1004,$F749)))</ns0:f>
        <ns0:v/>
      </ns0:c>
      <ns0:c r="E749" s="12" t="str">
        <ns0:f>IF(OR(A749="",B749=""),"",MAX(0,TODAY()-A749))</ns0:f>
        <ns0:v/>
      </ns0:c>
      <ns0:c r="F749" s="9" t="str">
        <ns0:f>IFERROR(MATCH(ROW()-4,'販売記録'!$L$5:$L$1004,0),"")</ns0:f>
        <ns0:v/>
      </ns0:c>
    </ns0:row>
    <ns0:row r="750">
      <ns0:c r="A750" s="11" t="str">
        <ns0:f>IF($F750="","",IF(INDEX('販売記録'!$K$5:$K$1004,$F750)="","",INDEX('販売記録'!$K$5:$K$1004,$F750)))</ns0:f>
        <ns0:v/>
      </ns0:c>
      <ns0:c r="B750" s="9" t="str">
        <ns0:f>IF($F750="","",IF(INDEX('販売記録'!$B$5:$B$1004,$F750)="","",INDEX('販売記録'!$B$5:$B$1004,$F750)))</ns0:f>
        <ns0:v/>
      </ns0:c>
      <ns0:c r="C750" s="9" t="str">
        <ns0:f>IF($F750="","",IF(INDEX('販売記録'!$C$5:$C$1004,$F750)="","",INDEX('販売記録'!$C$5:$C$1004,$F750)))</ns0:f>
        <ns0:v/>
      </ns0:c>
      <ns0:c r="D750" s="8" t="str">
        <ns0:f>IF($F750="","",IF(INDEX('販売記録'!$D$5:$D$1004,$F750)="","",INDEX('販売記録'!$D$5:$D$1004,$F750)))</ns0:f>
        <ns0:v/>
      </ns0:c>
      <ns0:c r="E750" s="12" t="str">
        <ns0:f>IF(OR(A750="",B750=""),"",MAX(0,TODAY()-A750))</ns0:f>
        <ns0:v/>
      </ns0:c>
      <ns0:c r="F750" s="9" t="str">
        <ns0:f>IFERROR(MATCH(ROW()-4,'販売記録'!$L$5:$L$1004,0),"")</ns0:f>
        <ns0:v/>
      </ns0:c>
    </ns0:row>
    <ns0:row r="751">
      <ns0:c r="A751" s="11" t="str">
        <ns0:f>IF($F751="","",IF(INDEX('販売記録'!$K$5:$K$1004,$F751)="","",INDEX('販売記録'!$K$5:$K$1004,$F751)))</ns0:f>
        <ns0:v/>
      </ns0:c>
      <ns0:c r="B751" s="9" t="str">
        <ns0:f>IF($F751="","",IF(INDEX('販売記録'!$B$5:$B$1004,$F751)="","",INDEX('販売記録'!$B$5:$B$1004,$F751)))</ns0:f>
        <ns0:v/>
      </ns0:c>
      <ns0:c r="C751" s="9" t="str">
        <ns0:f>IF($F751="","",IF(INDEX('販売記録'!$C$5:$C$1004,$F751)="","",INDEX('販売記録'!$C$5:$C$1004,$F751)))</ns0:f>
        <ns0:v/>
      </ns0:c>
      <ns0:c r="D751" s="8" t="str">
        <ns0:f>IF($F751="","",IF(INDEX('販売記録'!$D$5:$D$1004,$F751)="","",INDEX('販売記録'!$D$5:$D$1004,$F751)))</ns0:f>
        <ns0:v/>
      </ns0:c>
      <ns0:c r="E751" s="12" t="str">
        <ns0:f>IF(OR(A751="",B751=""),"",MAX(0,TODAY()-A751))</ns0:f>
        <ns0:v/>
      </ns0:c>
      <ns0:c r="F751" s="9" t="str">
        <ns0:f>IFERROR(MATCH(ROW()-4,'販売記録'!$L$5:$L$1004,0),"")</ns0:f>
        <ns0:v/>
      </ns0:c>
    </ns0:row>
    <ns0:row r="752">
      <ns0:c r="A752" s="11" t="str">
        <ns0:f>IF($F752="","",IF(INDEX('販売記録'!$K$5:$K$1004,$F752)="","",INDEX('販売記録'!$K$5:$K$1004,$F752)))</ns0:f>
        <ns0:v/>
      </ns0:c>
      <ns0:c r="B752" s="9" t="str">
        <ns0:f>IF($F752="","",IF(INDEX('販売記録'!$B$5:$B$1004,$F752)="","",INDEX('販売記録'!$B$5:$B$1004,$F752)))</ns0:f>
        <ns0:v/>
      </ns0:c>
      <ns0:c r="C752" s="9" t="str">
        <ns0:f>IF($F752="","",IF(INDEX('販売記録'!$C$5:$C$1004,$F752)="","",INDEX('販売記録'!$C$5:$C$1004,$F752)))</ns0:f>
        <ns0:v/>
      </ns0:c>
      <ns0:c r="D752" s="8" t="str">
        <ns0:f>IF($F752="","",IF(INDEX('販売記録'!$D$5:$D$1004,$F752)="","",INDEX('販売記録'!$D$5:$D$1004,$F752)))</ns0:f>
        <ns0:v/>
      </ns0:c>
      <ns0:c r="E752" s="12" t="str">
        <ns0:f>IF(OR(A752="",B752=""),"",MAX(0,TODAY()-A752))</ns0:f>
        <ns0:v/>
      </ns0:c>
      <ns0:c r="F752" s="9" t="str">
        <ns0:f>IFERROR(MATCH(ROW()-4,'販売記録'!$L$5:$L$1004,0),"")</ns0:f>
        <ns0:v/>
      </ns0:c>
    </ns0:row>
    <ns0:row r="753">
      <ns0:c r="A753" s="11" t="str">
        <ns0:f>IF($F753="","",IF(INDEX('販売記録'!$K$5:$K$1004,$F753)="","",INDEX('販売記録'!$K$5:$K$1004,$F753)))</ns0:f>
        <ns0:v/>
      </ns0:c>
      <ns0:c r="B753" s="9" t="str">
        <ns0:f>IF($F753="","",IF(INDEX('販売記録'!$B$5:$B$1004,$F753)="","",INDEX('販売記録'!$B$5:$B$1004,$F753)))</ns0:f>
        <ns0:v/>
      </ns0:c>
      <ns0:c r="C753" s="9" t="str">
        <ns0:f>IF($F753="","",IF(INDEX('販売記録'!$C$5:$C$1004,$F753)="","",INDEX('販売記録'!$C$5:$C$1004,$F753)))</ns0:f>
        <ns0:v/>
      </ns0:c>
      <ns0:c r="D753" s="8" t="str">
        <ns0:f>IF($F753="","",IF(INDEX('販売記録'!$D$5:$D$1004,$F753)="","",INDEX('販売記録'!$D$5:$D$1004,$F753)))</ns0:f>
        <ns0:v/>
      </ns0:c>
      <ns0:c r="E753" s="12" t="str">
        <ns0:f>IF(OR(A753="",B753=""),"",MAX(0,TODAY()-A753))</ns0:f>
        <ns0:v/>
      </ns0:c>
      <ns0:c r="F753" s="9" t="str">
        <ns0:f>IFERROR(MATCH(ROW()-4,'販売記録'!$L$5:$L$1004,0),"")</ns0:f>
        <ns0:v/>
      </ns0:c>
    </ns0:row>
    <ns0:row r="754">
      <ns0:c r="A754" s="11" t="str">
        <ns0:f>IF($F754="","",IF(INDEX('販売記録'!$K$5:$K$1004,$F754)="","",INDEX('販売記録'!$K$5:$K$1004,$F754)))</ns0:f>
        <ns0:v/>
      </ns0:c>
      <ns0:c r="B754" s="9" t="str">
        <ns0:f>IF($F754="","",IF(INDEX('販売記録'!$B$5:$B$1004,$F754)="","",INDEX('販売記録'!$B$5:$B$1004,$F754)))</ns0:f>
        <ns0:v/>
      </ns0:c>
      <ns0:c r="C754" s="9" t="str">
        <ns0:f>IF($F754="","",IF(INDEX('販売記録'!$C$5:$C$1004,$F754)="","",INDEX('販売記録'!$C$5:$C$1004,$F754)))</ns0:f>
        <ns0:v/>
      </ns0:c>
      <ns0:c r="D754" s="8" t="str">
        <ns0:f>IF($F754="","",IF(INDEX('販売記録'!$D$5:$D$1004,$F754)="","",INDEX('販売記録'!$D$5:$D$1004,$F754)))</ns0:f>
        <ns0:v/>
      </ns0:c>
      <ns0:c r="E754" s="12" t="str">
        <ns0:f>IF(OR(A754="",B754=""),"",MAX(0,TODAY()-A754))</ns0:f>
        <ns0:v/>
      </ns0:c>
      <ns0:c r="F754" s="9" t="str">
        <ns0:f>IFERROR(MATCH(ROW()-4,'販売記録'!$L$5:$L$1004,0),"")</ns0:f>
        <ns0:v/>
      </ns0:c>
    </ns0:row>
    <ns0:row r="755">
      <ns0:c r="A755" s="11" t="str">
        <ns0:f>IF($F755="","",IF(INDEX('販売記録'!$K$5:$K$1004,$F755)="","",INDEX('販売記録'!$K$5:$K$1004,$F755)))</ns0:f>
        <ns0:v/>
      </ns0:c>
      <ns0:c r="B755" s="9" t="str">
        <ns0:f>IF($F755="","",IF(INDEX('販売記録'!$B$5:$B$1004,$F755)="","",INDEX('販売記録'!$B$5:$B$1004,$F755)))</ns0:f>
        <ns0:v/>
      </ns0:c>
      <ns0:c r="C755" s="9" t="str">
        <ns0:f>IF($F755="","",IF(INDEX('販売記録'!$C$5:$C$1004,$F755)="","",INDEX('販売記録'!$C$5:$C$1004,$F755)))</ns0:f>
        <ns0:v/>
      </ns0:c>
      <ns0:c r="D755" s="8" t="str">
        <ns0:f>IF($F755="","",IF(INDEX('販売記録'!$D$5:$D$1004,$F755)="","",INDEX('販売記録'!$D$5:$D$1004,$F755)))</ns0:f>
        <ns0:v/>
      </ns0:c>
      <ns0:c r="E755" s="12" t="str">
        <ns0:f>IF(OR(A755="",B755=""),"",MAX(0,TODAY()-A755))</ns0:f>
        <ns0:v/>
      </ns0:c>
      <ns0:c r="F755" s="9" t="str">
        <ns0:f>IFERROR(MATCH(ROW()-4,'販売記録'!$L$5:$L$1004,0),"")</ns0:f>
        <ns0:v/>
      </ns0:c>
    </ns0:row>
    <ns0:row r="756">
      <ns0:c r="A756" s="11" t="str">
        <ns0:f>IF($F756="","",IF(INDEX('販売記録'!$K$5:$K$1004,$F756)="","",INDEX('販売記録'!$K$5:$K$1004,$F756)))</ns0:f>
        <ns0:v/>
      </ns0:c>
      <ns0:c r="B756" s="9" t="str">
        <ns0:f>IF($F756="","",IF(INDEX('販売記録'!$B$5:$B$1004,$F756)="","",INDEX('販売記録'!$B$5:$B$1004,$F756)))</ns0:f>
        <ns0:v/>
      </ns0:c>
      <ns0:c r="C756" s="9" t="str">
        <ns0:f>IF($F756="","",IF(INDEX('販売記録'!$C$5:$C$1004,$F756)="","",INDEX('販売記録'!$C$5:$C$1004,$F756)))</ns0:f>
        <ns0:v/>
      </ns0:c>
      <ns0:c r="D756" s="8" t="str">
        <ns0:f>IF($F756="","",IF(INDEX('販売記録'!$D$5:$D$1004,$F756)="","",INDEX('販売記録'!$D$5:$D$1004,$F756)))</ns0:f>
        <ns0:v/>
      </ns0:c>
      <ns0:c r="E756" s="12" t="str">
        <ns0:f>IF(OR(A756="",B756=""),"",MAX(0,TODAY()-A756))</ns0:f>
        <ns0:v/>
      </ns0:c>
      <ns0:c r="F756" s="9" t="str">
        <ns0:f>IFERROR(MATCH(ROW()-4,'販売記録'!$L$5:$L$1004,0),"")</ns0:f>
        <ns0:v/>
      </ns0:c>
    </ns0:row>
    <ns0:row r="757">
      <ns0:c r="A757" s="11" t="str">
        <ns0:f>IF($F757="","",IF(INDEX('販売記録'!$K$5:$K$1004,$F757)="","",INDEX('販売記録'!$K$5:$K$1004,$F757)))</ns0:f>
        <ns0:v/>
      </ns0:c>
      <ns0:c r="B757" s="9" t="str">
        <ns0:f>IF($F757="","",IF(INDEX('販売記録'!$B$5:$B$1004,$F757)="","",INDEX('販売記録'!$B$5:$B$1004,$F757)))</ns0:f>
        <ns0:v/>
      </ns0:c>
      <ns0:c r="C757" s="9" t="str">
        <ns0:f>IF($F757="","",IF(INDEX('販売記録'!$C$5:$C$1004,$F757)="","",INDEX('販売記録'!$C$5:$C$1004,$F757)))</ns0:f>
        <ns0:v/>
      </ns0:c>
      <ns0:c r="D757" s="8" t="str">
        <ns0:f>IF($F757="","",IF(INDEX('販売記録'!$D$5:$D$1004,$F757)="","",INDEX('販売記録'!$D$5:$D$1004,$F757)))</ns0:f>
        <ns0:v/>
      </ns0:c>
      <ns0:c r="E757" s="12" t="str">
        <ns0:f>IF(OR(A757="",B757=""),"",MAX(0,TODAY()-A757))</ns0:f>
        <ns0:v/>
      </ns0:c>
      <ns0:c r="F757" s="9" t="str">
        <ns0:f>IFERROR(MATCH(ROW()-4,'販売記録'!$L$5:$L$1004,0),"")</ns0:f>
        <ns0:v/>
      </ns0:c>
    </ns0:row>
    <ns0:row r="758">
      <ns0:c r="A758" s="11" t="str">
        <ns0:f>IF($F758="","",IF(INDEX('販売記録'!$K$5:$K$1004,$F758)="","",INDEX('販売記録'!$K$5:$K$1004,$F758)))</ns0:f>
        <ns0:v/>
      </ns0:c>
      <ns0:c r="B758" s="9" t="str">
        <ns0:f>IF($F758="","",IF(INDEX('販売記録'!$B$5:$B$1004,$F758)="","",INDEX('販売記録'!$B$5:$B$1004,$F758)))</ns0:f>
        <ns0:v/>
      </ns0:c>
      <ns0:c r="C758" s="9" t="str">
        <ns0:f>IF($F758="","",IF(INDEX('販売記録'!$C$5:$C$1004,$F758)="","",INDEX('販売記録'!$C$5:$C$1004,$F758)))</ns0:f>
        <ns0:v/>
      </ns0:c>
      <ns0:c r="D758" s="8" t="str">
        <ns0:f>IF($F758="","",IF(INDEX('販売記録'!$D$5:$D$1004,$F758)="","",INDEX('販売記録'!$D$5:$D$1004,$F758)))</ns0:f>
        <ns0:v/>
      </ns0:c>
      <ns0:c r="E758" s="12" t="str">
        <ns0:f>IF(OR(A758="",B758=""),"",MAX(0,TODAY()-A758))</ns0:f>
        <ns0:v/>
      </ns0:c>
      <ns0:c r="F758" s="9" t="str">
        <ns0:f>IFERROR(MATCH(ROW()-4,'販売記録'!$L$5:$L$1004,0),"")</ns0:f>
        <ns0:v/>
      </ns0:c>
    </ns0:row>
    <ns0:row r="759">
      <ns0:c r="A759" s="11" t="str">
        <ns0:f>IF($F759="","",IF(INDEX('販売記録'!$K$5:$K$1004,$F759)="","",INDEX('販売記録'!$K$5:$K$1004,$F759)))</ns0:f>
        <ns0:v/>
      </ns0:c>
      <ns0:c r="B759" s="9" t="str">
        <ns0:f>IF($F759="","",IF(INDEX('販売記録'!$B$5:$B$1004,$F759)="","",INDEX('販売記録'!$B$5:$B$1004,$F759)))</ns0:f>
        <ns0:v/>
      </ns0:c>
      <ns0:c r="C759" s="9" t="str">
        <ns0:f>IF($F759="","",IF(INDEX('販売記録'!$C$5:$C$1004,$F759)="","",INDEX('販売記録'!$C$5:$C$1004,$F759)))</ns0:f>
        <ns0:v/>
      </ns0:c>
      <ns0:c r="D759" s="8" t="str">
        <ns0:f>IF($F759="","",IF(INDEX('販売記録'!$D$5:$D$1004,$F759)="","",INDEX('販売記録'!$D$5:$D$1004,$F759)))</ns0:f>
        <ns0:v/>
      </ns0:c>
      <ns0:c r="E759" s="12" t="str">
        <ns0:f>IF(OR(A759="",B759=""),"",MAX(0,TODAY()-A759))</ns0:f>
        <ns0:v/>
      </ns0:c>
      <ns0:c r="F759" s="9" t="str">
        <ns0:f>IFERROR(MATCH(ROW()-4,'販売記録'!$L$5:$L$1004,0),"")</ns0:f>
        <ns0:v/>
      </ns0:c>
    </ns0:row>
    <ns0:row r="760">
      <ns0:c r="A760" s="11" t="str">
        <ns0:f>IF($F760="","",IF(INDEX('販売記録'!$K$5:$K$1004,$F760)="","",INDEX('販売記録'!$K$5:$K$1004,$F760)))</ns0:f>
        <ns0:v/>
      </ns0:c>
      <ns0:c r="B760" s="9" t="str">
        <ns0:f>IF($F760="","",IF(INDEX('販売記録'!$B$5:$B$1004,$F760)="","",INDEX('販売記録'!$B$5:$B$1004,$F760)))</ns0:f>
        <ns0:v/>
      </ns0:c>
      <ns0:c r="C760" s="9" t="str">
        <ns0:f>IF($F760="","",IF(INDEX('販売記録'!$C$5:$C$1004,$F760)="","",INDEX('販売記録'!$C$5:$C$1004,$F760)))</ns0:f>
        <ns0:v/>
      </ns0:c>
      <ns0:c r="D760" s="8" t="str">
        <ns0:f>IF($F760="","",IF(INDEX('販売記録'!$D$5:$D$1004,$F760)="","",INDEX('販売記録'!$D$5:$D$1004,$F760)))</ns0:f>
        <ns0:v/>
      </ns0:c>
      <ns0:c r="E760" s="12" t="str">
        <ns0:f>IF(OR(A760="",B760=""),"",MAX(0,TODAY()-A760))</ns0:f>
        <ns0:v/>
      </ns0:c>
      <ns0:c r="F760" s="9" t="str">
        <ns0:f>IFERROR(MATCH(ROW()-4,'販売記録'!$L$5:$L$1004,0),"")</ns0:f>
        <ns0:v/>
      </ns0:c>
    </ns0:row>
    <ns0:row r="761">
      <ns0:c r="A761" s="11" t="str">
        <ns0:f>IF($F761="","",IF(INDEX('販売記録'!$K$5:$K$1004,$F761)="","",INDEX('販売記録'!$K$5:$K$1004,$F761)))</ns0:f>
        <ns0:v/>
      </ns0:c>
      <ns0:c r="B761" s="9" t="str">
        <ns0:f>IF($F761="","",IF(INDEX('販売記録'!$B$5:$B$1004,$F761)="","",INDEX('販売記録'!$B$5:$B$1004,$F761)))</ns0:f>
        <ns0:v/>
      </ns0:c>
      <ns0:c r="C761" s="9" t="str">
        <ns0:f>IF($F761="","",IF(INDEX('販売記録'!$C$5:$C$1004,$F761)="","",INDEX('販売記録'!$C$5:$C$1004,$F761)))</ns0:f>
        <ns0:v/>
      </ns0:c>
      <ns0:c r="D761" s="8" t="str">
        <ns0:f>IF($F761="","",IF(INDEX('販売記録'!$D$5:$D$1004,$F761)="","",INDEX('販売記録'!$D$5:$D$1004,$F761)))</ns0:f>
        <ns0:v/>
      </ns0:c>
      <ns0:c r="E761" s="12" t="str">
        <ns0:f>IF(OR(A761="",B761=""),"",MAX(0,TODAY()-A761))</ns0:f>
        <ns0:v/>
      </ns0:c>
      <ns0:c r="F761" s="9" t="str">
        <ns0:f>IFERROR(MATCH(ROW()-4,'販売記録'!$L$5:$L$1004,0),"")</ns0:f>
        <ns0:v/>
      </ns0:c>
    </ns0:row>
    <ns0:row r="762">
      <ns0:c r="A762" s="11" t="str">
        <ns0:f>IF($F762="","",IF(INDEX('販売記録'!$K$5:$K$1004,$F762)="","",INDEX('販売記録'!$K$5:$K$1004,$F762)))</ns0:f>
        <ns0:v/>
      </ns0:c>
      <ns0:c r="B762" s="9" t="str">
        <ns0:f>IF($F762="","",IF(INDEX('販売記録'!$B$5:$B$1004,$F762)="","",INDEX('販売記録'!$B$5:$B$1004,$F762)))</ns0:f>
        <ns0:v/>
      </ns0:c>
      <ns0:c r="C762" s="9" t="str">
        <ns0:f>IF($F762="","",IF(INDEX('販売記録'!$C$5:$C$1004,$F762)="","",INDEX('販売記録'!$C$5:$C$1004,$F762)))</ns0:f>
        <ns0:v/>
      </ns0:c>
      <ns0:c r="D762" s="8" t="str">
        <ns0:f>IF($F762="","",IF(INDEX('販売記録'!$D$5:$D$1004,$F762)="","",INDEX('販売記録'!$D$5:$D$1004,$F762)))</ns0:f>
        <ns0:v/>
      </ns0:c>
      <ns0:c r="E762" s="12" t="str">
        <ns0:f>IF(OR(A762="",B762=""),"",MAX(0,TODAY()-A762))</ns0:f>
        <ns0:v/>
      </ns0:c>
      <ns0:c r="F762" s="9" t="str">
        <ns0:f>IFERROR(MATCH(ROW()-4,'販売記録'!$L$5:$L$1004,0),"")</ns0:f>
        <ns0:v/>
      </ns0:c>
    </ns0:row>
    <ns0:row r="763">
      <ns0:c r="A763" s="11" t="str">
        <ns0:f>IF($F763="","",IF(INDEX('販売記録'!$K$5:$K$1004,$F763)="","",INDEX('販売記録'!$K$5:$K$1004,$F763)))</ns0:f>
        <ns0:v/>
      </ns0:c>
      <ns0:c r="B763" s="9" t="str">
        <ns0:f>IF($F763="","",IF(INDEX('販売記録'!$B$5:$B$1004,$F763)="","",INDEX('販売記録'!$B$5:$B$1004,$F763)))</ns0:f>
        <ns0:v/>
      </ns0:c>
      <ns0:c r="C763" s="9" t="str">
        <ns0:f>IF($F763="","",IF(INDEX('販売記録'!$C$5:$C$1004,$F763)="","",INDEX('販売記録'!$C$5:$C$1004,$F763)))</ns0:f>
        <ns0:v/>
      </ns0:c>
      <ns0:c r="D763" s="8" t="str">
        <ns0:f>IF($F763="","",IF(INDEX('販売記録'!$D$5:$D$1004,$F763)="","",INDEX('販売記録'!$D$5:$D$1004,$F763)))</ns0:f>
        <ns0:v/>
      </ns0:c>
      <ns0:c r="E763" s="12" t="str">
        <ns0:f>IF(OR(A763="",B763=""),"",MAX(0,TODAY()-A763))</ns0:f>
        <ns0:v/>
      </ns0:c>
      <ns0:c r="F763" s="9" t="str">
        <ns0:f>IFERROR(MATCH(ROW()-4,'販売記録'!$L$5:$L$1004,0),"")</ns0:f>
        <ns0:v/>
      </ns0:c>
    </ns0:row>
    <ns0:row r="764">
      <ns0:c r="A764" s="11" t="str">
        <ns0:f>IF($F764="","",IF(INDEX('販売記録'!$K$5:$K$1004,$F764)="","",INDEX('販売記録'!$K$5:$K$1004,$F764)))</ns0:f>
        <ns0:v/>
      </ns0:c>
      <ns0:c r="B764" s="9" t="str">
        <ns0:f>IF($F764="","",IF(INDEX('販売記録'!$B$5:$B$1004,$F764)="","",INDEX('販売記録'!$B$5:$B$1004,$F764)))</ns0:f>
        <ns0:v/>
      </ns0:c>
      <ns0:c r="C764" s="9" t="str">
        <ns0:f>IF($F764="","",IF(INDEX('販売記録'!$C$5:$C$1004,$F764)="","",INDEX('販売記録'!$C$5:$C$1004,$F764)))</ns0:f>
        <ns0:v/>
      </ns0:c>
      <ns0:c r="D764" s="8" t="str">
        <ns0:f>IF($F764="","",IF(INDEX('販売記録'!$D$5:$D$1004,$F764)="","",INDEX('販売記録'!$D$5:$D$1004,$F764)))</ns0:f>
        <ns0:v/>
      </ns0:c>
      <ns0:c r="E764" s="12" t="str">
        <ns0:f>IF(OR(A764="",B764=""),"",MAX(0,TODAY()-A764))</ns0:f>
        <ns0:v/>
      </ns0:c>
      <ns0:c r="F764" s="9" t="str">
        <ns0:f>IFERROR(MATCH(ROW()-4,'販売記録'!$L$5:$L$1004,0),"")</ns0:f>
        <ns0:v/>
      </ns0:c>
    </ns0:row>
    <ns0:row r="765">
      <ns0:c r="A765" s="11" t="str">
        <ns0:f>IF($F765="","",IF(INDEX('販売記録'!$K$5:$K$1004,$F765)="","",INDEX('販売記録'!$K$5:$K$1004,$F765)))</ns0:f>
        <ns0:v/>
      </ns0:c>
      <ns0:c r="B765" s="9" t="str">
        <ns0:f>IF($F765="","",IF(INDEX('販売記録'!$B$5:$B$1004,$F765)="","",INDEX('販売記録'!$B$5:$B$1004,$F765)))</ns0:f>
        <ns0:v/>
      </ns0:c>
      <ns0:c r="C765" s="9" t="str">
        <ns0:f>IF($F765="","",IF(INDEX('販売記録'!$C$5:$C$1004,$F765)="","",INDEX('販売記録'!$C$5:$C$1004,$F765)))</ns0:f>
        <ns0:v/>
      </ns0:c>
      <ns0:c r="D765" s="8" t="str">
        <ns0:f>IF($F765="","",IF(INDEX('販売記録'!$D$5:$D$1004,$F765)="","",INDEX('販売記録'!$D$5:$D$1004,$F765)))</ns0:f>
        <ns0:v/>
      </ns0:c>
      <ns0:c r="E765" s="12" t="str">
        <ns0:f>IF(OR(A765="",B765=""),"",MAX(0,TODAY()-A765))</ns0:f>
        <ns0:v/>
      </ns0:c>
      <ns0:c r="F765" s="9" t="str">
        <ns0:f>IFERROR(MATCH(ROW()-4,'販売記録'!$L$5:$L$1004,0),"")</ns0:f>
        <ns0:v/>
      </ns0:c>
    </ns0:row>
    <ns0:row r="766">
      <ns0:c r="A766" s="11" t="str">
        <ns0:f>IF($F766="","",IF(INDEX('販売記録'!$K$5:$K$1004,$F766)="","",INDEX('販売記録'!$K$5:$K$1004,$F766)))</ns0:f>
        <ns0:v/>
      </ns0:c>
      <ns0:c r="B766" s="9" t="str">
        <ns0:f>IF($F766="","",IF(INDEX('販売記録'!$B$5:$B$1004,$F766)="","",INDEX('販売記録'!$B$5:$B$1004,$F766)))</ns0:f>
        <ns0:v/>
      </ns0:c>
      <ns0:c r="C766" s="9" t="str">
        <ns0:f>IF($F766="","",IF(INDEX('販売記録'!$C$5:$C$1004,$F766)="","",INDEX('販売記録'!$C$5:$C$1004,$F766)))</ns0:f>
        <ns0:v/>
      </ns0:c>
      <ns0:c r="D766" s="8" t="str">
        <ns0:f>IF($F766="","",IF(INDEX('販売記録'!$D$5:$D$1004,$F766)="","",INDEX('販売記録'!$D$5:$D$1004,$F766)))</ns0:f>
        <ns0:v/>
      </ns0:c>
      <ns0:c r="E766" s="12" t="str">
        <ns0:f>IF(OR(A766="",B766=""),"",MAX(0,TODAY()-A766))</ns0:f>
        <ns0:v/>
      </ns0:c>
      <ns0:c r="F766" s="9" t="str">
        <ns0:f>IFERROR(MATCH(ROW()-4,'販売記録'!$L$5:$L$1004,0),"")</ns0:f>
        <ns0:v/>
      </ns0:c>
    </ns0:row>
    <ns0:row r="767">
      <ns0:c r="A767" s="11" t="str">
        <ns0:f>IF($F767="","",IF(INDEX('販売記録'!$K$5:$K$1004,$F767)="","",INDEX('販売記録'!$K$5:$K$1004,$F767)))</ns0:f>
        <ns0:v/>
      </ns0:c>
      <ns0:c r="B767" s="9" t="str">
        <ns0:f>IF($F767="","",IF(INDEX('販売記録'!$B$5:$B$1004,$F767)="","",INDEX('販売記録'!$B$5:$B$1004,$F767)))</ns0:f>
        <ns0:v/>
      </ns0:c>
      <ns0:c r="C767" s="9" t="str">
        <ns0:f>IF($F767="","",IF(INDEX('販売記録'!$C$5:$C$1004,$F767)="","",INDEX('販売記録'!$C$5:$C$1004,$F767)))</ns0:f>
        <ns0:v/>
      </ns0:c>
      <ns0:c r="D767" s="8" t="str">
        <ns0:f>IF($F767="","",IF(INDEX('販売記録'!$D$5:$D$1004,$F767)="","",INDEX('販売記録'!$D$5:$D$1004,$F767)))</ns0:f>
        <ns0:v/>
      </ns0:c>
      <ns0:c r="E767" s="12" t="str">
        <ns0:f>IF(OR(A767="",B767=""),"",MAX(0,TODAY()-A767))</ns0:f>
        <ns0:v/>
      </ns0:c>
      <ns0:c r="F767" s="9" t="str">
        <ns0:f>IFERROR(MATCH(ROW()-4,'販売記録'!$L$5:$L$1004,0),"")</ns0:f>
        <ns0:v/>
      </ns0:c>
    </ns0:row>
    <ns0:row r="768">
      <ns0:c r="A768" s="11" t="str">
        <ns0:f>IF($F768="","",IF(INDEX('販売記録'!$K$5:$K$1004,$F768)="","",INDEX('販売記録'!$K$5:$K$1004,$F768)))</ns0:f>
        <ns0:v/>
      </ns0:c>
      <ns0:c r="B768" s="9" t="str">
        <ns0:f>IF($F768="","",IF(INDEX('販売記録'!$B$5:$B$1004,$F768)="","",INDEX('販売記録'!$B$5:$B$1004,$F768)))</ns0:f>
        <ns0:v/>
      </ns0:c>
      <ns0:c r="C768" s="9" t="str">
        <ns0:f>IF($F768="","",IF(INDEX('販売記録'!$C$5:$C$1004,$F768)="","",INDEX('販売記録'!$C$5:$C$1004,$F768)))</ns0:f>
        <ns0:v/>
      </ns0:c>
      <ns0:c r="D768" s="8" t="str">
        <ns0:f>IF($F768="","",IF(INDEX('販売記録'!$D$5:$D$1004,$F768)="","",INDEX('販売記録'!$D$5:$D$1004,$F768)))</ns0:f>
        <ns0:v/>
      </ns0:c>
      <ns0:c r="E768" s="12" t="str">
        <ns0:f>IF(OR(A768="",B768=""),"",MAX(0,TODAY()-A768))</ns0:f>
        <ns0:v/>
      </ns0:c>
      <ns0:c r="F768" s="9" t="str">
        <ns0:f>IFERROR(MATCH(ROW()-4,'販売記録'!$L$5:$L$1004,0),"")</ns0:f>
        <ns0:v/>
      </ns0:c>
    </ns0:row>
    <ns0:row r="769">
      <ns0:c r="A769" s="11" t="str">
        <ns0:f>IF($F769="","",IF(INDEX('販売記録'!$K$5:$K$1004,$F769)="","",INDEX('販売記録'!$K$5:$K$1004,$F769)))</ns0:f>
        <ns0:v/>
      </ns0:c>
      <ns0:c r="B769" s="9" t="str">
        <ns0:f>IF($F769="","",IF(INDEX('販売記録'!$B$5:$B$1004,$F769)="","",INDEX('販売記録'!$B$5:$B$1004,$F769)))</ns0:f>
        <ns0:v/>
      </ns0:c>
      <ns0:c r="C769" s="9" t="str">
        <ns0:f>IF($F769="","",IF(INDEX('販売記録'!$C$5:$C$1004,$F769)="","",INDEX('販売記録'!$C$5:$C$1004,$F769)))</ns0:f>
        <ns0:v/>
      </ns0:c>
      <ns0:c r="D769" s="8" t="str">
        <ns0:f>IF($F769="","",IF(INDEX('販売記録'!$D$5:$D$1004,$F769)="","",INDEX('販売記録'!$D$5:$D$1004,$F769)))</ns0:f>
        <ns0:v/>
      </ns0:c>
      <ns0:c r="E769" s="12" t="str">
        <ns0:f>IF(OR(A769="",B769=""),"",MAX(0,TODAY()-A769))</ns0:f>
        <ns0:v/>
      </ns0:c>
      <ns0:c r="F769" s="9" t="str">
        <ns0:f>IFERROR(MATCH(ROW()-4,'販売記録'!$L$5:$L$1004,0),"")</ns0:f>
        <ns0:v/>
      </ns0:c>
    </ns0:row>
    <ns0:row r="770">
      <ns0:c r="A770" s="11" t="str">
        <ns0:f>IF($F770="","",IF(INDEX('販売記録'!$K$5:$K$1004,$F770)="","",INDEX('販売記録'!$K$5:$K$1004,$F770)))</ns0:f>
        <ns0:v/>
      </ns0:c>
      <ns0:c r="B770" s="9" t="str">
        <ns0:f>IF($F770="","",IF(INDEX('販売記録'!$B$5:$B$1004,$F770)="","",INDEX('販売記録'!$B$5:$B$1004,$F770)))</ns0:f>
        <ns0:v/>
      </ns0:c>
      <ns0:c r="C770" s="9" t="str">
        <ns0:f>IF($F770="","",IF(INDEX('販売記録'!$C$5:$C$1004,$F770)="","",INDEX('販売記録'!$C$5:$C$1004,$F770)))</ns0:f>
        <ns0:v/>
      </ns0:c>
      <ns0:c r="D770" s="8" t="str">
        <ns0:f>IF($F770="","",IF(INDEX('販売記録'!$D$5:$D$1004,$F770)="","",INDEX('販売記録'!$D$5:$D$1004,$F770)))</ns0:f>
        <ns0:v/>
      </ns0:c>
      <ns0:c r="E770" s="12" t="str">
        <ns0:f>IF(OR(A770="",B770=""),"",MAX(0,TODAY()-A770))</ns0:f>
        <ns0:v/>
      </ns0:c>
      <ns0:c r="F770" s="9" t="str">
        <ns0:f>IFERROR(MATCH(ROW()-4,'販売記録'!$L$5:$L$1004,0),"")</ns0:f>
        <ns0:v/>
      </ns0:c>
    </ns0:row>
    <ns0:row r="771">
      <ns0:c r="A771" s="11" t="str">
        <ns0:f>IF($F771="","",IF(INDEX('販売記録'!$K$5:$K$1004,$F771)="","",INDEX('販売記録'!$K$5:$K$1004,$F771)))</ns0:f>
        <ns0:v/>
      </ns0:c>
      <ns0:c r="B771" s="9" t="str">
        <ns0:f>IF($F771="","",IF(INDEX('販売記録'!$B$5:$B$1004,$F771)="","",INDEX('販売記録'!$B$5:$B$1004,$F771)))</ns0:f>
        <ns0:v/>
      </ns0:c>
      <ns0:c r="C771" s="9" t="str">
        <ns0:f>IF($F771="","",IF(INDEX('販売記録'!$C$5:$C$1004,$F771)="","",INDEX('販売記録'!$C$5:$C$1004,$F771)))</ns0:f>
        <ns0:v/>
      </ns0:c>
      <ns0:c r="D771" s="8" t="str">
        <ns0:f>IF($F771="","",IF(INDEX('販売記録'!$D$5:$D$1004,$F771)="","",INDEX('販売記録'!$D$5:$D$1004,$F771)))</ns0:f>
        <ns0:v/>
      </ns0:c>
      <ns0:c r="E771" s="12" t="str">
        <ns0:f>IF(OR(A771="",B771=""),"",MAX(0,TODAY()-A771))</ns0:f>
        <ns0:v/>
      </ns0:c>
      <ns0:c r="F771" s="9" t="str">
        <ns0:f>IFERROR(MATCH(ROW()-4,'販売記録'!$L$5:$L$1004,0),"")</ns0:f>
        <ns0:v/>
      </ns0:c>
    </ns0:row>
    <ns0:row r="772">
      <ns0:c r="A772" s="11" t="str">
        <ns0:f>IF($F772="","",IF(INDEX('販売記録'!$K$5:$K$1004,$F772)="","",INDEX('販売記録'!$K$5:$K$1004,$F772)))</ns0:f>
        <ns0:v/>
      </ns0:c>
      <ns0:c r="B772" s="9" t="str">
        <ns0:f>IF($F772="","",IF(INDEX('販売記録'!$B$5:$B$1004,$F772)="","",INDEX('販売記録'!$B$5:$B$1004,$F772)))</ns0:f>
        <ns0:v/>
      </ns0:c>
      <ns0:c r="C772" s="9" t="str">
        <ns0:f>IF($F772="","",IF(INDEX('販売記録'!$C$5:$C$1004,$F772)="","",INDEX('販売記録'!$C$5:$C$1004,$F772)))</ns0:f>
        <ns0:v/>
      </ns0:c>
      <ns0:c r="D772" s="8" t="str">
        <ns0:f>IF($F772="","",IF(INDEX('販売記録'!$D$5:$D$1004,$F772)="","",INDEX('販売記録'!$D$5:$D$1004,$F772)))</ns0:f>
        <ns0:v/>
      </ns0:c>
      <ns0:c r="E772" s="12" t="str">
        <ns0:f>IF(OR(A772="",B772=""),"",MAX(0,TODAY()-A772))</ns0:f>
        <ns0:v/>
      </ns0:c>
      <ns0:c r="F772" s="9" t="str">
        <ns0:f>IFERROR(MATCH(ROW()-4,'販売記録'!$L$5:$L$1004,0),"")</ns0:f>
        <ns0:v/>
      </ns0:c>
    </ns0:row>
    <ns0:row r="773">
      <ns0:c r="A773" s="11" t="str">
        <ns0:f>IF($F773="","",IF(INDEX('販売記録'!$K$5:$K$1004,$F773)="","",INDEX('販売記録'!$K$5:$K$1004,$F773)))</ns0:f>
        <ns0:v/>
      </ns0:c>
      <ns0:c r="B773" s="9" t="str">
        <ns0:f>IF($F773="","",IF(INDEX('販売記録'!$B$5:$B$1004,$F773)="","",INDEX('販売記録'!$B$5:$B$1004,$F773)))</ns0:f>
        <ns0:v/>
      </ns0:c>
      <ns0:c r="C773" s="9" t="str">
        <ns0:f>IF($F773="","",IF(INDEX('販売記録'!$C$5:$C$1004,$F773)="","",INDEX('販売記録'!$C$5:$C$1004,$F773)))</ns0:f>
        <ns0:v/>
      </ns0:c>
      <ns0:c r="D773" s="8" t="str">
        <ns0:f>IF($F773="","",IF(INDEX('販売記録'!$D$5:$D$1004,$F773)="","",INDEX('販売記録'!$D$5:$D$1004,$F773)))</ns0:f>
        <ns0:v/>
      </ns0:c>
      <ns0:c r="E773" s="12" t="str">
        <ns0:f>IF(OR(A773="",B773=""),"",MAX(0,TODAY()-A773))</ns0:f>
        <ns0:v/>
      </ns0:c>
      <ns0:c r="F773" s="9" t="str">
        <ns0:f>IFERROR(MATCH(ROW()-4,'販売記録'!$L$5:$L$1004,0),"")</ns0:f>
        <ns0:v/>
      </ns0:c>
    </ns0:row>
    <ns0:row r="774">
      <ns0:c r="A774" s="11" t="str">
        <ns0:f>IF($F774="","",IF(INDEX('販売記録'!$K$5:$K$1004,$F774)="","",INDEX('販売記録'!$K$5:$K$1004,$F774)))</ns0:f>
        <ns0:v/>
      </ns0:c>
      <ns0:c r="B774" s="9" t="str">
        <ns0:f>IF($F774="","",IF(INDEX('販売記録'!$B$5:$B$1004,$F774)="","",INDEX('販売記録'!$B$5:$B$1004,$F774)))</ns0:f>
        <ns0:v/>
      </ns0:c>
      <ns0:c r="C774" s="9" t="str">
        <ns0:f>IF($F774="","",IF(INDEX('販売記録'!$C$5:$C$1004,$F774)="","",INDEX('販売記録'!$C$5:$C$1004,$F774)))</ns0:f>
        <ns0:v/>
      </ns0:c>
      <ns0:c r="D774" s="8" t="str">
        <ns0:f>IF($F774="","",IF(INDEX('販売記録'!$D$5:$D$1004,$F774)="","",INDEX('販売記録'!$D$5:$D$1004,$F774)))</ns0:f>
        <ns0:v/>
      </ns0:c>
      <ns0:c r="E774" s="12" t="str">
        <ns0:f>IF(OR(A774="",B774=""),"",MAX(0,TODAY()-A774))</ns0:f>
        <ns0:v/>
      </ns0:c>
      <ns0:c r="F774" s="9" t="str">
        <ns0:f>IFERROR(MATCH(ROW()-4,'販売記録'!$L$5:$L$1004,0),"")</ns0:f>
        <ns0:v/>
      </ns0:c>
    </ns0:row>
    <ns0:row r="775">
      <ns0:c r="A775" s="11" t="str">
        <ns0:f>IF($F775="","",IF(INDEX('販売記録'!$K$5:$K$1004,$F775)="","",INDEX('販売記録'!$K$5:$K$1004,$F775)))</ns0:f>
        <ns0:v/>
      </ns0:c>
      <ns0:c r="B775" s="9" t="str">
        <ns0:f>IF($F775="","",IF(INDEX('販売記録'!$B$5:$B$1004,$F775)="","",INDEX('販売記録'!$B$5:$B$1004,$F775)))</ns0:f>
        <ns0:v/>
      </ns0:c>
      <ns0:c r="C775" s="9" t="str">
        <ns0:f>IF($F775="","",IF(INDEX('販売記録'!$C$5:$C$1004,$F775)="","",INDEX('販売記録'!$C$5:$C$1004,$F775)))</ns0:f>
        <ns0:v/>
      </ns0:c>
      <ns0:c r="D775" s="8" t="str">
        <ns0:f>IF($F775="","",IF(INDEX('販売記録'!$D$5:$D$1004,$F775)="","",INDEX('販売記録'!$D$5:$D$1004,$F775)))</ns0:f>
        <ns0:v/>
      </ns0:c>
      <ns0:c r="E775" s="12" t="str">
        <ns0:f>IF(OR(A775="",B775=""),"",MAX(0,TODAY()-A775))</ns0:f>
        <ns0:v/>
      </ns0:c>
      <ns0:c r="F775" s="9" t="str">
        <ns0:f>IFERROR(MATCH(ROW()-4,'販売記録'!$L$5:$L$1004,0),"")</ns0:f>
        <ns0:v/>
      </ns0:c>
    </ns0:row>
    <ns0:row r="776">
      <ns0:c r="A776" s="11" t="str">
        <ns0:f>IF($F776="","",IF(INDEX('販売記録'!$K$5:$K$1004,$F776)="","",INDEX('販売記録'!$K$5:$K$1004,$F776)))</ns0:f>
        <ns0:v/>
      </ns0:c>
      <ns0:c r="B776" s="9" t="str">
        <ns0:f>IF($F776="","",IF(INDEX('販売記録'!$B$5:$B$1004,$F776)="","",INDEX('販売記録'!$B$5:$B$1004,$F776)))</ns0:f>
        <ns0:v/>
      </ns0:c>
      <ns0:c r="C776" s="9" t="str">
        <ns0:f>IF($F776="","",IF(INDEX('販売記録'!$C$5:$C$1004,$F776)="","",INDEX('販売記録'!$C$5:$C$1004,$F776)))</ns0:f>
        <ns0:v/>
      </ns0:c>
      <ns0:c r="D776" s="8" t="str">
        <ns0:f>IF($F776="","",IF(INDEX('販売記録'!$D$5:$D$1004,$F776)="","",INDEX('販売記録'!$D$5:$D$1004,$F776)))</ns0:f>
        <ns0:v/>
      </ns0:c>
      <ns0:c r="E776" s="12" t="str">
        <ns0:f>IF(OR(A776="",B776=""),"",MAX(0,TODAY()-A776))</ns0:f>
        <ns0:v/>
      </ns0:c>
      <ns0:c r="F776" s="9" t="str">
        <ns0:f>IFERROR(MATCH(ROW()-4,'販売記録'!$L$5:$L$1004,0),"")</ns0:f>
        <ns0:v/>
      </ns0:c>
    </ns0:row>
    <ns0:row r="777">
      <ns0:c r="A777" s="11" t="str">
        <ns0:f>IF($F777="","",IF(INDEX('販売記録'!$K$5:$K$1004,$F777)="","",INDEX('販売記録'!$K$5:$K$1004,$F777)))</ns0:f>
        <ns0:v/>
      </ns0:c>
      <ns0:c r="B777" s="9" t="str">
        <ns0:f>IF($F777="","",IF(INDEX('販売記録'!$B$5:$B$1004,$F777)="","",INDEX('販売記録'!$B$5:$B$1004,$F777)))</ns0:f>
        <ns0:v/>
      </ns0:c>
      <ns0:c r="C777" s="9" t="str">
        <ns0:f>IF($F777="","",IF(INDEX('販売記録'!$C$5:$C$1004,$F777)="","",INDEX('販売記録'!$C$5:$C$1004,$F777)))</ns0:f>
        <ns0:v/>
      </ns0:c>
      <ns0:c r="D777" s="8" t="str">
        <ns0:f>IF($F777="","",IF(INDEX('販売記録'!$D$5:$D$1004,$F777)="","",INDEX('販売記録'!$D$5:$D$1004,$F777)))</ns0:f>
        <ns0:v/>
      </ns0:c>
      <ns0:c r="E777" s="12" t="str">
        <ns0:f>IF(OR(A777="",B777=""),"",MAX(0,TODAY()-A777))</ns0:f>
        <ns0:v/>
      </ns0:c>
      <ns0:c r="F777" s="9" t="str">
        <ns0:f>IFERROR(MATCH(ROW()-4,'販売記録'!$L$5:$L$1004,0),"")</ns0:f>
        <ns0:v/>
      </ns0:c>
    </ns0:row>
    <ns0:row r="778">
      <ns0:c r="A778" s="11" t="str">
        <ns0:f>IF($F778="","",IF(INDEX('販売記録'!$K$5:$K$1004,$F778)="","",INDEX('販売記録'!$K$5:$K$1004,$F778)))</ns0:f>
        <ns0:v/>
      </ns0:c>
      <ns0:c r="B778" s="9" t="str">
        <ns0:f>IF($F778="","",IF(INDEX('販売記録'!$B$5:$B$1004,$F778)="","",INDEX('販売記録'!$B$5:$B$1004,$F778)))</ns0:f>
        <ns0:v/>
      </ns0:c>
      <ns0:c r="C778" s="9" t="str">
        <ns0:f>IF($F778="","",IF(INDEX('販売記録'!$C$5:$C$1004,$F778)="","",INDEX('販売記録'!$C$5:$C$1004,$F778)))</ns0:f>
        <ns0:v/>
      </ns0:c>
      <ns0:c r="D778" s="8" t="str">
        <ns0:f>IF($F778="","",IF(INDEX('販売記録'!$D$5:$D$1004,$F778)="","",INDEX('販売記録'!$D$5:$D$1004,$F778)))</ns0:f>
        <ns0:v/>
      </ns0:c>
      <ns0:c r="E778" s="12" t="str">
        <ns0:f>IF(OR(A778="",B778=""),"",MAX(0,TODAY()-A778))</ns0:f>
        <ns0:v/>
      </ns0:c>
      <ns0:c r="F778" s="9" t="str">
        <ns0:f>IFERROR(MATCH(ROW()-4,'販売記録'!$L$5:$L$1004,0),"")</ns0:f>
        <ns0:v/>
      </ns0:c>
    </ns0:row>
    <ns0:row r="779">
      <ns0:c r="A779" s="11" t="str">
        <ns0:f>IF($F779="","",IF(INDEX('販売記録'!$K$5:$K$1004,$F779)="","",INDEX('販売記録'!$K$5:$K$1004,$F779)))</ns0:f>
        <ns0:v/>
      </ns0:c>
      <ns0:c r="B779" s="9" t="str">
        <ns0:f>IF($F779="","",IF(INDEX('販売記録'!$B$5:$B$1004,$F779)="","",INDEX('販売記録'!$B$5:$B$1004,$F779)))</ns0:f>
        <ns0:v/>
      </ns0:c>
      <ns0:c r="C779" s="9" t="str">
        <ns0:f>IF($F779="","",IF(INDEX('販売記録'!$C$5:$C$1004,$F779)="","",INDEX('販売記録'!$C$5:$C$1004,$F779)))</ns0:f>
        <ns0:v/>
      </ns0:c>
      <ns0:c r="D779" s="8" t="str">
        <ns0:f>IF($F779="","",IF(INDEX('販売記録'!$D$5:$D$1004,$F779)="","",INDEX('販売記録'!$D$5:$D$1004,$F779)))</ns0:f>
        <ns0:v/>
      </ns0:c>
      <ns0:c r="E779" s="12" t="str">
        <ns0:f>IF(OR(A779="",B779=""),"",MAX(0,TODAY()-A779))</ns0:f>
        <ns0:v/>
      </ns0:c>
      <ns0:c r="F779" s="9" t="str">
        <ns0:f>IFERROR(MATCH(ROW()-4,'販売記録'!$L$5:$L$1004,0),"")</ns0:f>
        <ns0:v/>
      </ns0:c>
    </ns0:row>
    <ns0:row r="780">
      <ns0:c r="A780" s="11" t="str">
        <ns0:f>IF($F780="","",IF(INDEX('販売記録'!$K$5:$K$1004,$F780)="","",INDEX('販売記録'!$K$5:$K$1004,$F780)))</ns0:f>
        <ns0:v/>
      </ns0:c>
      <ns0:c r="B780" s="9" t="str">
        <ns0:f>IF($F780="","",IF(INDEX('販売記録'!$B$5:$B$1004,$F780)="","",INDEX('販売記録'!$B$5:$B$1004,$F780)))</ns0:f>
        <ns0:v/>
      </ns0:c>
      <ns0:c r="C780" s="9" t="str">
        <ns0:f>IF($F780="","",IF(INDEX('販売記録'!$C$5:$C$1004,$F780)="","",INDEX('販売記録'!$C$5:$C$1004,$F780)))</ns0:f>
        <ns0:v/>
      </ns0:c>
      <ns0:c r="D780" s="8" t="str">
        <ns0:f>IF($F780="","",IF(INDEX('販売記録'!$D$5:$D$1004,$F780)="","",INDEX('販売記録'!$D$5:$D$1004,$F780)))</ns0:f>
        <ns0:v/>
      </ns0:c>
      <ns0:c r="E780" s="12" t="str">
        <ns0:f>IF(OR(A780="",B780=""),"",MAX(0,TODAY()-A780))</ns0:f>
        <ns0:v/>
      </ns0:c>
      <ns0:c r="F780" s="9" t="str">
        <ns0:f>IFERROR(MATCH(ROW()-4,'販売記録'!$L$5:$L$1004,0),"")</ns0:f>
        <ns0:v/>
      </ns0:c>
    </ns0:row>
    <ns0:row r="781">
      <ns0:c r="A781" s="11" t="str">
        <ns0:f>IF($F781="","",IF(INDEX('販売記録'!$K$5:$K$1004,$F781)="","",INDEX('販売記録'!$K$5:$K$1004,$F781)))</ns0:f>
        <ns0:v/>
      </ns0:c>
      <ns0:c r="B781" s="9" t="str">
        <ns0:f>IF($F781="","",IF(INDEX('販売記録'!$B$5:$B$1004,$F781)="","",INDEX('販売記録'!$B$5:$B$1004,$F781)))</ns0:f>
        <ns0:v/>
      </ns0:c>
      <ns0:c r="C781" s="9" t="str">
        <ns0:f>IF($F781="","",IF(INDEX('販売記録'!$C$5:$C$1004,$F781)="","",INDEX('販売記録'!$C$5:$C$1004,$F781)))</ns0:f>
        <ns0:v/>
      </ns0:c>
      <ns0:c r="D781" s="8" t="str">
        <ns0:f>IF($F781="","",IF(INDEX('販売記録'!$D$5:$D$1004,$F781)="","",INDEX('販売記録'!$D$5:$D$1004,$F781)))</ns0:f>
        <ns0:v/>
      </ns0:c>
      <ns0:c r="E781" s="12" t="str">
        <ns0:f>IF(OR(A781="",B781=""),"",MAX(0,TODAY()-A781))</ns0:f>
        <ns0:v/>
      </ns0:c>
      <ns0:c r="F781" s="9" t="str">
        <ns0:f>IFERROR(MATCH(ROW()-4,'販売記録'!$L$5:$L$1004,0),"")</ns0:f>
        <ns0:v/>
      </ns0:c>
    </ns0:row>
    <ns0:row r="782">
      <ns0:c r="A782" s="11" t="str">
        <ns0:f>IF($F782="","",IF(INDEX('販売記録'!$K$5:$K$1004,$F782)="","",INDEX('販売記録'!$K$5:$K$1004,$F782)))</ns0:f>
        <ns0:v/>
      </ns0:c>
      <ns0:c r="B782" s="9" t="str">
        <ns0:f>IF($F782="","",IF(INDEX('販売記録'!$B$5:$B$1004,$F782)="","",INDEX('販売記録'!$B$5:$B$1004,$F782)))</ns0:f>
        <ns0:v/>
      </ns0:c>
      <ns0:c r="C782" s="9" t="str">
        <ns0:f>IF($F782="","",IF(INDEX('販売記録'!$C$5:$C$1004,$F782)="","",INDEX('販売記録'!$C$5:$C$1004,$F782)))</ns0:f>
        <ns0:v/>
      </ns0:c>
      <ns0:c r="D782" s="8" t="str">
        <ns0:f>IF($F782="","",IF(INDEX('販売記録'!$D$5:$D$1004,$F782)="","",INDEX('販売記録'!$D$5:$D$1004,$F782)))</ns0:f>
        <ns0:v/>
      </ns0:c>
      <ns0:c r="E782" s="12" t="str">
        <ns0:f>IF(OR(A782="",B782=""),"",MAX(0,TODAY()-A782))</ns0:f>
        <ns0:v/>
      </ns0:c>
      <ns0:c r="F782" s="9" t="str">
        <ns0:f>IFERROR(MATCH(ROW()-4,'販売記録'!$L$5:$L$1004,0),"")</ns0:f>
        <ns0:v/>
      </ns0:c>
    </ns0:row>
    <ns0:row r="783">
      <ns0:c r="A783" s="11" t="str">
        <ns0:f>IF($F783="","",IF(INDEX('販売記録'!$K$5:$K$1004,$F783)="","",INDEX('販売記録'!$K$5:$K$1004,$F783)))</ns0:f>
        <ns0:v/>
      </ns0:c>
      <ns0:c r="B783" s="9" t="str">
        <ns0:f>IF($F783="","",IF(INDEX('販売記録'!$B$5:$B$1004,$F783)="","",INDEX('販売記録'!$B$5:$B$1004,$F783)))</ns0:f>
        <ns0:v/>
      </ns0:c>
      <ns0:c r="C783" s="9" t="str">
        <ns0:f>IF($F783="","",IF(INDEX('販売記録'!$C$5:$C$1004,$F783)="","",INDEX('販売記録'!$C$5:$C$1004,$F783)))</ns0:f>
        <ns0:v/>
      </ns0:c>
      <ns0:c r="D783" s="8" t="str">
        <ns0:f>IF($F783="","",IF(INDEX('販売記録'!$D$5:$D$1004,$F783)="","",INDEX('販売記録'!$D$5:$D$1004,$F783)))</ns0:f>
        <ns0:v/>
      </ns0:c>
      <ns0:c r="E783" s="12" t="str">
        <ns0:f>IF(OR(A783="",B783=""),"",MAX(0,TODAY()-A783))</ns0:f>
        <ns0:v/>
      </ns0:c>
      <ns0:c r="F783" s="9" t="str">
        <ns0:f>IFERROR(MATCH(ROW()-4,'販売記録'!$L$5:$L$1004,0),"")</ns0:f>
        <ns0:v/>
      </ns0:c>
    </ns0:row>
    <ns0:row r="784">
      <ns0:c r="A784" s="11" t="str">
        <ns0:f>IF($F784="","",IF(INDEX('販売記録'!$K$5:$K$1004,$F784)="","",INDEX('販売記録'!$K$5:$K$1004,$F784)))</ns0:f>
        <ns0:v/>
      </ns0:c>
      <ns0:c r="B784" s="9" t="str">
        <ns0:f>IF($F784="","",IF(INDEX('販売記録'!$B$5:$B$1004,$F784)="","",INDEX('販売記録'!$B$5:$B$1004,$F784)))</ns0:f>
        <ns0:v/>
      </ns0:c>
      <ns0:c r="C784" s="9" t="str">
        <ns0:f>IF($F784="","",IF(INDEX('販売記録'!$C$5:$C$1004,$F784)="","",INDEX('販売記録'!$C$5:$C$1004,$F784)))</ns0:f>
        <ns0:v/>
      </ns0:c>
      <ns0:c r="D784" s="8" t="str">
        <ns0:f>IF($F784="","",IF(INDEX('販売記録'!$D$5:$D$1004,$F784)="","",INDEX('販売記録'!$D$5:$D$1004,$F784)))</ns0:f>
        <ns0:v/>
      </ns0:c>
      <ns0:c r="E784" s="12" t="str">
        <ns0:f>IF(OR(A784="",B784=""),"",MAX(0,TODAY()-A784))</ns0:f>
        <ns0:v/>
      </ns0:c>
      <ns0:c r="F784" s="9" t="str">
        <ns0:f>IFERROR(MATCH(ROW()-4,'販売記録'!$L$5:$L$1004,0),"")</ns0:f>
        <ns0:v/>
      </ns0:c>
    </ns0:row>
    <ns0:row r="785">
      <ns0:c r="A785" s="11" t="str">
        <ns0:f>IF($F785="","",IF(INDEX('販売記録'!$K$5:$K$1004,$F785)="","",INDEX('販売記録'!$K$5:$K$1004,$F785)))</ns0:f>
        <ns0:v/>
      </ns0:c>
      <ns0:c r="B785" s="9" t="str">
        <ns0:f>IF($F785="","",IF(INDEX('販売記録'!$B$5:$B$1004,$F785)="","",INDEX('販売記録'!$B$5:$B$1004,$F785)))</ns0:f>
        <ns0:v/>
      </ns0:c>
      <ns0:c r="C785" s="9" t="str">
        <ns0:f>IF($F785="","",IF(INDEX('販売記録'!$C$5:$C$1004,$F785)="","",INDEX('販売記録'!$C$5:$C$1004,$F785)))</ns0:f>
        <ns0:v/>
      </ns0:c>
      <ns0:c r="D785" s="8" t="str">
        <ns0:f>IF($F785="","",IF(INDEX('販売記録'!$D$5:$D$1004,$F785)="","",INDEX('販売記録'!$D$5:$D$1004,$F785)))</ns0:f>
        <ns0:v/>
      </ns0:c>
      <ns0:c r="E785" s="12" t="str">
        <ns0:f>IF(OR(A785="",B785=""),"",MAX(0,TODAY()-A785))</ns0:f>
        <ns0:v/>
      </ns0:c>
      <ns0:c r="F785" s="9" t="str">
        <ns0:f>IFERROR(MATCH(ROW()-4,'販売記録'!$L$5:$L$1004,0),"")</ns0:f>
        <ns0:v/>
      </ns0:c>
    </ns0:row>
    <ns0:row r="786">
      <ns0:c r="A786" s="11" t="str">
        <ns0:f>IF($F786="","",IF(INDEX('販売記録'!$K$5:$K$1004,$F786)="","",INDEX('販売記録'!$K$5:$K$1004,$F786)))</ns0:f>
        <ns0:v/>
      </ns0:c>
      <ns0:c r="B786" s="9" t="str">
        <ns0:f>IF($F786="","",IF(INDEX('販売記録'!$B$5:$B$1004,$F786)="","",INDEX('販売記録'!$B$5:$B$1004,$F786)))</ns0:f>
        <ns0:v/>
      </ns0:c>
      <ns0:c r="C786" s="9" t="str">
        <ns0:f>IF($F786="","",IF(INDEX('販売記録'!$C$5:$C$1004,$F786)="","",INDEX('販売記録'!$C$5:$C$1004,$F786)))</ns0:f>
        <ns0:v/>
      </ns0:c>
      <ns0:c r="D786" s="8" t="str">
        <ns0:f>IF($F786="","",IF(INDEX('販売記録'!$D$5:$D$1004,$F786)="","",INDEX('販売記録'!$D$5:$D$1004,$F786)))</ns0:f>
        <ns0:v/>
      </ns0:c>
      <ns0:c r="E786" s="12" t="str">
        <ns0:f>IF(OR(A786="",B786=""),"",MAX(0,TODAY()-A786))</ns0:f>
        <ns0:v/>
      </ns0:c>
      <ns0:c r="F786" s="9" t="str">
        <ns0:f>IFERROR(MATCH(ROW()-4,'販売記録'!$L$5:$L$1004,0),"")</ns0:f>
        <ns0:v/>
      </ns0:c>
    </ns0:row>
    <ns0:row r="787">
      <ns0:c r="A787" s="11" t="str">
        <ns0:f>IF($F787="","",IF(INDEX('販売記録'!$K$5:$K$1004,$F787)="","",INDEX('販売記録'!$K$5:$K$1004,$F787)))</ns0:f>
        <ns0:v/>
      </ns0:c>
      <ns0:c r="B787" s="9" t="str">
        <ns0:f>IF($F787="","",IF(INDEX('販売記録'!$B$5:$B$1004,$F787)="","",INDEX('販売記録'!$B$5:$B$1004,$F787)))</ns0:f>
        <ns0:v/>
      </ns0:c>
      <ns0:c r="C787" s="9" t="str">
        <ns0:f>IF($F787="","",IF(INDEX('販売記録'!$C$5:$C$1004,$F787)="","",INDEX('販売記録'!$C$5:$C$1004,$F787)))</ns0:f>
        <ns0:v/>
      </ns0:c>
      <ns0:c r="D787" s="8" t="str">
        <ns0:f>IF($F787="","",IF(INDEX('販売記録'!$D$5:$D$1004,$F787)="","",INDEX('販売記録'!$D$5:$D$1004,$F787)))</ns0:f>
        <ns0:v/>
      </ns0:c>
      <ns0:c r="E787" s="12" t="str">
        <ns0:f>IF(OR(A787="",B787=""),"",MAX(0,TODAY()-A787))</ns0:f>
        <ns0:v/>
      </ns0:c>
      <ns0:c r="F787" s="9" t="str">
        <ns0:f>IFERROR(MATCH(ROW()-4,'販売記録'!$L$5:$L$1004,0),"")</ns0:f>
        <ns0:v/>
      </ns0:c>
    </ns0:row>
    <ns0:row r="788">
      <ns0:c r="A788" s="11" t="str">
        <ns0:f>IF($F788="","",IF(INDEX('販売記録'!$K$5:$K$1004,$F788)="","",INDEX('販売記録'!$K$5:$K$1004,$F788)))</ns0:f>
        <ns0:v/>
      </ns0:c>
      <ns0:c r="B788" s="9" t="str">
        <ns0:f>IF($F788="","",IF(INDEX('販売記録'!$B$5:$B$1004,$F788)="","",INDEX('販売記録'!$B$5:$B$1004,$F788)))</ns0:f>
        <ns0:v/>
      </ns0:c>
      <ns0:c r="C788" s="9" t="str">
        <ns0:f>IF($F788="","",IF(INDEX('販売記録'!$C$5:$C$1004,$F788)="","",INDEX('販売記録'!$C$5:$C$1004,$F788)))</ns0:f>
        <ns0:v/>
      </ns0:c>
      <ns0:c r="D788" s="8" t="str">
        <ns0:f>IF($F788="","",IF(INDEX('販売記録'!$D$5:$D$1004,$F788)="","",INDEX('販売記録'!$D$5:$D$1004,$F788)))</ns0:f>
        <ns0:v/>
      </ns0:c>
      <ns0:c r="E788" s="12" t="str">
        <ns0:f>IF(OR(A788="",B788=""),"",MAX(0,TODAY()-A788))</ns0:f>
        <ns0:v/>
      </ns0:c>
      <ns0:c r="F788" s="9" t="str">
        <ns0:f>IFERROR(MATCH(ROW()-4,'販売記録'!$L$5:$L$1004,0),"")</ns0:f>
        <ns0:v/>
      </ns0:c>
    </ns0:row>
    <ns0:row r="789">
      <ns0:c r="A789" s="11" t="str">
        <ns0:f>IF($F789="","",IF(INDEX('販売記録'!$K$5:$K$1004,$F789)="","",INDEX('販売記録'!$K$5:$K$1004,$F789)))</ns0:f>
        <ns0:v/>
      </ns0:c>
      <ns0:c r="B789" s="9" t="str">
        <ns0:f>IF($F789="","",IF(INDEX('販売記録'!$B$5:$B$1004,$F789)="","",INDEX('販売記録'!$B$5:$B$1004,$F789)))</ns0:f>
        <ns0:v/>
      </ns0:c>
      <ns0:c r="C789" s="9" t="str">
        <ns0:f>IF($F789="","",IF(INDEX('販売記録'!$C$5:$C$1004,$F789)="","",INDEX('販売記録'!$C$5:$C$1004,$F789)))</ns0:f>
        <ns0:v/>
      </ns0:c>
      <ns0:c r="D789" s="8" t="str">
        <ns0:f>IF($F789="","",IF(INDEX('販売記録'!$D$5:$D$1004,$F789)="","",INDEX('販売記録'!$D$5:$D$1004,$F789)))</ns0:f>
        <ns0:v/>
      </ns0:c>
      <ns0:c r="E789" s="12" t="str">
        <ns0:f>IF(OR(A789="",B789=""),"",MAX(0,TODAY()-A789))</ns0:f>
        <ns0:v/>
      </ns0:c>
      <ns0:c r="F789" s="9" t="str">
        <ns0:f>IFERROR(MATCH(ROW()-4,'販売記録'!$L$5:$L$1004,0),"")</ns0:f>
        <ns0:v/>
      </ns0:c>
    </ns0:row>
    <ns0:row r="790">
      <ns0:c r="A790" s="11" t="str">
        <ns0:f>IF($F790="","",IF(INDEX('販売記録'!$K$5:$K$1004,$F790)="","",INDEX('販売記録'!$K$5:$K$1004,$F790)))</ns0:f>
        <ns0:v/>
      </ns0:c>
      <ns0:c r="B790" s="9" t="str">
        <ns0:f>IF($F790="","",IF(INDEX('販売記録'!$B$5:$B$1004,$F790)="","",INDEX('販売記録'!$B$5:$B$1004,$F790)))</ns0:f>
        <ns0:v/>
      </ns0:c>
      <ns0:c r="C790" s="9" t="str">
        <ns0:f>IF($F790="","",IF(INDEX('販売記録'!$C$5:$C$1004,$F790)="","",INDEX('販売記録'!$C$5:$C$1004,$F790)))</ns0:f>
        <ns0:v/>
      </ns0:c>
      <ns0:c r="D790" s="8" t="str">
        <ns0:f>IF($F790="","",IF(INDEX('販売記録'!$D$5:$D$1004,$F790)="","",INDEX('販売記録'!$D$5:$D$1004,$F790)))</ns0:f>
        <ns0:v/>
      </ns0:c>
      <ns0:c r="E790" s="12" t="str">
        <ns0:f>IF(OR(A790="",B790=""),"",MAX(0,TODAY()-A790))</ns0:f>
        <ns0:v/>
      </ns0:c>
      <ns0:c r="F790" s="9" t="str">
        <ns0:f>IFERROR(MATCH(ROW()-4,'販売記録'!$L$5:$L$1004,0),"")</ns0:f>
        <ns0:v/>
      </ns0:c>
    </ns0:row>
    <ns0:row r="791">
      <ns0:c r="A791" s="11" t="str">
        <ns0:f>IF($F791="","",IF(INDEX('販売記録'!$K$5:$K$1004,$F791)="","",INDEX('販売記録'!$K$5:$K$1004,$F791)))</ns0:f>
        <ns0:v/>
      </ns0:c>
      <ns0:c r="B791" s="9" t="str">
        <ns0:f>IF($F791="","",IF(INDEX('販売記録'!$B$5:$B$1004,$F791)="","",INDEX('販売記録'!$B$5:$B$1004,$F791)))</ns0:f>
        <ns0:v/>
      </ns0:c>
      <ns0:c r="C791" s="9" t="str">
        <ns0:f>IF($F791="","",IF(INDEX('販売記録'!$C$5:$C$1004,$F791)="","",INDEX('販売記録'!$C$5:$C$1004,$F791)))</ns0:f>
        <ns0:v/>
      </ns0:c>
      <ns0:c r="D791" s="8" t="str">
        <ns0:f>IF($F791="","",IF(INDEX('販売記録'!$D$5:$D$1004,$F791)="","",INDEX('販売記録'!$D$5:$D$1004,$F791)))</ns0:f>
        <ns0:v/>
      </ns0:c>
      <ns0:c r="E791" s="12" t="str">
        <ns0:f>IF(OR(A791="",B791=""),"",MAX(0,TODAY()-A791))</ns0:f>
        <ns0:v/>
      </ns0:c>
      <ns0:c r="F791" s="9" t="str">
        <ns0:f>IFERROR(MATCH(ROW()-4,'販売記録'!$L$5:$L$1004,0),"")</ns0:f>
        <ns0:v/>
      </ns0:c>
    </ns0:row>
    <ns0:row r="792">
      <ns0:c r="A792" s="11" t="str">
        <ns0:f>IF($F792="","",IF(INDEX('販売記録'!$K$5:$K$1004,$F792)="","",INDEX('販売記録'!$K$5:$K$1004,$F792)))</ns0:f>
        <ns0:v/>
      </ns0:c>
      <ns0:c r="B792" s="9" t="str">
        <ns0:f>IF($F792="","",IF(INDEX('販売記録'!$B$5:$B$1004,$F792)="","",INDEX('販売記録'!$B$5:$B$1004,$F792)))</ns0:f>
        <ns0:v/>
      </ns0:c>
      <ns0:c r="C792" s="9" t="str">
        <ns0:f>IF($F792="","",IF(INDEX('販売記録'!$C$5:$C$1004,$F792)="","",INDEX('販売記録'!$C$5:$C$1004,$F792)))</ns0:f>
        <ns0:v/>
      </ns0:c>
      <ns0:c r="D792" s="8" t="str">
        <ns0:f>IF($F792="","",IF(INDEX('販売記録'!$D$5:$D$1004,$F792)="","",INDEX('販売記録'!$D$5:$D$1004,$F792)))</ns0:f>
        <ns0:v/>
      </ns0:c>
      <ns0:c r="E792" s="12" t="str">
        <ns0:f>IF(OR(A792="",B792=""),"",MAX(0,TODAY()-A792))</ns0:f>
        <ns0:v/>
      </ns0:c>
      <ns0:c r="F792" s="9" t="str">
        <ns0:f>IFERROR(MATCH(ROW()-4,'販売記録'!$L$5:$L$1004,0),"")</ns0:f>
        <ns0:v/>
      </ns0:c>
    </ns0:row>
    <ns0:row r="793">
      <ns0:c r="A793" s="11" t="str">
        <ns0:f>IF($F793="","",IF(INDEX('販売記録'!$K$5:$K$1004,$F793)="","",INDEX('販売記録'!$K$5:$K$1004,$F793)))</ns0:f>
        <ns0:v/>
      </ns0:c>
      <ns0:c r="B793" s="9" t="str">
        <ns0:f>IF($F793="","",IF(INDEX('販売記録'!$B$5:$B$1004,$F793)="","",INDEX('販売記録'!$B$5:$B$1004,$F793)))</ns0:f>
        <ns0:v/>
      </ns0:c>
      <ns0:c r="C793" s="9" t="str">
        <ns0:f>IF($F793="","",IF(INDEX('販売記録'!$C$5:$C$1004,$F793)="","",INDEX('販売記録'!$C$5:$C$1004,$F793)))</ns0:f>
        <ns0:v/>
      </ns0:c>
      <ns0:c r="D793" s="8" t="str">
        <ns0:f>IF($F793="","",IF(INDEX('販売記録'!$D$5:$D$1004,$F793)="","",INDEX('販売記録'!$D$5:$D$1004,$F793)))</ns0:f>
        <ns0:v/>
      </ns0:c>
      <ns0:c r="E793" s="12" t="str">
        <ns0:f>IF(OR(A793="",B793=""),"",MAX(0,TODAY()-A793))</ns0:f>
        <ns0:v/>
      </ns0:c>
      <ns0:c r="F793" s="9" t="str">
        <ns0:f>IFERROR(MATCH(ROW()-4,'販売記録'!$L$5:$L$1004,0),"")</ns0:f>
        <ns0:v/>
      </ns0:c>
    </ns0:row>
    <ns0:row r="794">
      <ns0:c r="A794" s="11" t="str">
        <ns0:f>IF($F794="","",IF(INDEX('販売記録'!$K$5:$K$1004,$F794)="","",INDEX('販売記録'!$K$5:$K$1004,$F794)))</ns0:f>
        <ns0:v/>
      </ns0:c>
      <ns0:c r="B794" s="9" t="str">
        <ns0:f>IF($F794="","",IF(INDEX('販売記録'!$B$5:$B$1004,$F794)="","",INDEX('販売記録'!$B$5:$B$1004,$F794)))</ns0:f>
        <ns0:v/>
      </ns0:c>
      <ns0:c r="C794" s="9" t="str">
        <ns0:f>IF($F794="","",IF(INDEX('販売記録'!$C$5:$C$1004,$F794)="","",INDEX('販売記録'!$C$5:$C$1004,$F794)))</ns0:f>
        <ns0:v/>
      </ns0:c>
      <ns0:c r="D794" s="8" t="str">
        <ns0:f>IF($F794="","",IF(INDEX('販売記録'!$D$5:$D$1004,$F794)="","",INDEX('販売記録'!$D$5:$D$1004,$F794)))</ns0:f>
        <ns0:v/>
      </ns0:c>
      <ns0:c r="E794" s="12" t="str">
        <ns0:f>IF(OR(A794="",B794=""),"",MAX(0,TODAY()-A794))</ns0:f>
        <ns0:v/>
      </ns0:c>
      <ns0:c r="F794" s="9" t="str">
        <ns0:f>IFERROR(MATCH(ROW()-4,'販売記録'!$L$5:$L$1004,0),"")</ns0:f>
        <ns0:v/>
      </ns0:c>
    </ns0:row>
    <ns0:row r="795">
      <ns0:c r="A795" s="11" t="str">
        <ns0:f>IF($F795="","",IF(INDEX('販売記録'!$K$5:$K$1004,$F795)="","",INDEX('販売記録'!$K$5:$K$1004,$F795)))</ns0:f>
        <ns0:v/>
      </ns0:c>
      <ns0:c r="B795" s="9" t="str">
        <ns0:f>IF($F795="","",IF(INDEX('販売記録'!$B$5:$B$1004,$F795)="","",INDEX('販売記録'!$B$5:$B$1004,$F795)))</ns0:f>
        <ns0:v/>
      </ns0:c>
      <ns0:c r="C795" s="9" t="str">
        <ns0:f>IF($F795="","",IF(INDEX('販売記録'!$C$5:$C$1004,$F795)="","",INDEX('販売記録'!$C$5:$C$1004,$F795)))</ns0:f>
        <ns0:v/>
      </ns0:c>
      <ns0:c r="D795" s="8" t="str">
        <ns0:f>IF($F795="","",IF(INDEX('販売記録'!$D$5:$D$1004,$F795)="","",INDEX('販売記録'!$D$5:$D$1004,$F795)))</ns0:f>
        <ns0:v/>
      </ns0:c>
      <ns0:c r="E795" s="12" t="str">
        <ns0:f>IF(OR(A795="",B795=""),"",MAX(0,TODAY()-A795))</ns0:f>
        <ns0:v/>
      </ns0:c>
      <ns0:c r="F795" s="9" t="str">
        <ns0:f>IFERROR(MATCH(ROW()-4,'販売記録'!$L$5:$L$1004,0),"")</ns0:f>
        <ns0:v/>
      </ns0:c>
    </ns0:row>
    <ns0:row r="796">
      <ns0:c r="A796" s="11" t="str">
        <ns0:f>IF($F796="","",IF(INDEX('販売記録'!$K$5:$K$1004,$F796)="","",INDEX('販売記録'!$K$5:$K$1004,$F796)))</ns0:f>
        <ns0:v/>
      </ns0:c>
      <ns0:c r="B796" s="9" t="str">
        <ns0:f>IF($F796="","",IF(INDEX('販売記録'!$B$5:$B$1004,$F796)="","",INDEX('販売記録'!$B$5:$B$1004,$F796)))</ns0:f>
        <ns0:v/>
      </ns0:c>
      <ns0:c r="C796" s="9" t="str">
        <ns0:f>IF($F796="","",IF(INDEX('販売記録'!$C$5:$C$1004,$F796)="","",INDEX('販売記録'!$C$5:$C$1004,$F796)))</ns0:f>
        <ns0:v/>
      </ns0:c>
      <ns0:c r="D796" s="8" t="str">
        <ns0:f>IF($F796="","",IF(INDEX('販売記録'!$D$5:$D$1004,$F796)="","",INDEX('販売記録'!$D$5:$D$1004,$F796)))</ns0:f>
        <ns0:v/>
      </ns0:c>
      <ns0:c r="E796" s="12" t="str">
        <ns0:f>IF(OR(A796="",B796=""),"",MAX(0,TODAY()-A796))</ns0:f>
        <ns0:v/>
      </ns0:c>
      <ns0:c r="F796" s="9" t="str">
        <ns0:f>IFERROR(MATCH(ROW()-4,'販売記録'!$L$5:$L$1004,0),"")</ns0:f>
        <ns0:v/>
      </ns0:c>
    </ns0:row>
    <ns0:row r="797">
      <ns0:c r="A797" s="11" t="str">
        <ns0:f>IF($F797="","",IF(INDEX('販売記録'!$K$5:$K$1004,$F797)="","",INDEX('販売記録'!$K$5:$K$1004,$F797)))</ns0:f>
        <ns0:v/>
      </ns0:c>
      <ns0:c r="B797" s="9" t="str">
        <ns0:f>IF($F797="","",IF(INDEX('販売記録'!$B$5:$B$1004,$F797)="","",INDEX('販売記録'!$B$5:$B$1004,$F797)))</ns0:f>
        <ns0:v/>
      </ns0:c>
      <ns0:c r="C797" s="9" t="str">
        <ns0:f>IF($F797="","",IF(INDEX('販売記録'!$C$5:$C$1004,$F797)="","",INDEX('販売記録'!$C$5:$C$1004,$F797)))</ns0:f>
        <ns0:v/>
      </ns0:c>
      <ns0:c r="D797" s="8" t="str">
        <ns0:f>IF($F797="","",IF(INDEX('販売記録'!$D$5:$D$1004,$F797)="","",INDEX('販売記録'!$D$5:$D$1004,$F797)))</ns0:f>
        <ns0:v/>
      </ns0:c>
      <ns0:c r="E797" s="12" t="str">
        <ns0:f>IF(OR(A797="",B797=""),"",MAX(0,TODAY()-A797))</ns0:f>
        <ns0:v/>
      </ns0:c>
      <ns0:c r="F797" s="9" t="str">
        <ns0:f>IFERROR(MATCH(ROW()-4,'販売記録'!$L$5:$L$1004,0),"")</ns0:f>
        <ns0:v/>
      </ns0:c>
    </ns0:row>
    <ns0:row r="798">
      <ns0:c r="A798" s="11" t="str">
        <ns0:f>IF($F798="","",IF(INDEX('販売記録'!$K$5:$K$1004,$F798)="","",INDEX('販売記録'!$K$5:$K$1004,$F798)))</ns0:f>
        <ns0:v/>
      </ns0:c>
      <ns0:c r="B798" s="9" t="str">
        <ns0:f>IF($F798="","",IF(INDEX('販売記録'!$B$5:$B$1004,$F798)="","",INDEX('販売記録'!$B$5:$B$1004,$F798)))</ns0:f>
        <ns0:v/>
      </ns0:c>
      <ns0:c r="C798" s="9" t="str">
        <ns0:f>IF($F798="","",IF(INDEX('販売記録'!$C$5:$C$1004,$F798)="","",INDEX('販売記録'!$C$5:$C$1004,$F798)))</ns0:f>
        <ns0:v/>
      </ns0:c>
      <ns0:c r="D798" s="8" t="str">
        <ns0:f>IF($F798="","",IF(INDEX('販売記録'!$D$5:$D$1004,$F798)="","",INDEX('販売記録'!$D$5:$D$1004,$F798)))</ns0:f>
        <ns0:v/>
      </ns0:c>
      <ns0:c r="E798" s="12" t="str">
        <ns0:f>IF(OR(A798="",B798=""),"",MAX(0,TODAY()-A798))</ns0:f>
        <ns0:v/>
      </ns0:c>
      <ns0:c r="F798" s="9" t="str">
        <ns0:f>IFERROR(MATCH(ROW()-4,'販売記録'!$L$5:$L$1004,0),"")</ns0:f>
        <ns0:v/>
      </ns0:c>
    </ns0:row>
    <ns0:row r="799">
      <ns0:c r="A799" s="11" t="str">
        <ns0:f>IF($F799="","",IF(INDEX('販売記録'!$K$5:$K$1004,$F799)="","",INDEX('販売記録'!$K$5:$K$1004,$F799)))</ns0:f>
        <ns0:v/>
      </ns0:c>
      <ns0:c r="B799" s="9" t="str">
        <ns0:f>IF($F799="","",IF(INDEX('販売記録'!$B$5:$B$1004,$F799)="","",INDEX('販売記録'!$B$5:$B$1004,$F799)))</ns0:f>
        <ns0:v/>
      </ns0:c>
      <ns0:c r="C799" s="9" t="str">
        <ns0:f>IF($F799="","",IF(INDEX('販売記録'!$C$5:$C$1004,$F799)="","",INDEX('販売記録'!$C$5:$C$1004,$F799)))</ns0:f>
        <ns0:v/>
      </ns0:c>
      <ns0:c r="D799" s="8" t="str">
        <ns0:f>IF($F799="","",IF(INDEX('販売記録'!$D$5:$D$1004,$F799)="","",INDEX('販売記録'!$D$5:$D$1004,$F799)))</ns0:f>
        <ns0:v/>
      </ns0:c>
      <ns0:c r="E799" s="12" t="str">
        <ns0:f>IF(OR(A799="",B799=""),"",MAX(0,TODAY()-A799))</ns0:f>
        <ns0:v/>
      </ns0:c>
      <ns0:c r="F799" s="9" t="str">
        <ns0:f>IFERROR(MATCH(ROW()-4,'販売記録'!$L$5:$L$1004,0),"")</ns0:f>
        <ns0:v/>
      </ns0:c>
    </ns0:row>
    <ns0:row r="800">
      <ns0:c r="A800" s="11" t="str">
        <ns0:f>IF($F800="","",IF(INDEX('販売記録'!$K$5:$K$1004,$F800)="","",INDEX('販売記録'!$K$5:$K$1004,$F800)))</ns0:f>
        <ns0:v/>
      </ns0:c>
      <ns0:c r="B800" s="9" t="str">
        <ns0:f>IF($F800="","",IF(INDEX('販売記録'!$B$5:$B$1004,$F800)="","",INDEX('販売記録'!$B$5:$B$1004,$F800)))</ns0:f>
        <ns0:v/>
      </ns0:c>
      <ns0:c r="C800" s="9" t="str">
        <ns0:f>IF($F800="","",IF(INDEX('販売記録'!$C$5:$C$1004,$F800)="","",INDEX('販売記録'!$C$5:$C$1004,$F800)))</ns0:f>
        <ns0:v/>
      </ns0:c>
      <ns0:c r="D800" s="8" t="str">
        <ns0:f>IF($F800="","",IF(INDEX('販売記録'!$D$5:$D$1004,$F800)="","",INDEX('販売記録'!$D$5:$D$1004,$F800)))</ns0:f>
        <ns0:v/>
      </ns0:c>
      <ns0:c r="E800" s="12" t="str">
        <ns0:f>IF(OR(A800="",B800=""),"",MAX(0,TODAY()-A800))</ns0:f>
        <ns0:v/>
      </ns0:c>
      <ns0:c r="F800" s="9" t="str">
        <ns0:f>IFERROR(MATCH(ROW()-4,'販売記録'!$L$5:$L$1004,0),"")</ns0:f>
        <ns0:v/>
      </ns0:c>
    </ns0:row>
    <ns0:row r="801">
      <ns0:c r="A801" s="11" t="str">
        <ns0:f>IF($F801="","",IF(INDEX('販売記録'!$K$5:$K$1004,$F801)="","",INDEX('販売記録'!$K$5:$K$1004,$F801)))</ns0:f>
        <ns0:v/>
      </ns0:c>
      <ns0:c r="B801" s="9" t="str">
        <ns0:f>IF($F801="","",IF(INDEX('販売記録'!$B$5:$B$1004,$F801)="","",INDEX('販売記録'!$B$5:$B$1004,$F801)))</ns0:f>
        <ns0:v/>
      </ns0:c>
      <ns0:c r="C801" s="9" t="str">
        <ns0:f>IF($F801="","",IF(INDEX('販売記録'!$C$5:$C$1004,$F801)="","",INDEX('販売記録'!$C$5:$C$1004,$F801)))</ns0:f>
        <ns0:v/>
      </ns0:c>
      <ns0:c r="D801" s="8" t="str">
        <ns0:f>IF($F801="","",IF(INDEX('販売記録'!$D$5:$D$1004,$F801)="","",INDEX('販売記録'!$D$5:$D$1004,$F801)))</ns0:f>
        <ns0:v/>
      </ns0:c>
      <ns0:c r="E801" s="12" t="str">
        <ns0:f>IF(OR(A801="",B801=""),"",MAX(0,TODAY()-A801))</ns0:f>
        <ns0:v/>
      </ns0:c>
      <ns0:c r="F801" s="9" t="str">
        <ns0:f>IFERROR(MATCH(ROW()-4,'販売記録'!$L$5:$L$1004,0),"")</ns0:f>
        <ns0:v/>
      </ns0:c>
    </ns0:row>
    <ns0:row r="802">
      <ns0:c r="A802" s="11" t="str">
        <ns0:f>IF($F802="","",IF(INDEX('販売記録'!$K$5:$K$1004,$F802)="","",INDEX('販売記録'!$K$5:$K$1004,$F802)))</ns0:f>
        <ns0:v/>
      </ns0:c>
      <ns0:c r="B802" s="9" t="str">
        <ns0:f>IF($F802="","",IF(INDEX('販売記録'!$B$5:$B$1004,$F802)="","",INDEX('販売記録'!$B$5:$B$1004,$F802)))</ns0:f>
        <ns0:v/>
      </ns0:c>
      <ns0:c r="C802" s="9" t="str">
        <ns0:f>IF($F802="","",IF(INDEX('販売記録'!$C$5:$C$1004,$F802)="","",INDEX('販売記録'!$C$5:$C$1004,$F802)))</ns0:f>
        <ns0:v/>
      </ns0:c>
      <ns0:c r="D802" s="8" t="str">
        <ns0:f>IF($F802="","",IF(INDEX('販売記録'!$D$5:$D$1004,$F802)="","",INDEX('販売記録'!$D$5:$D$1004,$F802)))</ns0:f>
        <ns0:v/>
      </ns0:c>
      <ns0:c r="E802" s="12" t="str">
        <ns0:f>IF(OR(A802="",B802=""),"",MAX(0,TODAY()-A802))</ns0:f>
        <ns0:v/>
      </ns0:c>
      <ns0:c r="F802" s="9" t="str">
        <ns0:f>IFERROR(MATCH(ROW()-4,'販売記録'!$L$5:$L$1004,0),"")</ns0:f>
        <ns0:v/>
      </ns0:c>
    </ns0:row>
    <ns0:row r="803">
      <ns0:c r="A803" s="11" t="str">
        <ns0:f>IF($F803="","",IF(INDEX('販売記録'!$K$5:$K$1004,$F803)="","",INDEX('販売記録'!$K$5:$K$1004,$F803)))</ns0:f>
        <ns0:v/>
      </ns0:c>
      <ns0:c r="B803" s="9" t="str">
        <ns0:f>IF($F803="","",IF(INDEX('販売記録'!$B$5:$B$1004,$F803)="","",INDEX('販売記録'!$B$5:$B$1004,$F803)))</ns0:f>
        <ns0:v/>
      </ns0:c>
      <ns0:c r="C803" s="9" t="str">
        <ns0:f>IF($F803="","",IF(INDEX('販売記録'!$C$5:$C$1004,$F803)="","",INDEX('販売記録'!$C$5:$C$1004,$F803)))</ns0:f>
        <ns0:v/>
      </ns0:c>
      <ns0:c r="D803" s="8" t="str">
        <ns0:f>IF($F803="","",IF(INDEX('販売記録'!$D$5:$D$1004,$F803)="","",INDEX('販売記録'!$D$5:$D$1004,$F803)))</ns0:f>
        <ns0:v/>
      </ns0:c>
      <ns0:c r="E803" s="12" t="str">
        <ns0:f>IF(OR(A803="",B803=""),"",MAX(0,TODAY()-A803))</ns0:f>
        <ns0:v/>
      </ns0:c>
      <ns0:c r="F803" s="9" t="str">
        <ns0:f>IFERROR(MATCH(ROW()-4,'販売記録'!$L$5:$L$1004,0),"")</ns0:f>
        <ns0:v/>
      </ns0:c>
    </ns0:row>
    <ns0:row r="804">
      <ns0:c r="A804" s="11" t="str">
        <ns0:f>IF($F804="","",IF(INDEX('販売記録'!$K$5:$K$1004,$F804)="","",INDEX('販売記録'!$K$5:$K$1004,$F804)))</ns0:f>
        <ns0:v/>
      </ns0:c>
      <ns0:c r="B804" s="9" t="str">
        <ns0:f>IF($F804="","",IF(INDEX('販売記録'!$B$5:$B$1004,$F804)="","",INDEX('販売記録'!$B$5:$B$1004,$F804)))</ns0:f>
        <ns0:v/>
      </ns0:c>
      <ns0:c r="C804" s="9" t="str">
        <ns0:f>IF($F804="","",IF(INDEX('販売記録'!$C$5:$C$1004,$F804)="","",INDEX('販売記録'!$C$5:$C$1004,$F804)))</ns0:f>
        <ns0:v/>
      </ns0:c>
      <ns0:c r="D804" s="8" t="str">
        <ns0:f>IF($F804="","",IF(INDEX('販売記録'!$D$5:$D$1004,$F804)="","",INDEX('販売記録'!$D$5:$D$1004,$F804)))</ns0:f>
        <ns0:v/>
      </ns0:c>
      <ns0:c r="E804" s="12" t="str">
        <ns0:f>IF(OR(A804="",B804=""),"",MAX(0,TODAY()-A804))</ns0:f>
        <ns0:v/>
      </ns0:c>
      <ns0:c r="F804" s="9" t="str">
        <ns0:f>IFERROR(MATCH(ROW()-4,'販売記録'!$L$5:$L$1004,0),"")</ns0:f>
        <ns0:v/>
      </ns0:c>
    </ns0:row>
    <ns0:row r="805">
      <ns0:c r="A805" s="11" t="str">
        <ns0:f>IF($F805="","",IF(INDEX('販売記録'!$K$5:$K$1004,$F805)="","",INDEX('販売記録'!$K$5:$K$1004,$F805)))</ns0:f>
        <ns0:v/>
      </ns0:c>
      <ns0:c r="B805" s="9" t="str">
        <ns0:f>IF($F805="","",IF(INDEX('販売記録'!$B$5:$B$1004,$F805)="","",INDEX('販売記録'!$B$5:$B$1004,$F805)))</ns0:f>
        <ns0:v/>
      </ns0:c>
      <ns0:c r="C805" s="9" t="str">
        <ns0:f>IF($F805="","",IF(INDEX('販売記録'!$C$5:$C$1004,$F805)="","",INDEX('販売記録'!$C$5:$C$1004,$F805)))</ns0:f>
        <ns0:v/>
      </ns0:c>
      <ns0:c r="D805" s="8" t="str">
        <ns0:f>IF($F805="","",IF(INDEX('販売記録'!$D$5:$D$1004,$F805)="","",INDEX('販売記録'!$D$5:$D$1004,$F805)))</ns0:f>
        <ns0:v/>
      </ns0:c>
      <ns0:c r="E805" s="12" t="str">
        <ns0:f>IF(OR(A805="",B805=""),"",MAX(0,TODAY()-A805))</ns0:f>
        <ns0:v/>
      </ns0:c>
      <ns0:c r="F805" s="9" t="str">
        <ns0:f>IFERROR(MATCH(ROW()-4,'販売記録'!$L$5:$L$1004,0),"")</ns0:f>
        <ns0:v/>
      </ns0:c>
    </ns0:row>
    <ns0:row r="806">
      <ns0:c r="A806" s="11" t="str">
        <ns0:f>IF($F806="","",IF(INDEX('販売記録'!$K$5:$K$1004,$F806)="","",INDEX('販売記録'!$K$5:$K$1004,$F806)))</ns0:f>
        <ns0:v/>
      </ns0:c>
      <ns0:c r="B806" s="9" t="str">
        <ns0:f>IF($F806="","",IF(INDEX('販売記録'!$B$5:$B$1004,$F806)="","",INDEX('販売記録'!$B$5:$B$1004,$F806)))</ns0:f>
        <ns0:v/>
      </ns0:c>
      <ns0:c r="C806" s="9" t="str">
        <ns0:f>IF($F806="","",IF(INDEX('販売記録'!$C$5:$C$1004,$F806)="","",INDEX('販売記録'!$C$5:$C$1004,$F806)))</ns0:f>
        <ns0:v/>
      </ns0:c>
      <ns0:c r="D806" s="8" t="str">
        <ns0:f>IF($F806="","",IF(INDEX('販売記録'!$D$5:$D$1004,$F806)="","",INDEX('販売記録'!$D$5:$D$1004,$F806)))</ns0:f>
        <ns0:v/>
      </ns0:c>
      <ns0:c r="E806" s="12" t="str">
        <ns0:f>IF(OR(A806="",B806=""),"",MAX(0,TODAY()-A806))</ns0:f>
        <ns0:v/>
      </ns0:c>
      <ns0:c r="F806" s="9" t="str">
        <ns0:f>IFERROR(MATCH(ROW()-4,'販売記録'!$L$5:$L$1004,0),"")</ns0:f>
        <ns0:v/>
      </ns0:c>
    </ns0:row>
    <ns0:row r="807">
      <ns0:c r="A807" s="11" t="str">
        <ns0:f>IF($F807="","",IF(INDEX('販売記録'!$K$5:$K$1004,$F807)="","",INDEX('販売記録'!$K$5:$K$1004,$F807)))</ns0:f>
        <ns0:v/>
      </ns0:c>
      <ns0:c r="B807" s="9" t="str">
        <ns0:f>IF($F807="","",IF(INDEX('販売記録'!$B$5:$B$1004,$F807)="","",INDEX('販売記録'!$B$5:$B$1004,$F807)))</ns0:f>
        <ns0:v/>
      </ns0:c>
      <ns0:c r="C807" s="9" t="str">
        <ns0:f>IF($F807="","",IF(INDEX('販売記録'!$C$5:$C$1004,$F807)="","",INDEX('販売記録'!$C$5:$C$1004,$F807)))</ns0:f>
        <ns0:v/>
      </ns0:c>
      <ns0:c r="D807" s="8" t="str">
        <ns0:f>IF($F807="","",IF(INDEX('販売記録'!$D$5:$D$1004,$F807)="","",INDEX('販売記録'!$D$5:$D$1004,$F807)))</ns0:f>
        <ns0:v/>
      </ns0:c>
      <ns0:c r="E807" s="12" t="str">
        <ns0:f>IF(OR(A807="",B807=""),"",MAX(0,TODAY()-A807))</ns0:f>
        <ns0:v/>
      </ns0:c>
      <ns0:c r="F807" s="9" t="str">
        <ns0:f>IFERROR(MATCH(ROW()-4,'販売記録'!$L$5:$L$1004,0),"")</ns0:f>
        <ns0:v/>
      </ns0:c>
    </ns0:row>
    <ns0:row r="808">
      <ns0:c r="A808" s="11" t="str">
        <ns0:f>IF($F808="","",IF(INDEX('販売記録'!$K$5:$K$1004,$F808)="","",INDEX('販売記録'!$K$5:$K$1004,$F808)))</ns0:f>
        <ns0:v/>
      </ns0:c>
      <ns0:c r="B808" s="9" t="str">
        <ns0:f>IF($F808="","",IF(INDEX('販売記録'!$B$5:$B$1004,$F808)="","",INDEX('販売記録'!$B$5:$B$1004,$F808)))</ns0:f>
        <ns0:v/>
      </ns0:c>
      <ns0:c r="C808" s="9" t="str">
        <ns0:f>IF($F808="","",IF(INDEX('販売記録'!$C$5:$C$1004,$F808)="","",INDEX('販売記録'!$C$5:$C$1004,$F808)))</ns0:f>
        <ns0:v/>
      </ns0:c>
      <ns0:c r="D808" s="8" t="str">
        <ns0:f>IF($F808="","",IF(INDEX('販売記録'!$D$5:$D$1004,$F808)="","",INDEX('販売記録'!$D$5:$D$1004,$F808)))</ns0:f>
        <ns0:v/>
      </ns0:c>
      <ns0:c r="E808" s="12" t="str">
        <ns0:f>IF(OR(A808="",B808=""),"",MAX(0,TODAY()-A808))</ns0:f>
        <ns0:v/>
      </ns0:c>
      <ns0:c r="F808" s="9" t="str">
        <ns0:f>IFERROR(MATCH(ROW()-4,'販売記録'!$L$5:$L$1004,0),"")</ns0:f>
        <ns0:v/>
      </ns0:c>
    </ns0:row>
    <ns0:row r="809">
      <ns0:c r="A809" s="11" t="str">
        <ns0:f>IF($F809="","",IF(INDEX('販売記録'!$K$5:$K$1004,$F809)="","",INDEX('販売記録'!$K$5:$K$1004,$F809)))</ns0:f>
        <ns0:v/>
      </ns0:c>
      <ns0:c r="B809" s="9" t="str">
        <ns0:f>IF($F809="","",IF(INDEX('販売記録'!$B$5:$B$1004,$F809)="","",INDEX('販売記録'!$B$5:$B$1004,$F809)))</ns0:f>
        <ns0:v/>
      </ns0:c>
      <ns0:c r="C809" s="9" t="str">
        <ns0:f>IF($F809="","",IF(INDEX('販売記録'!$C$5:$C$1004,$F809)="","",INDEX('販売記録'!$C$5:$C$1004,$F809)))</ns0:f>
        <ns0:v/>
      </ns0:c>
      <ns0:c r="D809" s="8" t="str">
        <ns0:f>IF($F809="","",IF(INDEX('販売記録'!$D$5:$D$1004,$F809)="","",INDEX('販売記録'!$D$5:$D$1004,$F809)))</ns0:f>
        <ns0:v/>
      </ns0:c>
      <ns0:c r="E809" s="12" t="str">
        <ns0:f>IF(OR(A809="",B809=""),"",MAX(0,TODAY()-A809))</ns0:f>
        <ns0:v/>
      </ns0:c>
      <ns0:c r="F809" s="9" t="str">
        <ns0:f>IFERROR(MATCH(ROW()-4,'販売記録'!$L$5:$L$1004,0),"")</ns0:f>
        <ns0:v/>
      </ns0:c>
    </ns0:row>
    <ns0:row r="810">
      <ns0:c r="A810" s="11" t="str">
        <ns0:f>IF($F810="","",IF(INDEX('販売記録'!$K$5:$K$1004,$F810)="","",INDEX('販売記録'!$K$5:$K$1004,$F810)))</ns0:f>
        <ns0:v/>
      </ns0:c>
      <ns0:c r="B810" s="9" t="str">
        <ns0:f>IF($F810="","",IF(INDEX('販売記録'!$B$5:$B$1004,$F810)="","",INDEX('販売記録'!$B$5:$B$1004,$F810)))</ns0:f>
        <ns0:v/>
      </ns0:c>
      <ns0:c r="C810" s="9" t="str">
        <ns0:f>IF($F810="","",IF(INDEX('販売記録'!$C$5:$C$1004,$F810)="","",INDEX('販売記録'!$C$5:$C$1004,$F810)))</ns0:f>
        <ns0:v/>
      </ns0:c>
      <ns0:c r="D810" s="8" t="str">
        <ns0:f>IF($F810="","",IF(INDEX('販売記録'!$D$5:$D$1004,$F810)="","",INDEX('販売記録'!$D$5:$D$1004,$F810)))</ns0:f>
        <ns0:v/>
      </ns0:c>
      <ns0:c r="E810" s="12" t="str">
        <ns0:f>IF(OR(A810="",B810=""),"",MAX(0,TODAY()-A810))</ns0:f>
        <ns0:v/>
      </ns0:c>
      <ns0:c r="F810" s="9" t="str">
        <ns0:f>IFERROR(MATCH(ROW()-4,'販売記録'!$L$5:$L$1004,0),"")</ns0:f>
        <ns0:v/>
      </ns0:c>
    </ns0:row>
    <ns0:row r="811">
      <ns0:c r="A811" s="11" t="str">
        <ns0:f>IF($F811="","",IF(INDEX('販売記録'!$K$5:$K$1004,$F811)="","",INDEX('販売記録'!$K$5:$K$1004,$F811)))</ns0:f>
        <ns0:v/>
      </ns0:c>
      <ns0:c r="B811" s="9" t="str">
        <ns0:f>IF($F811="","",IF(INDEX('販売記録'!$B$5:$B$1004,$F811)="","",INDEX('販売記録'!$B$5:$B$1004,$F811)))</ns0:f>
        <ns0:v/>
      </ns0:c>
      <ns0:c r="C811" s="9" t="str">
        <ns0:f>IF($F811="","",IF(INDEX('販売記録'!$C$5:$C$1004,$F811)="","",INDEX('販売記録'!$C$5:$C$1004,$F811)))</ns0:f>
        <ns0:v/>
      </ns0:c>
      <ns0:c r="D811" s="8" t="str">
        <ns0:f>IF($F811="","",IF(INDEX('販売記録'!$D$5:$D$1004,$F811)="","",INDEX('販売記録'!$D$5:$D$1004,$F811)))</ns0:f>
        <ns0:v/>
      </ns0:c>
      <ns0:c r="E811" s="12" t="str">
        <ns0:f>IF(OR(A811="",B811=""),"",MAX(0,TODAY()-A811))</ns0:f>
        <ns0:v/>
      </ns0:c>
      <ns0:c r="F811" s="9" t="str">
        <ns0:f>IFERROR(MATCH(ROW()-4,'販売記録'!$L$5:$L$1004,0),"")</ns0:f>
        <ns0:v/>
      </ns0:c>
    </ns0:row>
    <ns0:row r="812">
      <ns0:c r="A812" s="11" t="str">
        <ns0:f>IF($F812="","",IF(INDEX('販売記録'!$K$5:$K$1004,$F812)="","",INDEX('販売記録'!$K$5:$K$1004,$F812)))</ns0:f>
        <ns0:v/>
      </ns0:c>
      <ns0:c r="B812" s="9" t="str">
        <ns0:f>IF($F812="","",IF(INDEX('販売記録'!$B$5:$B$1004,$F812)="","",INDEX('販売記録'!$B$5:$B$1004,$F812)))</ns0:f>
        <ns0:v/>
      </ns0:c>
      <ns0:c r="C812" s="9" t="str">
        <ns0:f>IF($F812="","",IF(INDEX('販売記録'!$C$5:$C$1004,$F812)="","",INDEX('販売記録'!$C$5:$C$1004,$F812)))</ns0:f>
        <ns0:v/>
      </ns0:c>
      <ns0:c r="D812" s="8" t="str">
        <ns0:f>IF($F812="","",IF(INDEX('販売記録'!$D$5:$D$1004,$F812)="","",INDEX('販売記録'!$D$5:$D$1004,$F812)))</ns0:f>
        <ns0:v/>
      </ns0:c>
      <ns0:c r="E812" s="12" t="str">
        <ns0:f>IF(OR(A812="",B812=""),"",MAX(0,TODAY()-A812))</ns0:f>
        <ns0:v/>
      </ns0:c>
      <ns0:c r="F812" s="9" t="str">
        <ns0:f>IFERROR(MATCH(ROW()-4,'販売記録'!$L$5:$L$1004,0),"")</ns0:f>
        <ns0:v/>
      </ns0:c>
    </ns0:row>
    <ns0:row r="813">
      <ns0:c r="A813" s="11" t="str">
        <ns0:f>IF($F813="","",IF(INDEX('販売記録'!$K$5:$K$1004,$F813)="","",INDEX('販売記録'!$K$5:$K$1004,$F813)))</ns0:f>
        <ns0:v/>
      </ns0:c>
      <ns0:c r="B813" s="9" t="str">
        <ns0:f>IF($F813="","",IF(INDEX('販売記録'!$B$5:$B$1004,$F813)="","",INDEX('販売記録'!$B$5:$B$1004,$F813)))</ns0:f>
        <ns0:v/>
      </ns0:c>
      <ns0:c r="C813" s="9" t="str">
        <ns0:f>IF($F813="","",IF(INDEX('販売記録'!$C$5:$C$1004,$F813)="","",INDEX('販売記録'!$C$5:$C$1004,$F813)))</ns0:f>
        <ns0:v/>
      </ns0:c>
      <ns0:c r="D813" s="8" t="str">
        <ns0:f>IF($F813="","",IF(INDEX('販売記録'!$D$5:$D$1004,$F813)="","",INDEX('販売記録'!$D$5:$D$1004,$F813)))</ns0:f>
        <ns0:v/>
      </ns0:c>
      <ns0:c r="E813" s="12" t="str">
        <ns0:f>IF(OR(A813="",B813=""),"",MAX(0,TODAY()-A813))</ns0:f>
        <ns0:v/>
      </ns0:c>
      <ns0:c r="F813" s="9" t="str">
        <ns0:f>IFERROR(MATCH(ROW()-4,'販売記録'!$L$5:$L$1004,0),"")</ns0:f>
        <ns0:v/>
      </ns0:c>
    </ns0:row>
    <ns0:row r="814">
      <ns0:c r="A814" s="11" t="str">
        <ns0:f>IF($F814="","",IF(INDEX('販売記録'!$K$5:$K$1004,$F814)="","",INDEX('販売記録'!$K$5:$K$1004,$F814)))</ns0:f>
        <ns0:v/>
      </ns0:c>
      <ns0:c r="B814" s="9" t="str">
        <ns0:f>IF($F814="","",IF(INDEX('販売記録'!$B$5:$B$1004,$F814)="","",INDEX('販売記録'!$B$5:$B$1004,$F814)))</ns0:f>
        <ns0:v/>
      </ns0:c>
      <ns0:c r="C814" s="9" t="str">
        <ns0:f>IF($F814="","",IF(INDEX('販売記録'!$C$5:$C$1004,$F814)="","",INDEX('販売記録'!$C$5:$C$1004,$F814)))</ns0:f>
        <ns0:v/>
      </ns0:c>
      <ns0:c r="D814" s="8" t="str">
        <ns0:f>IF($F814="","",IF(INDEX('販売記録'!$D$5:$D$1004,$F814)="","",INDEX('販売記録'!$D$5:$D$1004,$F814)))</ns0:f>
        <ns0:v/>
      </ns0:c>
      <ns0:c r="E814" s="12" t="str">
        <ns0:f>IF(OR(A814="",B814=""),"",MAX(0,TODAY()-A814))</ns0:f>
        <ns0:v/>
      </ns0:c>
      <ns0:c r="F814" s="9" t="str">
        <ns0:f>IFERROR(MATCH(ROW()-4,'販売記録'!$L$5:$L$1004,0),"")</ns0:f>
        <ns0:v/>
      </ns0:c>
    </ns0:row>
    <ns0:row r="815">
      <ns0:c r="A815" s="11" t="str">
        <ns0:f>IF($F815="","",IF(INDEX('販売記録'!$K$5:$K$1004,$F815)="","",INDEX('販売記録'!$K$5:$K$1004,$F815)))</ns0:f>
        <ns0:v/>
      </ns0:c>
      <ns0:c r="B815" s="9" t="str">
        <ns0:f>IF($F815="","",IF(INDEX('販売記録'!$B$5:$B$1004,$F815)="","",INDEX('販売記録'!$B$5:$B$1004,$F815)))</ns0:f>
        <ns0:v/>
      </ns0:c>
      <ns0:c r="C815" s="9" t="str">
        <ns0:f>IF($F815="","",IF(INDEX('販売記録'!$C$5:$C$1004,$F815)="","",INDEX('販売記録'!$C$5:$C$1004,$F815)))</ns0:f>
        <ns0:v/>
      </ns0:c>
      <ns0:c r="D815" s="8" t="str">
        <ns0:f>IF($F815="","",IF(INDEX('販売記録'!$D$5:$D$1004,$F815)="","",INDEX('販売記録'!$D$5:$D$1004,$F815)))</ns0:f>
        <ns0:v/>
      </ns0:c>
      <ns0:c r="E815" s="12" t="str">
        <ns0:f>IF(OR(A815="",B815=""),"",MAX(0,TODAY()-A815))</ns0:f>
        <ns0:v/>
      </ns0:c>
      <ns0:c r="F815" s="9" t="str">
        <ns0:f>IFERROR(MATCH(ROW()-4,'販売記録'!$L$5:$L$1004,0),"")</ns0:f>
        <ns0:v/>
      </ns0:c>
    </ns0:row>
    <ns0:row r="816">
      <ns0:c r="A816" s="11" t="str">
        <ns0:f>IF($F816="","",IF(INDEX('販売記録'!$K$5:$K$1004,$F816)="","",INDEX('販売記録'!$K$5:$K$1004,$F816)))</ns0:f>
        <ns0:v/>
      </ns0:c>
      <ns0:c r="B816" s="9" t="str">
        <ns0:f>IF($F816="","",IF(INDEX('販売記録'!$B$5:$B$1004,$F816)="","",INDEX('販売記録'!$B$5:$B$1004,$F816)))</ns0:f>
        <ns0:v/>
      </ns0:c>
      <ns0:c r="C816" s="9" t="str">
        <ns0:f>IF($F816="","",IF(INDEX('販売記録'!$C$5:$C$1004,$F816)="","",INDEX('販売記録'!$C$5:$C$1004,$F816)))</ns0:f>
        <ns0:v/>
      </ns0:c>
      <ns0:c r="D816" s="8" t="str">
        <ns0:f>IF($F816="","",IF(INDEX('販売記録'!$D$5:$D$1004,$F816)="","",INDEX('販売記録'!$D$5:$D$1004,$F816)))</ns0:f>
        <ns0:v/>
      </ns0:c>
      <ns0:c r="E816" s="12" t="str">
        <ns0:f>IF(OR(A816="",B816=""),"",MAX(0,TODAY()-A816))</ns0:f>
        <ns0:v/>
      </ns0:c>
      <ns0:c r="F816" s="9" t="str">
        <ns0:f>IFERROR(MATCH(ROW()-4,'販売記録'!$L$5:$L$1004,0),"")</ns0:f>
        <ns0:v/>
      </ns0:c>
    </ns0:row>
    <ns0:row r="817">
      <ns0:c r="A817" s="11" t="str">
        <ns0:f>IF($F817="","",IF(INDEX('販売記録'!$K$5:$K$1004,$F817)="","",INDEX('販売記録'!$K$5:$K$1004,$F817)))</ns0:f>
        <ns0:v/>
      </ns0:c>
      <ns0:c r="B817" s="9" t="str">
        <ns0:f>IF($F817="","",IF(INDEX('販売記録'!$B$5:$B$1004,$F817)="","",INDEX('販売記録'!$B$5:$B$1004,$F817)))</ns0:f>
        <ns0:v/>
      </ns0:c>
      <ns0:c r="C817" s="9" t="str">
        <ns0:f>IF($F817="","",IF(INDEX('販売記録'!$C$5:$C$1004,$F817)="","",INDEX('販売記録'!$C$5:$C$1004,$F817)))</ns0:f>
        <ns0:v/>
      </ns0:c>
      <ns0:c r="D817" s="8" t="str">
        <ns0:f>IF($F817="","",IF(INDEX('販売記録'!$D$5:$D$1004,$F817)="","",INDEX('販売記録'!$D$5:$D$1004,$F817)))</ns0:f>
        <ns0:v/>
      </ns0:c>
      <ns0:c r="E817" s="12" t="str">
        <ns0:f>IF(OR(A817="",B817=""),"",MAX(0,TODAY()-A817))</ns0:f>
        <ns0:v/>
      </ns0:c>
      <ns0:c r="F817" s="9" t="str">
        <ns0:f>IFERROR(MATCH(ROW()-4,'販売記録'!$L$5:$L$1004,0),"")</ns0:f>
        <ns0:v/>
      </ns0:c>
    </ns0:row>
    <ns0:row r="818">
      <ns0:c r="A818" s="11" t="str">
        <ns0:f>IF($F818="","",IF(INDEX('販売記録'!$K$5:$K$1004,$F818)="","",INDEX('販売記録'!$K$5:$K$1004,$F818)))</ns0:f>
        <ns0:v/>
      </ns0:c>
      <ns0:c r="B818" s="9" t="str">
        <ns0:f>IF($F818="","",IF(INDEX('販売記録'!$B$5:$B$1004,$F818)="","",INDEX('販売記録'!$B$5:$B$1004,$F818)))</ns0:f>
        <ns0:v/>
      </ns0:c>
      <ns0:c r="C818" s="9" t="str">
        <ns0:f>IF($F818="","",IF(INDEX('販売記録'!$C$5:$C$1004,$F818)="","",INDEX('販売記録'!$C$5:$C$1004,$F818)))</ns0:f>
        <ns0:v/>
      </ns0:c>
      <ns0:c r="D818" s="8" t="str">
        <ns0:f>IF($F818="","",IF(INDEX('販売記録'!$D$5:$D$1004,$F818)="","",INDEX('販売記録'!$D$5:$D$1004,$F818)))</ns0:f>
        <ns0:v/>
      </ns0:c>
      <ns0:c r="E818" s="12" t="str">
        <ns0:f>IF(OR(A818="",B818=""),"",MAX(0,TODAY()-A818))</ns0:f>
        <ns0:v/>
      </ns0:c>
      <ns0:c r="F818" s="9" t="str">
        <ns0:f>IFERROR(MATCH(ROW()-4,'販売記録'!$L$5:$L$1004,0),"")</ns0:f>
        <ns0:v/>
      </ns0:c>
    </ns0:row>
    <ns0:row r="819">
      <ns0:c r="A819" s="11" t="str">
        <ns0:f>IF($F819="","",IF(INDEX('販売記録'!$K$5:$K$1004,$F819)="","",INDEX('販売記録'!$K$5:$K$1004,$F819)))</ns0:f>
        <ns0:v/>
      </ns0:c>
      <ns0:c r="B819" s="9" t="str">
        <ns0:f>IF($F819="","",IF(INDEX('販売記録'!$B$5:$B$1004,$F819)="","",INDEX('販売記録'!$B$5:$B$1004,$F819)))</ns0:f>
        <ns0:v/>
      </ns0:c>
      <ns0:c r="C819" s="9" t="str">
        <ns0:f>IF($F819="","",IF(INDEX('販売記録'!$C$5:$C$1004,$F819)="","",INDEX('販売記録'!$C$5:$C$1004,$F819)))</ns0:f>
        <ns0:v/>
      </ns0:c>
      <ns0:c r="D819" s="8" t="str">
        <ns0:f>IF($F819="","",IF(INDEX('販売記録'!$D$5:$D$1004,$F819)="","",INDEX('販売記録'!$D$5:$D$1004,$F819)))</ns0:f>
        <ns0:v/>
      </ns0:c>
      <ns0:c r="E819" s="12" t="str">
        <ns0:f>IF(OR(A819="",B819=""),"",MAX(0,TODAY()-A819))</ns0:f>
        <ns0:v/>
      </ns0:c>
      <ns0:c r="F819" s="9" t="str">
        <ns0:f>IFERROR(MATCH(ROW()-4,'販売記録'!$L$5:$L$1004,0),"")</ns0:f>
        <ns0:v/>
      </ns0:c>
    </ns0:row>
    <ns0:row r="820">
      <ns0:c r="A820" s="11" t="str">
        <ns0:f>IF($F820="","",IF(INDEX('販売記録'!$K$5:$K$1004,$F820)="","",INDEX('販売記録'!$K$5:$K$1004,$F820)))</ns0:f>
        <ns0:v/>
      </ns0:c>
      <ns0:c r="B820" s="9" t="str">
        <ns0:f>IF($F820="","",IF(INDEX('販売記録'!$B$5:$B$1004,$F820)="","",INDEX('販売記録'!$B$5:$B$1004,$F820)))</ns0:f>
        <ns0:v/>
      </ns0:c>
      <ns0:c r="C820" s="9" t="str">
        <ns0:f>IF($F820="","",IF(INDEX('販売記録'!$C$5:$C$1004,$F820)="","",INDEX('販売記録'!$C$5:$C$1004,$F820)))</ns0:f>
        <ns0:v/>
      </ns0:c>
      <ns0:c r="D820" s="8" t="str">
        <ns0:f>IF($F820="","",IF(INDEX('販売記録'!$D$5:$D$1004,$F820)="","",INDEX('販売記録'!$D$5:$D$1004,$F820)))</ns0:f>
        <ns0:v/>
      </ns0:c>
      <ns0:c r="E820" s="12" t="str">
        <ns0:f>IF(OR(A820="",B820=""),"",MAX(0,TODAY()-A820))</ns0:f>
        <ns0:v/>
      </ns0:c>
      <ns0:c r="F820" s="9" t="str">
        <ns0:f>IFERROR(MATCH(ROW()-4,'販売記録'!$L$5:$L$1004,0),"")</ns0:f>
        <ns0:v/>
      </ns0:c>
    </ns0:row>
    <ns0:row r="821">
      <ns0:c r="A821" s="11" t="str">
        <ns0:f>IF($F821="","",IF(INDEX('販売記録'!$K$5:$K$1004,$F821)="","",INDEX('販売記録'!$K$5:$K$1004,$F821)))</ns0:f>
        <ns0:v/>
      </ns0:c>
      <ns0:c r="B821" s="9" t="str">
        <ns0:f>IF($F821="","",IF(INDEX('販売記録'!$B$5:$B$1004,$F821)="","",INDEX('販売記録'!$B$5:$B$1004,$F821)))</ns0:f>
        <ns0:v/>
      </ns0:c>
      <ns0:c r="C821" s="9" t="str">
        <ns0:f>IF($F821="","",IF(INDEX('販売記録'!$C$5:$C$1004,$F821)="","",INDEX('販売記録'!$C$5:$C$1004,$F821)))</ns0:f>
        <ns0:v/>
      </ns0:c>
      <ns0:c r="D821" s="8" t="str">
        <ns0:f>IF($F821="","",IF(INDEX('販売記録'!$D$5:$D$1004,$F821)="","",INDEX('販売記録'!$D$5:$D$1004,$F821)))</ns0:f>
        <ns0:v/>
      </ns0:c>
      <ns0:c r="E821" s="12" t="str">
        <ns0:f>IF(OR(A821="",B821=""),"",MAX(0,TODAY()-A821))</ns0:f>
        <ns0:v/>
      </ns0:c>
      <ns0:c r="F821" s="9" t="str">
        <ns0:f>IFERROR(MATCH(ROW()-4,'販売記録'!$L$5:$L$1004,0),"")</ns0:f>
        <ns0:v/>
      </ns0:c>
    </ns0:row>
    <ns0:row r="822">
      <ns0:c r="A822" s="11" t="str">
        <ns0:f>IF($F822="","",IF(INDEX('販売記録'!$K$5:$K$1004,$F822)="","",INDEX('販売記録'!$K$5:$K$1004,$F822)))</ns0:f>
        <ns0:v/>
      </ns0:c>
      <ns0:c r="B822" s="9" t="str">
        <ns0:f>IF($F822="","",IF(INDEX('販売記録'!$B$5:$B$1004,$F822)="","",INDEX('販売記録'!$B$5:$B$1004,$F822)))</ns0:f>
        <ns0:v/>
      </ns0:c>
      <ns0:c r="C822" s="9" t="str">
        <ns0:f>IF($F822="","",IF(INDEX('販売記録'!$C$5:$C$1004,$F822)="","",INDEX('販売記録'!$C$5:$C$1004,$F822)))</ns0:f>
        <ns0:v/>
      </ns0:c>
      <ns0:c r="D822" s="8" t="str">
        <ns0:f>IF($F822="","",IF(INDEX('販売記録'!$D$5:$D$1004,$F822)="","",INDEX('販売記録'!$D$5:$D$1004,$F822)))</ns0:f>
        <ns0:v/>
      </ns0:c>
      <ns0:c r="E822" s="12" t="str">
        <ns0:f>IF(OR(A822="",B822=""),"",MAX(0,TODAY()-A822))</ns0:f>
        <ns0:v/>
      </ns0:c>
      <ns0:c r="F822" s="9" t="str">
        <ns0:f>IFERROR(MATCH(ROW()-4,'販売記録'!$L$5:$L$1004,0),"")</ns0:f>
        <ns0:v/>
      </ns0:c>
    </ns0:row>
    <ns0:row r="823">
      <ns0:c r="A823" s="11" t="str">
        <ns0:f>IF($F823="","",IF(INDEX('販売記録'!$K$5:$K$1004,$F823)="","",INDEX('販売記録'!$K$5:$K$1004,$F823)))</ns0:f>
        <ns0:v/>
      </ns0:c>
      <ns0:c r="B823" s="9" t="str">
        <ns0:f>IF($F823="","",IF(INDEX('販売記録'!$B$5:$B$1004,$F823)="","",INDEX('販売記録'!$B$5:$B$1004,$F823)))</ns0:f>
        <ns0:v/>
      </ns0:c>
      <ns0:c r="C823" s="9" t="str">
        <ns0:f>IF($F823="","",IF(INDEX('販売記録'!$C$5:$C$1004,$F823)="","",INDEX('販売記録'!$C$5:$C$1004,$F823)))</ns0:f>
        <ns0:v/>
      </ns0:c>
      <ns0:c r="D823" s="8" t="str">
        <ns0:f>IF($F823="","",IF(INDEX('販売記録'!$D$5:$D$1004,$F823)="","",INDEX('販売記録'!$D$5:$D$1004,$F823)))</ns0:f>
        <ns0:v/>
      </ns0:c>
      <ns0:c r="E823" s="12" t="str">
        <ns0:f>IF(OR(A823="",B823=""),"",MAX(0,TODAY()-A823))</ns0:f>
        <ns0:v/>
      </ns0:c>
      <ns0:c r="F823" s="9" t="str">
        <ns0:f>IFERROR(MATCH(ROW()-4,'販売記録'!$L$5:$L$1004,0),"")</ns0:f>
        <ns0:v/>
      </ns0:c>
    </ns0:row>
    <ns0:row r="824">
      <ns0:c r="A824" s="11" t="str">
        <ns0:f>IF($F824="","",IF(INDEX('販売記録'!$K$5:$K$1004,$F824)="","",INDEX('販売記録'!$K$5:$K$1004,$F824)))</ns0:f>
        <ns0:v/>
      </ns0:c>
      <ns0:c r="B824" s="9" t="str">
        <ns0:f>IF($F824="","",IF(INDEX('販売記録'!$B$5:$B$1004,$F824)="","",INDEX('販売記録'!$B$5:$B$1004,$F824)))</ns0:f>
        <ns0:v/>
      </ns0:c>
      <ns0:c r="C824" s="9" t="str">
        <ns0:f>IF($F824="","",IF(INDEX('販売記録'!$C$5:$C$1004,$F824)="","",INDEX('販売記録'!$C$5:$C$1004,$F824)))</ns0:f>
        <ns0:v/>
      </ns0:c>
      <ns0:c r="D824" s="8" t="str">
        <ns0:f>IF($F824="","",IF(INDEX('販売記録'!$D$5:$D$1004,$F824)="","",INDEX('販売記録'!$D$5:$D$1004,$F824)))</ns0:f>
        <ns0:v/>
      </ns0:c>
      <ns0:c r="E824" s="12" t="str">
        <ns0:f>IF(OR(A824="",B824=""),"",MAX(0,TODAY()-A824))</ns0:f>
        <ns0:v/>
      </ns0:c>
      <ns0:c r="F824" s="9" t="str">
        <ns0:f>IFERROR(MATCH(ROW()-4,'販売記録'!$L$5:$L$1004,0),"")</ns0:f>
        <ns0:v/>
      </ns0:c>
    </ns0:row>
    <ns0:row r="825">
      <ns0:c r="A825" s="11" t="str">
        <ns0:f>IF($F825="","",IF(INDEX('販売記録'!$K$5:$K$1004,$F825)="","",INDEX('販売記録'!$K$5:$K$1004,$F825)))</ns0:f>
        <ns0:v/>
      </ns0:c>
      <ns0:c r="B825" s="9" t="str">
        <ns0:f>IF($F825="","",IF(INDEX('販売記録'!$B$5:$B$1004,$F825)="","",INDEX('販売記録'!$B$5:$B$1004,$F825)))</ns0:f>
        <ns0:v/>
      </ns0:c>
      <ns0:c r="C825" s="9" t="str">
        <ns0:f>IF($F825="","",IF(INDEX('販売記録'!$C$5:$C$1004,$F825)="","",INDEX('販売記録'!$C$5:$C$1004,$F825)))</ns0:f>
        <ns0:v/>
      </ns0:c>
      <ns0:c r="D825" s="8" t="str">
        <ns0:f>IF($F825="","",IF(INDEX('販売記録'!$D$5:$D$1004,$F825)="","",INDEX('販売記録'!$D$5:$D$1004,$F825)))</ns0:f>
        <ns0:v/>
      </ns0:c>
      <ns0:c r="E825" s="12" t="str">
        <ns0:f>IF(OR(A825="",B825=""),"",MAX(0,TODAY()-A825))</ns0:f>
        <ns0:v/>
      </ns0:c>
      <ns0:c r="F825" s="9" t="str">
        <ns0:f>IFERROR(MATCH(ROW()-4,'販売記録'!$L$5:$L$1004,0),"")</ns0:f>
        <ns0:v/>
      </ns0:c>
    </ns0:row>
    <ns0:row r="826">
      <ns0:c r="A826" s="11" t="str">
        <ns0:f>IF($F826="","",IF(INDEX('販売記録'!$K$5:$K$1004,$F826)="","",INDEX('販売記録'!$K$5:$K$1004,$F826)))</ns0:f>
        <ns0:v/>
      </ns0:c>
      <ns0:c r="B826" s="9" t="str">
        <ns0:f>IF($F826="","",IF(INDEX('販売記録'!$B$5:$B$1004,$F826)="","",INDEX('販売記録'!$B$5:$B$1004,$F826)))</ns0:f>
        <ns0:v/>
      </ns0:c>
      <ns0:c r="C826" s="9" t="str">
        <ns0:f>IF($F826="","",IF(INDEX('販売記録'!$C$5:$C$1004,$F826)="","",INDEX('販売記録'!$C$5:$C$1004,$F826)))</ns0:f>
        <ns0:v/>
      </ns0:c>
      <ns0:c r="D826" s="8" t="str">
        <ns0:f>IF($F826="","",IF(INDEX('販売記録'!$D$5:$D$1004,$F826)="","",INDEX('販売記録'!$D$5:$D$1004,$F826)))</ns0:f>
        <ns0:v/>
      </ns0:c>
      <ns0:c r="E826" s="12" t="str">
        <ns0:f>IF(OR(A826="",B826=""),"",MAX(0,TODAY()-A826))</ns0:f>
        <ns0:v/>
      </ns0:c>
      <ns0:c r="F826" s="9" t="str">
        <ns0:f>IFERROR(MATCH(ROW()-4,'販売記録'!$L$5:$L$1004,0),"")</ns0:f>
        <ns0:v/>
      </ns0:c>
    </ns0:row>
    <ns0:row r="827">
      <ns0:c r="A827" s="11" t="str">
        <ns0:f>IF($F827="","",IF(INDEX('販売記録'!$K$5:$K$1004,$F827)="","",INDEX('販売記録'!$K$5:$K$1004,$F827)))</ns0:f>
        <ns0:v/>
      </ns0:c>
      <ns0:c r="B827" s="9" t="str">
        <ns0:f>IF($F827="","",IF(INDEX('販売記録'!$B$5:$B$1004,$F827)="","",INDEX('販売記録'!$B$5:$B$1004,$F827)))</ns0:f>
        <ns0:v/>
      </ns0:c>
      <ns0:c r="C827" s="9" t="str">
        <ns0:f>IF($F827="","",IF(INDEX('販売記録'!$C$5:$C$1004,$F827)="","",INDEX('販売記録'!$C$5:$C$1004,$F827)))</ns0:f>
        <ns0:v/>
      </ns0:c>
      <ns0:c r="D827" s="8" t="str">
        <ns0:f>IF($F827="","",IF(INDEX('販売記録'!$D$5:$D$1004,$F827)="","",INDEX('販売記録'!$D$5:$D$1004,$F827)))</ns0:f>
        <ns0:v/>
      </ns0:c>
      <ns0:c r="E827" s="12" t="str">
        <ns0:f>IF(OR(A827="",B827=""),"",MAX(0,TODAY()-A827))</ns0:f>
        <ns0:v/>
      </ns0:c>
      <ns0:c r="F827" s="9" t="str">
        <ns0:f>IFERROR(MATCH(ROW()-4,'販売記録'!$L$5:$L$1004,0),"")</ns0:f>
        <ns0:v/>
      </ns0:c>
    </ns0:row>
    <ns0:row r="828">
      <ns0:c r="A828" s="11" t="str">
        <ns0:f>IF($F828="","",IF(INDEX('販売記録'!$K$5:$K$1004,$F828)="","",INDEX('販売記録'!$K$5:$K$1004,$F828)))</ns0:f>
        <ns0:v/>
      </ns0:c>
      <ns0:c r="B828" s="9" t="str">
        <ns0:f>IF($F828="","",IF(INDEX('販売記録'!$B$5:$B$1004,$F828)="","",INDEX('販売記録'!$B$5:$B$1004,$F828)))</ns0:f>
        <ns0:v/>
      </ns0:c>
      <ns0:c r="C828" s="9" t="str">
        <ns0:f>IF($F828="","",IF(INDEX('販売記録'!$C$5:$C$1004,$F828)="","",INDEX('販売記録'!$C$5:$C$1004,$F828)))</ns0:f>
        <ns0:v/>
      </ns0:c>
      <ns0:c r="D828" s="8" t="str">
        <ns0:f>IF($F828="","",IF(INDEX('販売記録'!$D$5:$D$1004,$F828)="","",INDEX('販売記録'!$D$5:$D$1004,$F828)))</ns0:f>
        <ns0:v/>
      </ns0:c>
      <ns0:c r="E828" s="12" t="str">
        <ns0:f>IF(OR(A828="",B828=""),"",MAX(0,TODAY()-A828))</ns0:f>
        <ns0:v/>
      </ns0:c>
      <ns0:c r="F828" s="9" t="str">
        <ns0:f>IFERROR(MATCH(ROW()-4,'販売記録'!$L$5:$L$1004,0),"")</ns0:f>
        <ns0:v/>
      </ns0:c>
    </ns0:row>
    <ns0:row r="829">
      <ns0:c r="A829" s="11" t="str">
        <ns0:f>IF($F829="","",IF(INDEX('販売記録'!$K$5:$K$1004,$F829)="","",INDEX('販売記録'!$K$5:$K$1004,$F829)))</ns0:f>
        <ns0:v/>
      </ns0:c>
      <ns0:c r="B829" s="9" t="str">
        <ns0:f>IF($F829="","",IF(INDEX('販売記録'!$B$5:$B$1004,$F829)="","",INDEX('販売記録'!$B$5:$B$1004,$F829)))</ns0:f>
        <ns0:v/>
      </ns0:c>
      <ns0:c r="C829" s="9" t="str">
        <ns0:f>IF($F829="","",IF(INDEX('販売記録'!$C$5:$C$1004,$F829)="","",INDEX('販売記録'!$C$5:$C$1004,$F829)))</ns0:f>
        <ns0:v/>
      </ns0:c>
      <ns0:c r="D829" s="8" t="str">
        <ns0:f>IF($F829="","",IF(INDEX('販売記録'!$D$5:$D$1004,$F829)="","",INDEX('販売記録'!$D$5:$D$1004,$F829)))</ns0:f>
        <ns0:v/>
      </ns0:c>
      <ns0:c r="E829" s="12" t="str">
        <ns0:f>IF(OR(A829="",B829=""),"",MAX(0,TODAY()-A829))</ns0:f>
        <ns0:v/>
      </ns0:c>
      <ns0:c r="F829" s="9" t="str">
        <ns0:f>IFERROR(MATCH(ROW()-4,'販売記録'!$L$5:$L$1004,0),"")</ns0:f>
        <ns0:v/>
      </ns0:c>
    </ns0:row>
    <ns0:row r="830">
      <ns0:c r="A830" s="11" t="str">
        <ns0:f>IF($F830="","",IF(INDEX('販売記録'!$K$5:$K$1004,$F830)="","",INDEX('販売記録'!$K$5:$K$1004,$F830)))</ns0:f>
        <ns0:v/>
      </ns0:c>
      <ns0:c r="B830" s="9" t="str">
        <ns0:f>IF($F830="","",IF(INDEX('販売記録'!$B$5:$B$1004,$F830)="","",INDEX('販売記録'!$B$5:$B$1004,$F830)))</ns0:f>
        <ns0:v/>
      </ns0:c>
      <ns0:c r="C830" s="9" t="str">
        <ns0:f>IF($F830="","",IF(INDEX('販売記録'!$C$5:$C$1004,$F830)="","",INDEX('販売記録'!$C$5:$C$1004,$F830)))</ns0:f>
        <ns0:v/>
      </ns0:c>
      <ns0:c r="D830" s="8" t="str">
        <ns0:f>IF($F830="","",IF(INDEX('販売記録'!$D$5:$D$1004,$F830)="","",INDEX('販売記録'!$D$5:$D$1004,$F830)))</ns0:f>
        <ns0:v/>
      </ns0:c>
      <ns0:c r="E830" s="12" t="str">
        <ns0:f>IF(OR(A830="",B830=""),"",MAX(0,TODAY()-A830))</ns0:f>
        <ns0:v/>
      </ns0:c>
      <ns0:c r="F830" s="9" t="str">
        <ns0:f>IFERROR(MATCH(ROW()-4,'販売記録'!$L$5:$L$1004,0),"")</ns0:f>
        <ns0:v/>
      </ns0:c>
    </ns0:row>
    <ns0:row r="831">
      <ns0:c r="A831" s="11" t="str">
        <ns0:f>IF($F831="","",IF(INDEX('販売記録'!$K$5:$K$1004,$F831)="","",INDEX('販売記録'!$K$5:$K$1004,$F831)))</ns0:f>
        <ns0:v/>
      </ns0:c>
      <ns0:c r="B831" s="9" t="str">
        <ns0:f>IF($F831="","",IF(INDEX('販売記録'!$B$5:$B$1004,$F831)="","",INDEX('販売記録'!$B$5:$B$1004,$F831)))</ns0:f>
        <ns0:v/>
      </ns0:c>
      <ns0:c r="C831" s="9" t="str">
        <ns0:f>IF($F831="","",IF(INDEX('販売記録'!$C$5:$C$1004,$F831)="","",INDEX('販売記録'!$C$5:$C$1004,$F831)))</ns0:f>
        <ns0:v/>
      </ns0:c>
      <ns0:c r="D831" s="8" t="str">
        <ns0:f>IF($F831="","",IF(INDEX('販売記録'!$D$5:$D$1004,$F831)="","",INDEX('販売記録'!$D$5:$D$1004,$F831)))</ns0:f>
        <ns0:v/>
      </ns0:c>
      <ns0:c r="E831" s="12" t="str">
        <ns0:f>IF(OR(A831="",B831=""),"",MAX(0,TODAY()-A831))</ns0:f>
        <ns0:v/>
      </ns0:c>
      <ns0:c r="F831" s="9" t="str">
        <ns0:f>IFERROR(MATCH(ROW()-4,'販売記録'!$L$5:$L$1004,0),"")</ns0:f>
        <ns0:v/>
      </ns0:c>
    </ns0:row>
    <ns0:row r="832">
      <ns0:c r="A832" s="11" t="str">
        <ns0:f>IF($F832="","",IF(INDEX('販売記録'!$K$5:$K$1004,$F832)="","",INDEX('販売記録'!$K$5:$K$1004,$F832)))</ns0:f>
        <ns0:v/>
      </ns0:c>
      <ns0:c r="B832" s="9" t="str">
        <ns0:f>IF($F832="","",IF(INDEX('販売記録'!$B$5:$B$1004,$F832)="","",INDEX('販売記録'!$B$5:$B$1004,$F832)))</ns0:f>
        <ns0:v/>
      </ns0:c>
      <ns0:c r="C832" s="9" t="str">
        <ns0:f>IF($F832="","",IF(INDEX('販売記録'!$C$5:$C$1004,$F832)="","",INDEX('販売記録'!$C$5:$C$1004,$F832)))</ns0:f>
        <ns0:v/>
      </ns0:c>
      <ns0:c r="D832" s="8" t="str">
        <ns0:f>IF($F832="","",IF(INDEX('販売記録'!$D$5:$D$1004,$F832)="","",INDEX('販売記録'!$D$5:$D$1004,$F832)))</ns0:f>
        <ns0:v/>
      </ns0:c>
      <ns0:c r="E832" s="12" t="str">
        <ns0:f>IF(OR(A832="",B832=""),"",MAX(0,TODAY()-A832))</ns0:f>
        <ns0:v/>
      </ns0:c>
      <ns0:c r="F832" s="9" t="str">
        <ns0:f>IFERROR(MATCH(ROW()-4,'販売記録'!$L$5:$L$1004,0),"")</ns0:f>
        <ns0:v/>
      </ns0:c>
    </ns0:row>
    <ns0:row r="833">
      <ns0:c r="A833" s="11" t="str">
        <ns0:f>IF($F833="","",IF(INDEX('販売記録'!$K$5:$K$1004,$F833)="","",INDEX('販売記録'!$K$5:$K$1004,$F833)))</ns0:f>
        <ns0:v/>
      </ns0:c>
      <ns0:c r="B833" s="9" t="str">
        <ns0:f>IF($F833="","",IF(INDEX('販売記録'!$B$5:$B$1004,$F833)="","",INDEX('販売記録'!$B$5:$B$1004,$F833)))</ns0:f>
        <ns0:v/>
      </ns0:c>
      <ns0:c r="C833" s="9" t="str">
        <ns0:f>IF($F833="","",IF(INDEX('販売記録'!$C$5:$C$1004,$F833)="","",INDEX('販売記録'!$C$5:$C$1004,$F833)))</ns0:f>
        <ns0:v/>
      </ns0:c>
      <ns0:c r="D833" s="8" t="str">
        <ns0:f>IF($F833="","",IF(INDEX('販売記録'!$D$5:$D$1004,$F833)="","",INDEX('販売記録'!$D$5:$D$1004,$F833)))</ns0:f>
        <ns0:v/>
      </ns0:c>
      <ns0:c r="E833" s="12" t="str">
        <ns0:f>IF(OR(A833="",B833=""),"",MAX(0,TODAY()-A833))</ns0:f>
        <ns0:v/>
      </ns0:c>
      <ns0:c r="F833" s="9" t="str">
        <ns0:f>IFERROR(MATCH(ROW()-4,'販売記録'!$L$5:$L$1004,0),"")</ns0:f>
        <ns0:v/>
      </ns0:c>
    </ns0:row>
    <ns0:row r="834">
      <ns0:c r="A834" s="11" t="str">
        <ns0:f>IF($F834="","",IF(INDEX('販売記録'!$K$5:$K$1004,$F834)="","",INDEX('販売記録'!$K$5:$K$1004,$F834)))</ns0:f>
        <ns0:v/>
      </ns0:c>
      <ns0:c r="B834" s="9" t="str">
        <ns0:f>IF($F834="","",IF(INDEX('販売記録'!$B$5:$B$1004,$F834)="","",INDEX('販売記録'!$B$5:$B$1004,$F834)))</ns0:f>
        <ns0:v/>
      </ns0:c>
      <ns0:c r="C834" s="9" t="str">
        <ns0:f>IF($F834="","",IF(INDEX('販売記録'!$C$5:$C$1004,$F834)="","",INDEX('販売記録'!$C$5:$C$1004,$F834)))</ns0:f>
        <ns0:v/>
      </ns0:c>
      <ns0:c r="D834" s="8" t="str">
        <ns0:f>IF($F834="","",IF(INDEX('販売記録'!$D$5:$D$1004,$F834)="","",INDEX('販売記録'!$D$5:$D$1004,$F834)))</ns0:f>
        <ns0:v/>
      </ns0:c>
      <ns0:c r="E834" s="12" t="str">
        <ns0:f>IF(OR(A834="",B834=""),"",MAX(0,TODAY()-A834))</ns0:f>
        <ns0:v/>
      </ns0:c>
      <ns0:c r="F834" s="9" t="str">
        <ns0:f>IFERROR(MATCH(ROW()-4,'販売記録'!$L$5:$L$1004,0),"")</ns0:f>
        <ns0:v/>
      </ns0:c>
    </ns0:row>
    <ns0:row r="835">
      <ns0:c r="A835" s="11" t="str">
        <ns0:f>IF($F835="","",IF(INDEX('販売記録'!$K$5:$K$1004,$F835)="","",INDEX('販売記録'!$K$5:$K$1004,$F835)))</ns0:f>
        <ns0:v/>
      </ns0:c>
      <ns0:c r="B835" s="9" t="str">
        <ns0:f>IF($F835="","",IF(INDEX('販売記録'!$B$5:$B$1004,$F835)="","",INDEX('販売記録'!$B$5:$B$1004,$F835)))</ns0:f>
        <ns0:v/>
      </ns0:c>
      <ns0:c r="C835" s="9" t="str">
        <ns0:f>IF($F835="","",IF(INDEX('販売記録'!$C$5:$C$1004,$F835)="","",INDEX('販売記録'!$C$5:$C$1004,$F835)))</ns0:f>
        <ns0:v/>
      </ns0:c>
      <ns0:c r="D835" s="8" t="str">
        <ns0:f>IF($F835="","",IF(INDEX('販売記録'!$D$5:$D$1004,$F835)="","",INDEX('販売記録'!$D$5:$D$1004,$F835)))</ns0:f>
        <ns0:v/>
      </ns0:c>
      <ns0:c r="E835" s="12" t="str">
        <ns0:f>IF(OR(A835="",B835=""),"",MAX(0,TODAY()-A835))</ns0:f>
        <ns0:v/>
      </ns0:c>
      <ns0:c r="F835" s="9" t="str">
        <ns0:f>IFERROR(MATCH(ROW()-4,'販売記録'!$L$5:$L$1004,0),"")</ns0:f>
        <ns0:v/>
      </ns0:c>
    </ns0:row>
    <ns0:row r="836">
      <ns0:c r="A836" s="11" t="str">
        <ns0:f>IF($F836="","",IF(INDEX('販売記録'!$K$5:$K$1004,$F836)="","",INDEX('販売記録'!$K$5:$K$1004,$F836)))</ns0:f>
        <ns0:v/>
      </ns0:c>
      <ns0:c r="B836" s="9" t="str">
        <ns0:f>IF($F836="","",IF(INDEX('販売記録'!$B$5:$B$1004,$F836)="","",INDEX('販売記録'!$B$5:$B$1004,$F836)))</ns0:f>
        <ns0:v/>
      </ns0:c>
      <ns0:c r="C836" s="9" t="str">
        <ns0:f>IF($F836="","",IF(INDEX('販売記録'!$C$5:$C$1004,$F836)="","",INDEX('販売記録'!$C$5:$C$1004,$F836)))</ns0:f>
        <ns0:v/>
      </ns0:c>
      <ns0:c r="D836" s="8" t="str">
        <ns0:f>IF($F836="","",IF(INDEX('販売記録'!$D$5:$D$1004,$F836)="","",INDEX('販売記録'!$D$5:$D$1004,$F836)))</ns0:f>
        <ns0:v/>
      </ns0:c>
      <ns0:c r="E836" s="12" t="str">
        <ns0:f>IF(OR(A836="",B836=""),"",MAX(0,TODAY()-A836))</ns0:f>
        <ns0:v/>
      </ns0:c>
      <ns0:c r="F836" s="9" t="str">
        <ns0:f>IFERROR(MATCH(ROW()-4,'販売記録'!$L$5:$L$1004,0),"")</ns0:f>
        <ns0:v/>
      </ns0:c>
    </ns0:row>
    <ns0:row r="837">
      <ns0:c r="A837" s="11" t="str">
        <ns0:f>IF($F837="","",IF(INDEX('販売記録'!$K$5:$K$1004,$F837)="","",INDEX('販売記録'!$K$5:$K$1004,$F837)))</ns0:f>
        <ns0:v/>
      </ns0:c>
      <ns0:c r="B837" s="9" t="str">
        <ns0:f>IF($F837="","",IF(INDEX('販売記録'!$B$5:$B$1004,$F837)="","",INDEX('販売記録'!$B$5:$B$1004,$F837)))</ns0:f>
        <ns0:v/>
      </ns0:c>
      <ns0:c r="C837" s="9" t="str">
        <ns0:f>IF($F837="","",IF(INDEX('販売記録'!$C$5:$C$1004,$F837)="","",INDEX('販売記録'!$C$5:$C$1004,$F837)))</ns0:f>
        <ns0:v/>
      </ns0:c>
      <ns0:c r="D837" s="8" t="str">
        <ns0:f>IF($F837="","",IF(INDEX('販売記録'!$D$5:$D$1004,$F837)="","",INDEX('販売記録'!$D$5:$D$1004,$F837)))</ns0:f>
        <ns0:v/>
      </ns0:c>
      <ns0:c r="E837" s="12" t="str">
        <ns0:f>IF(OR(A837="",B837=""),"",MAX(0,TODAY()-A837))</ns0:f>
        <ns0:v/>
      </ns0:c>
      <ns0:c r="F837" s="9" t="str">
        <ns0:f>IFERROR(MATCH(ROW()-4,'販売記録'!$L$5:$L$1004,0),"")</ns0:f>
        <ns0:v/>
      </ns0:c>
    </ns0:row>
    <ns0:row r="838">
      <ns0:c r="A838" s="11" t="str">
        <ns0:f>IF($F838="","",IF(INDEX('販売記録'!$K$5:$K$1004,$F838)="","",INDEX('販売記録'!$K$5:$K$1004,$F838)))</ns0:f>
        <ns0:v/>
      </ns0:c>
      <ns0:c r="B838" s="9" t="str">
        <ns0:f>IF($F838="","",IF(INDEX('販売記録'!$B$5:$B$1004,$F838)="","",INDEX('販売記録'!$B$5:$B$1004,$F838)))</ns0:f>
        <ns0:v/>
      </ns0:c>
      <ns0:c r="C838" s="9" t="str">
        <ns0:f>IF($F838="","",IF(INDEX('販売記録'!$C$5:$C$1004,$F838)="","",INDEX('販売記録'!$C$5:$C$1004,$F838)))</ns0:f>
        <ns0:v/>
      </ns0:c>
      <ns0:c r="D838" s="8" t="str">
        <ns0:f>IF($F838="","",IF(INDEX('販売記録'!$D$5:$D$1004,$F838)="","",INDEX('販売記録'!$D$5:$D$1004,$F838)))</ns0:f>
        <ns0:v/>
      </ns0:c>
      <ns0:c r="E838" s="12" t="str">
        <ns0:f>IF(OR(A838="",B838=""),"",MAX(0,TODAY()-A838))</ns0:f>
        <ns0:v/>
      </ns0:c>
      <ns0:c r="F838" s="9" t="str">
        <ns0:f>IFERROR(MATCH(ROW()-4,'販売記録'!$L$5:$L$1004,0),"")</ns0:f>
        <ns0:v/>
      </ns0:c>
    </ns0:row>
    <ns0:row r="839">
      <ns0:c r="A839" s="11" t="str">
        <ns0:f>IF($F839="","",IF(INDEX('販売記録'!$K$5:$K$1004,$F839)="","",INDEX('販売記録'!$K$5:$K$1004,$F839)))</ns0:f>
        <ns0:v/>
      </ns0:c>
      <ns0:c r="B839" s="9" t="str">
        <ns0:f>IF($F839="","",IF(INDEX('販売記録'!$B$5:$B$1004,$F839)="","",INDEX('販売記録'!$B$5:$B$1004,$F839)))</ns0:f>
        <ns0:v/>
      </ns0:c>
      <ns0:c r="C839" s="9" t="str">
        <ns0:f>IF($F839="","",IF(INDEX('販売記録'!$C$5:$C$1004,$F839)="","",INDEX('販売記録'!$C$5:$C$1004,$F839)))</ns0:f>
        <ns0:v/>
      </ns0:c>
      <ns0:c r="D839" s="8" t="str">
        <ns0:f>IF($F839="","",IF(INDEX('販売記録'!$D$5:$D$1004,$F839)="","",INDEX('販売記録'!$D$5:$D$1004,$F839)))</ns0:f>
        <ns0:v/>
      </ns0:c>
      <ns0:c r="E839" s="12" t="str">
        <ns0:f>IF(OR(A839="",B839=""),"",MAX(0,TODAY()-A839))</ns0:f>
        <ns0:v/>
      </ns0:c>
      <ns0:c r="F839" s="9" t="str">
        <ns0:f>IFERROR(MATCH(ROW()-4,'販売記録'!$L$5:$L$1004,0),"")</ns0:f>
        <ns0:v/>
      </ns0:c>
    </ns0:row>
    <ns0:row r="840">
      <ns0:c r="A840" s="11" t="str">
        <ns0:f>IF($F840="","",IF(INDEX('販売記録'!$K$5:$K$1004,$F840)="","",INDEX('販売記録'!$K$5:$K$1004,$F840)))</ns0:f>
        <ns0:v/>
      </ns0:c>
      <ns0:c r="B840" s="9" t="str">
        <ns0:f>IF($F840="","",IF(INDEX('販売記録'!$B$5:$B$1004,$F840)="","",INDEX('販売記録'!$B$5:$B$1004,$F840)))</ns0:f>
        <ns0:v/>
      </ns0:c>
      <ns0:c r="C840" s="9" t="str">
        <ns0:f>IF($F840="","",IF(INDEX('販売記録'!$C$5:$C$1004,$F840)="","",INDEX('販売記録'!$C$5:$C$1004,$F840)))</ns0:f>
        <ns0:v/>
      </ns0:c>
      <ns0:c r="D840" s="8" t="str">
        <ns0:f>IF($F840="","",IF(INDEX('販売記録'!$D$5:$D$1004,$F840)="","",INDEX('販売記録'!$D$5:$D$1004,$F840)))</ns0:f>
        <ns0:v/>
      </ns0:c>
      <ns0:c r="E840" s="12" t="str">
        <ns0:f>IF(OR(A840="",B840=""),"",MAX(0,TODAY()-A840))</ns0:f>
        <ns0:v/>
      </ns0:c>
      <ns0:c r="F840" s="9" t="str">
        <ns0:f>IFERROR(MATCH(ROW()-4,'販売記録'!$L$5:$L$1004,0),"")</ns0:f>
        <ns0:v/>
      </ns0:c>
    </ns0:row>
    <ns0:row r="841">
      <ns0:c r="A841" s="11" t="str">
        <ns0:f>IF($F841="","",IF(INDEX('販売記録'!$K$5:$K$1004,$F841)="","",INDEX('販売記録'!$K$5:$K$1004,$F841)))</ns0:f>
        <ns0:v/>
      </ns0:c>
      <ns0:c r="B841" s="9" t="str">
        <ns0:f>IF($F841="","",IF(INDEX('販売記録'!$B$5:$B$1004,$F841)="","",INDEX('販売記録'!$B$5:$B$1004,$F841)))</ns0:f>
        <ns0:v/>
      </ns0:c>
      <ns0:c r="C841" s="9" t="str">
        <ns0:f>IF($F841="","",IF(INDEX('販売記録'!$C$5:$C$1004,$F841)="","",INDEX('販売記録'!$C$5:$C$1004,$F841)))</ns0:f>
        <ns0:v/>
      </ns0:c>
      <ns0:c r="D841" s="8" t="str">
        <ns0:f>IF($F841="","",IF(INDEX('販売記録'!$D$5:$D$1004,$F841)="","",INDEX('販売記録'!$D$5:$D$1004,$F841)))</ns0:f>
        <ns0:v/>
      </ns0:c>
      <ns0:c r="E841" s="12" t="str">
        <ns0:f>IF(OR(A841="",B841=""),"",MAX(0,TODAY()-A841))</ns0:f>
        <ns0:v/>
      </ns0:c>
      <ns0:c r="F841" s="9" t="str">
        <ns0:f>IFERROR(MATCH(ROW()-4,'販売記録'!$L$5:$L$1004,0),"")</ns0:f>
        <ns0:v/>
      </ns0:c>
    </ns0:row>
    <ns0:row r="842">
      <ns0:c r="A842" s="11" t="str">
        <ns0:f>IF($F842="","",IF(INDEX('販売記録'!$K$5:$K$1004,$F842)="","",INDEX('販売記録'!$K$5:$K$1004,$F842)))</ns0:f>
        <ns0:v/>
      </ns0:c>
      <ns0:c r="B842" s="9" t="str">
        <ns0:f>IF($F842="","",IF(INDEX('販売記録'!$B$5:$B$1004,$F842)="","",INDEX('販売記録'!$B$5:$B$1004,$F842)))</ns0:f>
        <ns0:v/>
      </ns0:c>
      <ns0:c r="C842" s="9" t="str">
        <ns0:f>IF($F842="","",IF(INDEX('販売記録'!$C$5:$C$1004,$F842)="","",INDEX('販売記録'!$C$5:$C$1004,$F842)))</ns0:f>
        <ns0:v/>
      </ns0:c>
      <ns0:c r="D842" s="8" t="str">
        <ns0:f>IF($F842="","",IF(INDEX('販売記録'!$D$5:$D$1004,$F842)="","",INDEX('販売記録'!$D$5:$D$1004,$F842)))</ns0:f>
        <ns0:v/>
      </ns0:c>
      <ns0:c r="E842" s="12" t="str">
        <ns0:f>IF(OR(A842="",B842=""),"",MAX(0,TODAY()-A842))</ns0:f>
        <ns0:v/>
      </ns0:c>
      <ns0:c r="F842" s="9" t="str">
        <ns0:f>IFERROR(MATCH(ROW()-4,'販売記録'!$L$5:$L$1004,0),"")</ns0:f>
        <ns0:v/>
      </ns0:c>
    </ns0:row>
    <ns0:row r="843">
      <ns0:c r="A843" s="11" t="str">
        <ns0:f>IF($F843="","",IF(INDEX('販売記録'!$K$5:$K$1004,$F843)="","",INDEX('販売記録'!$K$5:$K$1004,$F843)))</ns0:f>
        <ns0:v/>
      </ns0:c>
      <ns0:c r="B843" s="9" t="str">
        <ns0:f>IF($F843="","",IF(INDEX('販売記録'!$B$5:$B$1004,$F843)="","",INDEX('販売記録'!$B$5:$B$1004,$F843)))</ns0:f>
        <ns0:v/>
      </ns0:c>
      <ns0:c r="C843" s="9" t="str">
        <ns0:f>IF($F843="","",IF(INDEX('販売記録'!$C$5:$C$1004,$F843)="","",INDEX('販売記録'!$C$5:$C$1004,$F843)))</ns0:f>
        <ns0:v/>
      </ns0:c>
      <ns0:c r="D843" s="8" t="str">
        <ns0:f>IF($F843="","",IF(INDEX('販売記録'!$D$5:$D$1004,$F843)="","",INDEX('販売記録'!$D$5:$D$1004,$F843)))</ns0:f>
        <ns0:v/>
      </ns0:c>
      <ns0:c r="E843" s="12" t="str">
        <ns0:f>IF(OR(A843="",B843=""),"",MAX(0,TODAY()-A843))</ns0:f>
        <ns0:v/>
      </ns0:c>
      <ns0:c r="F843" s="9" t="str">
        <ns0:f>IFERROR(MATCH(ROW()-4,'販売記録'!$L$5:$L$1004,0),"")</ns0:f>
        <ns0:v/>
      </ns0:c>
    </ns0:row>
    <ns0:row r="844">
      <ns0:c r="A844" s="11" t="str">
        <ns0:f>IF($F844="","",IF(INDEX('販売記録'!$K$5:$K$1004,$F844)="","",INDEX('販売記録'!$K$5:$K$1004,$F844)))</ns0:f>
        <ns0:v/>
      </ns0:c>
      <ns0:c r="B844" s="9" t="str">
        <ns0:f>IF($F844="","",IF(INDEX('販売記録'!$B$5:$B$1004,$F844)="","",INDEX('販売記録'!$B$5:$B$1004,$F844)))</ns0:f>
        <ns0:v/>
      </ns0:c>
      <ns0:c r="C844" s="9" t="str">
        <ns0:f>IF($F844="","",IF(INDEX('販売記録'!$C$5:$C$1004,$F844)="","",INDEX('販売記録'!$C$5:$C$1004,$F844)))</ns0:f>
        <ns0:v/>
      </ns0:c>
      <ns0:c r="D844" s="8" t="str">
        <ns0:f>IF($F844="","",IF(INDEX('販売記録'!$D$5:$D$1004,$F844)="","",INDEX('販売記録'!$D$5:$D$1004,$F844)))</ns0:f>
        <ns0:v/>
      </ns0:c>
      <ns0:c r="E844" s="12" t="str">
        <ns0:f>IF(OR(A844="",B844=""),"",MAX(0,TODAY()-A844))</ns0:f>
        <ns0:v/>
      </ns0:c>
      <ns0:c r="F844" s="9" t="str">
        <ns0:f>IFERROR(MATCH(ROW()-4,'販売記録'!$L$5:$L$1004,0),"")</ns0:f>
        <ns0:v/>
      </ns0:c>
    </ns0:row>
    <ns0:row r="845">
      <ns0:c r="A845" s="11" t="str">
        <ns0:f>IF($F845="","",IF(INDEX('販売記録'!$K$5:$K$1004,$F845)="","",INDEX('販売記録'!$K$5:$K$1004,$F845)))</ns0:f>
        <ns0:v/>
      </ns0:c>
      <ns0:c r="B845" s="9" t="str">
        <ns0:f>IF($F845="","",IF(INDEX('販売記録'!$B$5:$B$1004,$F845)="","",INDEX('販売記録'!$B$5:$B$1004,$F845)))</ns0:f>
        <ns0:v/>
      </ns0:c>
      <ns0:c r="C845" s="9" t="str">
        <ns0:f>IF($F845="","",IF(INDEX('販売記録'!$C$5:$C$1004,$F845)="","",INDEX('販売記録'!$C$5:$C$1004,$F845)))</ns0:f>
        <ns0:v/>
      </ns0:c>
      <ns0:c r="D845" s="8" t="str">
        <ns0:f>IF($F845="","",IF(INDEX('販売記録'!$D$5:$D$1004,$F845)="","",INDEX('販売記録'!$D$5:$D$1004,$F845)))</ns0:f>
        <ns0:v/>
      </ns0:c>
      <ns0:c r="E845" s="12" t="str">
        <ns0:f>IF(OR(A845="",B845=""),"",MAX(0,TODAY()-A845))</ns0:f>
        <ns0:v/>
      </ns0:c>
      <ns0:c r="F845" s="9" t="str">
        <ns0:f>IFERROR(MATCH(ROW()-4,'販売記録'!$L$5:$L$1004,0),"")</ns0:f>
        <ns0:v/>
      </ns0:c>
    </ns0:row>
    <ns0:row r="846">
      <ns0:c r="A846" s="11" t="str">
        <ns0:f>IF($F846="","",IF(INDEX('販売記録'!$K$5:$K$1004,$F846)="","",INDEX('販売記録'!$K$5:$K$1004,$F846)))</ns0:f>
        <ns0:v/>
      </ns0:c>
      <ns0:c r="B846" s="9" t="str">
        <ns0:f>IF($F846="","",IF(INDEX('販売記録'!$B$5:$B$1004,$F846)="","",INDEX('販売記録'!$B$5:$B$1004,$F846)))</ns0:f>
        <ns0:v/>
      </ns0:c>
      <ns0:c r="C846" s="9" t="str">
        <ns0:f>IF($F846="","",IF(INDEX('販売記録'!$C$5:$C$1004,$F846)="","",INDEX('販売記録'!$C$5:$C$1004,$F846)))</ns0:f>
        <ns0:v/>
      </ns0:c>
      <ns0:c r="D846" s="8" t="str">
        <ns0:f>IF($F846="","",IF(INDEX('販売記録'!$D$5:$D$1004,$F846)="","",INDEX('販売記録'!$D$5:$D$1004,$F846)))</ns0:f>
        <ns0:v/>
      </ns0:c>
      <ns0:c r="E846" s="12" t="str">
        <ns0:f>IF(OR(A846="",B846=""),"",MAX(0,TODAY()-A846))</ns0:f>
        <ns0:v/>
      </ns0:c>
      <ns0:c r="F846" s="9" t="str">
        <ns0:f>IFERROR(MATCH(ROW()-4,'販売記録'!$L$5:$L$1004,0),"")</ns0:f>
        <ns0:v/>
      </ns0:c>
    </ns0:row>
    <ns0:row r="847">
      <ns0:c r="A847" s="11" t="str">
        <ns0:f>IF($F847="","",IF(INDEX('販売記録'!$K$5:$K$1004,$F847)="","",INDEX('販売記録'!$K$5:$K$1004,$F847)))</ns0:f>
        <ns0:v/>
      </ns0:c>
      <ns0:c r="B847" s="9" t="str">
        <ns0:f>IF($F847="","",IF(INDEX('販売記録'!$B$5:$B$1004,$F847)="","",INDEX('販売記録'!$B$5:$B$1004,$F847)))</ns0:f>
        <ns0:v/>
      </ns0:c>
      <ns0:c r="C847" s="9" t="str">
        <ns0:f>IF($F847="","",IF(INDEX('販売記録'!$C$5:$C$1004,$F847)="","",INDEX('販売記録'!$C$5:$C$1004,$F847)))</ns0:f>
        <ns0:v/>
      </ns0:c>
      <ns0:c r="D847" s="8" t="str">
        <ns0:f>IF($F847="","",IF(INDEX('販売記録'!$D$5:$D$1004,$F847)="","",INDEX('販売記録'!$D$5:$D$1004,$F847)))</ns0:f>
        <ns0:v/>
      </ns0:c>
      <ns0:c r="E847" s="12" t="str">
        <ns0:f>IF(OR(A847="",B847=""),"",MAX(0,TODAY()-A847))</ns0:f>
        <ns0:v/>
      </ns0:c>
      <ns0:c r="F847" s="9" t="str">
        <ns0:f>IFERROR(MATCH(ROW()-4,'販売記録'!$L$5:$L$1004,0),"")</ns0:f>
        <ns0:v/>
      </ns0:c>
    </ns0:row>
    <ns0:row r="848">
      <ns0:c r="A848" s="11" t="str">
        <ns0:f>IF($F848="","",IF(INDEX('販売記録'!$K$5:$K$1004,$F848)="","",INDEX('販売記録'!$K$5:$K$1004,$F848)))</ns0:f>
        <ns0:v/>
      </ns0:c>
      <ns0:c r="B848" s="9" t="str">
        <ns0:f>IF($F848="","",IF(INDEX('販売記録'!$B$5:$B$1004,$F848)="","",INDEX('販売記録'!$B$5:$B$1004,$F848)))</ns0:f>
        <ns0:v/>
      </ns0:c>
      <ns0:c r="C848" s="9" t="str">
        <ns0:f>IF($F848="","",IF(INDEX('販売記録'!$C$5:$C$1004,$F848)="","",INDEX('販売記録'!$C$5:$C$1004,$F848)))</ns0:f>
        <ns0:v/>
      </ns0:c>
      <ns0:c r="D848" s="8" t="str">
        <ns0:f>IF($F848="","",IF(INDEX('販売記録'!$D$5:$D$1004,$F848)="","",INDEX('販売記録'!$D$5:$D$1004,$F848)))</ns0:f>
        <ns0:v/>
      </ns0:c>
      <ns0:c r="E848" s="12" t="str">
        <ns0:f>IF(OR(A848="",B848=""),"",MAX(0,TODAY()-A848))</ns0:f>
        <ns0:v/>
      </ns0:c>
      <ns0:c r="F848" s="9" t="str">
        <ns0:f>IFERROR(MATCH(ROW()-4,'販売記録'!$L$5:$L$1004,0),"")</ns0:f>
        <ns0:v/>
      </ns0:c>
    </ns0:row>
    <ns0:row r="849">
      <ns0:c r="A849" s="11" t="str">
        <ns0:f>IF($F849="","",IF(INDEX('販売記録'!$K$5:$K$1004,$F849)="","",INDEX('販売記録'!$K$5:$K$1004,$F849)))</ns0:f>
        <ns0:v/>
      </ns0:c>
      <ns0:c r="B849" s="9" t="str">
        <ns0:f>IF($F849="","",IF(INDEX('販売記録'!$B$5:$B$1004,$F849)="","",INDEX('販売記録'!$B$5:$B$1004,$F849)))</ns0:f>
        <ns0:v/>
      </ns0:c>
      <ns0:c r="C849" s="9" t="str">
        <ns0:f>IF($F849="","",IF(INDEX('販売記録'!$C$5:$C$1004,$F849)="","",INDEX('販売記録'!$C$5:$C$1004,$F849)))</ns0:f>
        <ns0:v/>
      </ns0:c>
      <ns0:c r="D849" s="8" t="str">
        <ns0:f>IF($F849="","",IF(INDEX('販売記録'!$D$5:$D$1004,$F849)="","",INDEX('販売記録'!$D$5:$D$1004,$F849)))</ns0:f>
        <ns0:v/>
      </ns0:c>
      <ns0:c r="E849" s="12" t="str">
        <ns0:f>IF(OR(A849="",B849=""),"",MAX(0,TODAY()-A849))</ns0:f>
        <ns0:v/>
      </ns0:c>
      <ns0:c r="F849" s="9" t="str">
        <ns0:f>IFERROR(MATCH(ROW()-4,'販売記録'!$L$5:$L$1004,0),"")</ns0:f>
        <ns0:v/>
      </ns0:c>
    </ns0:row>
    <ns0:row r="850">
      <ns0:c r="A850" s="11" t="str">
        <ns0:f>IF($F850="","",IF(INDEX('販売記録'!$K$5:$K$1004,$F850)="","",INDEX('販売記録'!$K$5:$K$1004,$F850)))</ns0:f>
        <ns0:v/>
      </ns0:c>
      <ns0:c r="B850" s="9" t="str">
        <ns0:f>IF($F850="","",IF(INDEX('販売記録'!$B$5:$B$1004,$F850)="","",INDEX('販売記録'!$B$5:$B$1004,$F850)))</ns0:f>
        <ns0:v/>
      </ns0:c>
      <ns0:c r="C850" s="9" t="str">
        <ns0:f>IF($F850="","",IF(INDEX('販売記録'!$C$5:$C$1004,$F850)="","",INDEX('販売記録'!$C$5:$C$1004,$F850)))</ns0:f>
        <ns0:v/>
      </ns0:c>
      <ns0:c r="D850" s="8" t="str">
        <ns0:f>IF($F850="","",IF(INDEX('販売記録'!$D$5:$D$1004,$F850)="","",INDEX('販売記録'!$D$5:$D$1004,$F850)))</ns0:f>
        <ns0:v/>
      </ns0:c>
      <ns0:c r="E850" s="12" t="str">
        <ns0:f>IF(OR(A850="",B850=""),"",MAX(0,TODAY()-A850))</ns0:f>
        <ns0:v/>
      </ns0:c>
      <ns0:c r="F850" s="9" t="str">
        <ns0:f>IFERROR(MATCH(ROW()-4,'販売記録'!$L$5:$L$1004,0),"")</ns0:f>
        <ns0:v/>
      </ns0:c>
    </ns0:row>
    <ns0:row r="851">
      <ns0:c r="A851" s="11" t="str">
        <ns0:f>IF($F851="","",IF(INDEX('販売記録'!$K$5:$K$1004,$F851)="","",INDEX('販売記録'!$K$5:$K$1004,$F851)))</ns0:f>
        <ns0:v/>
      </ns0:c>
      <ns0:c r="B851" s="9" t="str">
        <ns0:f>IF($F851="","",IF(INDEX('販売記録'!$B$5:$B$1004,$F851)="","",INDEX('販売記録'!$B$5:$B$1004,$F851)))</ns0:f>
        <ns0:v/>
      </ns0:c>
      <ns0:c r="C851" s="9" t="str">
        <ns0:f>IF($F851="","",IF(INDEX('販売記録'!$C$5:$C$1004,$F851)="","",INDEX('販売記録'!$C$5:$C$1004,$F851)))</ns0:f>
        <ns0:v/>
      </ns0:c>
      <ns0:c r="D851" s="8" t="str">
        <ns0:f>IF($F851="","",IF(INDEX('販売記録'!$D$5:$D$1004,$F851)="","",INDEX('販売記録'!$D$5:$D$1004,$F851)))</ns0:f>
        <ns0:v/>
      </ns0:c>
      <ns0:c r="E851" s="12" t="str">
        <ns0:f>IF(OR(A851="",B851=""),"",MAX(0,TODAY()-A851))</ns0:f>
        <ns0:v/>
      </ns0:c>
      <ns0:c r="F851" s="9" t="str">
        <ns0:f>IFERROR(MATCH(ROW()-4,'販売記録'!$L$5:$L$1004,0),"")</ns0:f>
        <ns0:v/>
      </ns0:c>
    </ns0:row>
    <ns0:row r="852">
      <ns0:c r="A852" s="11" t="str">
        <ns0:f>IF($F852="","",IF(INDEX('販売記録'!$K$5:$K$1004,$F852)="","",INDEX('販売記録'!$K$5:$K$1004,$F852)))</ns0:f>
        <ns0:v/>
      </ns0:c>
      <ns0:c r="B852" s="9" t="str">
        <ns0:f>IF($F852="","",IF(INDEX('販売記録'!$B$5:$B$1004,$F852)="","",INDEX('販売記録'!$B$5:$B$1004,$F852)))</ns0:f>
        <ns0:v/>
      </ns0:c>
      <ns0:c r="C852" s="9" t="str">
        <ns0:f>IF($F852="","",IF(INDEX('販売記録'!$C$5:$C$1004,$F852)="","",INDEX('販売記録'!$C$5:$C$1004,$F852)))</ns0:f>
        <ns0:v/>
      </ns0:c>
      <ns0:c r="D852" s="8" t="str">
        <ns0:f>IF($F852="","",IF(INDEX('販売記録'!$D$5:$D$1004,$F852)="","",INDEX('販売記録'!$D$5:$D$1004,$F852)))</ns0:f>
        <ns0:v/>
      </ns0:c>
      <ns0:c r="E852" s="12" t="str">
        <ns0:f>IF(OR(A852="",B852=""),"",MAX(0,TODAY()-A852))</ns0:f>
        <ns0:v/>
      </ns0:c>
      <ns0:c r="F852" s="9" t="str">
        <ns0:f>IFERROR(MATCH(ROW()-4,'販売記録'!$L$5:$L$1004,0),"")</ns0:f>
        <ns0:v/>
      </ns0:c>
    </ns0:row>
    <ns0:row r="853">
      <ns0:c r="A853" s="11" t="str">
        <ns0:f>IF($F853="","",IF(INDEX('販売記録'!$K$5:$K$1004,$F853)="","",INDEX('販売記録'!$K$5:$K$1004,$F853)))</ns0:f>
        <ns0:v/>
      </ns0:c>
      <ns0:c r="B853" s="9" t="str">
        <ns0:f>IF($F853="","",IF(INDEX('販売記録'!$B$5:$B$1004,$F853)="","",INDEX('販売記録'!$B$5:$B$1004,$F853)))</ns0:f>
        <ns0:v/>
      </ns0:c>
      <ns0:c r="C853" s="9" t="str">
        <ns0:f>IF($F853="","",IF(INDEX('販売記録'!$C$5:$C$1004,$F853)="","",INDEX('販売記録'!$C$5:$C$1004,$F853)))</ns0:f>
        <ns0:v/>
      </ns0:c>
      <ns0:c r="D853" s="8" t="str">
        <ns0:f>IF($F853="","",IF(INDEX('販売記録'!$D$5:$D$1004,$F853)="","",INDEX('販売記録'!$D$5:$D$1004,$F853)))</ns0:f>
        <ns0:v/>
      </ns0:c>
      <ns0:c r="E853" s="12" t="str">
        <ns0:f>IF(OR(A853="",B853=""),"",MAX(0,TODAY()-A853))</ns0:f>
        <ns0:v/>
      </ns0:c>
      <ns0:c r="F853" s="9" t="str">
        <ns0:f>IFERROR(MATCH(ROW()-4,'販売記録'!$L$5:$L$1004,0),"")</ns0:f>
        <ns0:v/>
      </ns0:c>
    </ns0:row>
    <ns0:row r="854">
      <ns0:c r="A854" s="11" t="str">
        <ns0:f>IF($F854="","",IF(INDEX('販売記録'!$K$5:$K$1004,$F854)="","",INDEX('販売記録'!$K$5:$K$1004,$F854)))</ns0:f>
        <ns0:v/>
      </ns0:c>
      <ns0:c r="B854" s="9" t="str">
        <ns0:f>IF($F854="","",IF(INDEX('販売記録'!$B$5:$B$1004,$F854)="","",INDEX('販売記録'!$B$5:$B$1004,$F854)))</ns0:f>
        <ns0:v/>
      </ns0:c>
      <ns0:c r="C854" s="9" t="str">
        <ns0:f>IF($F854="","",IF(INDEX('販売記録'!$C$5:$C$1004,$F854)="","",INDEX('販売記録'!$C$5:$C$1004,$F854)))</ns0:f>
        <ns0:v/>
      </ns0:c>
      <ns0:c r="D854" s="8" t="str">
        <ns0:f>IF($F854="","",IF(INDEX('販売記録'!$D$5:$D$1004,$F854)="","",INDEX('販売記録'!$D$5:$D$1004,$F854)))</ns0:f>
        <ns0:v/>
      </ns0:c>
      <ns0:c r="E854" s="12" t="str">
        <ns0:f>IF(OR(A854="",B854=""),"",MAX(0,TODAY()-A854))</ns0:f>
        <ns0:v/>
      </ns0:c>
      <ns0:c r="F854" s="9" t="str">
        <ns0:f>IFERROR(MATCH(ROW()-4,'販売記録'!$L$5:$L$1004,0),"")</ns0:f>
        <ns0:v/>
      </ns0:c>
    </ns0:row>
    <ns0:row r="855">
      <ns0:c r="A855" s="11" t="str">
        <ns0:f>IF($F855="","",IF(INDEX('販売記録'!$K$5:$K$1004,$F855)="","",INDEX('販売記録'!$K$5:$K$1004,$F855)))</ns0:f>
        <ns0:v/>
      </ns0:c>
      <ns0:c r="B855" s="9" t="str">
        <ns0:f>IF($F855="","",IF(INDEX('販売記録'!$B$5:$B$1004,$F855)="","",INDEX('販売記録'!$B$5:$B$1004,$F855)))</ns0:f>
        <ns0:v/>
      </ns0:c>
      <ns0:c r="C855" s="9" t="str">
        <ns0:f>IF($F855="","",IF(INDEX('販売記録'!$C$5:$C$1004,$F855)="","",INDEX('販売記録'!$C$5:$C$1004,$F855)))</ns0:f>
        <ns0:v/>
      </ns0:c>
      <ns0:c r="D855" s="8" t="str">
        <ns0:f>IF($F855="","",IF(INDEX('販売記録'!$D$5:$D$1004,$F855)="","",INDEX('販売記録'!$D$5:$D$1004,$F855)))</ns0:f>
        <ns0:v/>
      </ns0:c>
      <ns0:c r="E855" s="12" t="str">
        <ns0:f>IF(OR(A855="",B855=""),"",MAX(0,TODAY()-A855))</ns0:f>
        <ns0:v/>
      </ns0:c>
      <ns0:c r="F855" s="9" t="str">
        <ns0:f>IFERROR(MATCH(ROW()-4,'販売記録'!$L$5:$L$1004,0),"")</ns0:f>
        <ns0:v/>
      </ns0:c>
    </ns0:row>
    <ns0:row r="856">
      <ns0:c r="A856" s="11" t="str">
        <ns0:f>IF($F856="","",IF(INDEX('販売記録'!$K$5:$K$1004,$F856)="","",INDEX('販売記録'!$K$5:$K$1004,$F856)))</ns0:f>
        <ns0:v/>
      </ns0:c>
      <ns0:c r="B856" s="9" t="str">
        <ns0:f>IF($F856="","",IF(INDEX('販売記録'!$B$5:$B$1004,$F856)="","",INDEX('販売記録'!$B$5:$B$1004,$F856)))</ns0:f>
        <ns0:v/>
      </ns0:c>
      <ns0:c r="C856" s="9" t="str">
        <ns0:f>IF($F856="","",IF(INDEX('販売記録'!$C$5:$C$1004,$F856)="","",INDEX('販売記録'!$C$5:$C$1004,$F856)))</ns0:f>
        <ns0:v/>
      </ns0:c>
      <ns0:c r="D856" s="8" t="str">
        <ns0:f>IF($F856="","",IF(INDEX('販売記録'!$D$5:$D$1004,$F856)="","",INDEX('販売記録'!$D$5:$D$1004,$F856)))</ns0:f>
        <ns0:v/>
      </ns0:c>
      <ns0:c r="E856" s="12" t="str">
        <ns0:f>IF(OR(A856="",B856=""),"",MAX(0,TODAY()-A856))</ns0:f>
        <ns0:v/>
      </ns0:c>
      <ns0:c r="F856" s="9" t="str">
        <ns0:f>IFERROR(MATCH(ROW()-4,'販売記録'!$L$5:$L$1004,0),"")</ns0:f>
        <ns0:v/>
      </ns0:c>
    </ns0:row>
    <ns0:row r="857">
      <ns0:c r="A857" s="11" t="str">
        <ns0:f>IF($F857="","",IF(INDEX('販売記録'!$K$5:$K$1004,$F857)="","",INDEX('販売記録'!$K$5:$K$1004,$F857)))</ns0:f>
        <ns0:v/>
      </ns0:c>
      <ns0:c r="B857" s="9" t="str">
        <ns0:f>IF($F857="","",IF(INDEX('販売記録'!$B$5:$B$1004,$F857)="","",INDEX('販売記録'!$B$5:$B$1004,$F857)))</ns0:f>
        <ns0:v/>
      </ns0:c>
      <ns0:c r="C857" s="9" t="str">
        <ns0:f>IF($F857="","",IF(INDEX('販売記録'!$C$5:$C$1004,$F857)="","",INDEX('販売記録'!$C$5:$C$1004,$F857)))</ns0:f>
        <ns0:v/>
      </ns0:c>
      <ns0:c r="D857" s="8" t="str">
        <ns0:f>IF($F857="","",IF(INDEX('販売記録'!$D$5:$D$1004,$F857)="","",INDEX('販売記録'!$D$5:$D$1004,$F857)))</ns0:f>
        <ns0:v/>
      </ns0:c>
      <ns0:c r="E857" s="12" t="str">
        <ns0:f>IF(OR(A857="",B857=""),"",MAX(0,TODAY()-A857))</ns0:f>
        <ns0:v/>
      </ns0:c>
      <ns0:c r="F857" s="9" t="str">
        <ns0:f>IFERROR(MATCH(ROW()-4,'販売記録'!$L$5:$L$1004,0),"")</ns0:f>
        <ns0:v/>
      </ns0:c>
    </ns0:row>
    <ns0:row r="858">
      <ns0:c r="A858" s="11" t="str">
        <ns0:f>IF($F858="","",IF(INDEX('販売記録'!$K$5:$K$1004,$F858)="","",INDEX('販売記録'!$K$5:$K$1004,$F858)))</ns0:f>
        <ns0:v/>
      </ns0:c>
      <ns0:c r="B858" s="9" t="str">
        <ns0:f>IF($F858="","",IF(INDEX('販売記録'!$B$5:$B$1004,$F858)="","",INDEX('販売記録'!$B$5:$B$1004,$F858)))</ns0:f>
        <ns0:v/>
      </ns0:c>
      <ns0:c r="C858" s="9" t="str">
        <ns0:f>IF($F858="","",IF(INDEX('販売記録'!$C$5:$C$1004,$F858)="","",INDEX('販売記録'!$C$5:$C$1004,$F858)))</ns0:f>
        <ns0:v/>
      </ns0:c>
      <ns0:c r="D858" s="8" t="str">
        <ns0:f>IF($F858="","",IF(INDEX('販売記録'!$D$5:$D$1004,$F858)="","",INDEX('販売記録'!$D$5:$D$1004,$F858)))</ns0:f>
        <ns0:v/>
      </ns0:c>
      <ns0:c r="E858" s="12" t="str">
        <ns0:f>IF(OR(A858="",B858=""),"",MAX(0,TODAY()-A858))</ns0:f>
        <ns0:v/>
      </ns0:c>
      <ns0:c r="F858" s="9" t="str">
        <ns0:f>IFERROR(MATCH(ROW()-4,'販売記録'!$L$5:$L$1004,0),"")</ns0:f>
        <ns0:v/>
      </ns0:c>
    </ns0:row>
    <ns0:row r="859">
      <ns0:c r="A859" s="11" t="str">
        <ns0:f>IF($F859="","",IF(INDEX('販売記録'!$K$5:$K$1004,$F859)="","",INDEX('販売記録'!$K$5:$K$1004,$F859)))</ns0:f>
        <ns0:v/>
      </ns0:c>
      <ns0:c r="B859" s="9" t="str">
        <ns0:f>IF($F859="","",IF(INDEX('販売記録'!$B$5:$B$1004,$F859)="","",INDEX('販売記録'!$B$5:$B$1004,$F859)))</ns0:f>
        <ns0:v/>
      </ns0:c>
      <ns0:c r="C859" s="9" t="str">
        <ns0:f>IF($F859="","",IF(INDEX('販売記録'!$C$5:$C$1004,$F859)="","",INDEX('販売記録'!$C$5:$C$1004,$F859)))</ns0:f>
        <ns0:v/>
      </ns0:c>
      <ns0:c r="D859" s="8" t="str">
        <ns0:f>IF($F859="","",IF(INDEX('販売記録'!$D$5:$D$1004,$F859)="","",INDEX('販売記録'!$D$5:$D$1004,$F859)))</ns0:f>
        <ns0:v/>
      </ns0:c>
      <ns0:c r="E859" s="12" t="str">
        <ns0:f>IF(OR(A859="",B859=""),"",MAX(0,TODAY()-A859))</ns0:f>
        <ns0:v/>
      </ns0:c>
      <ns0:c r="F859" s="9" t="str">
        <ns0:f>IFERROR(MATCH(ROW()-4,'販売記録'!$L$5:$L$1004,0),"")</ns0:f>
        <ns0:v/>
      </ns0:c>
    </ns0:row>
    <ns0:row r="860">
      <ns0:c r="A860" s="11" t="str">
        <ns0:f>IF($F860="","",IF(INDEX('販売記録'!$K$5:$K$1004,$F860)="","",INDEX('販売記録'!$K$5:$K$1004,$F860)))</ns0:f>
        <ns0:v/>
      </ns0:c>
      <ns0:c r="B860" s="9" t="str">
        <ns0:f>IF($F860="","",IF(INDEX('販売記録'!$B$5:$B$1004,$F860)="","",INDEX('販売記録'!$B$5:$B$1004,$F860)))</ns0:f>
        <ns0:v/>
      </ns0:c>
      <ns0:c r="C860" s="9" t="str">
        <ns0:f>IF($F860="","",IF(INDEX('販売記録'!$C$5:$C$1004,$F860)="","",INDEX('販売記録'!$C$5:$C$1004,$F860)))</ns0:f>
        <ns0:v/>
      </ns0:c>
      <ns0:c r="D860" s="8" t="str">
        <ns0:f>IF($F860="","",IF(INDEX('販売記録'!$D$5:$D$1004,$F860)="","",INDEX('販売記録'!$D$5:$D$1004,$F860)))</ns0:f>
        <ns0:v/>
      </ns0:c>
      <ns0:c r="E860" s="12" t="str">
        <ns0:f>IF(OR(A860="",B860=""),"",MAX(0,TODAY()-A860))</ns0:f>
        <ns0:v/>
      </ns0:c>
      <ns0:c r="F860" s="9" t="str">
        <ns0:f>IFERROR(MATCH(ROW()-4,'販売記録'!$L$5:$L$1004,0),"")</ns0:f>
        <ns0:v/>
      </ns0:c>
    </ns0:row>
    <ns0:row r="861">
      <ns0:c r="A861" s="11" t="str">
        <ns0:f>IF($F861="","",IF(INDEX('販売記録'!$K$5:$K$1004,$F861)="","",INDEX('販売記録'!$K$5:$K$1004,$F861)))</ns0:f>
        <ns0:v/>
      </ns0:c>
      <ns0:c r="B861" s="9" t="str">
        <ns0:f>IF($F861="","",IF(INDEX('販売記録'!$B$5:$B$1004,$F861)="","",INDEX('販売記録'!$B$5:$B$1004,$F861)))</ns0:f>
        <ns0:v/>
      </ns0:c>
      <ns0:c r="C861" s="9" t="str">
        <ns0:f>IF($F861="","",IF(INDEX('販売記録'!$C$5:$C$1004,$F861)="","",INDEX('販売記録'!$C$5:$C$1004,$F861)))</ns0:f>
        <ns0:v/>
      </ns0:c>
      <ns0:c r="D861" s="8" t="str">
        <ns0:f>IF($F861="","",IF(INDEX('販売記録'!$D$5:$D$1004,$F861)="","",INDEX('販売記録'!$D$5:$D$1004,$F861)))</ns0:f>
        <ns0:v/>
      </ns0:c>
      <ns0:c r="E861" s="12" t="str">
        <ns0:f>IF(OR(A861="",B861=""),"",MAX(0,TODAY()-A861))</ns0:f>
        <ns0:v/>
      </ns0:c>
      <ns0:c r="F861" s="9" t="str">
        <ns0:f>IFERROR(MATCH(ROW()-4,'販売記録'!$L$5:$L$1004,0),"")</ns0:f>
        <ns0:v/>
      </ns0:c>
    </ns0:row>
    <ns0:row r="862">
      <ns0:c r="A862" s="11" t="str">
        <ns0:f>IF($F862="","",IF(INDEX('販売記録'!$K$5:$K$1004,$F862)="","",INDEX('販売記録'!$K$5:$K$1004,$F862)))</ns0:f>
        <ns0:v/>
      </ns0:c>
      <ns0:c r="B862" s="9" t="str">
        <ns0:f>IF($F862="","",IF(INDEX('販売記録'!$B$5:$B$1004,$F862)="","",INDEX('販売記録'!$B$5:$B$1004,$F862)))</ns0:f>
        <ns0:v/>
      </ns0:c>
      <ns0:c r="C862" s="9" t="str">
        <ns0:f>IF($F862="","",IF(INDEX('販売記録'!$C$5:$C$1004,$F862)="","",INDEX('販売記録'!$C$5:$C$1004,$F862)))</ns0:f>
        <ns0:v/>
      </ns0:c>
      <ns0:c r="D862" s="8" t="str">
        <ns0:f>IF($F862="","",IF(INDEX('販売記録'!$D$5:$D$1004,$F862)="","",INDEX('販売記録'!$D$5:$D$1004,$F862)))</ns0:f>
        <ns0:v/>
      </ns0:c>
      <ns0:c r="E862" s="12" t="str">
        <ns0:f>IF(OR(A862="",B862=""),"",MAX(0,TODAY()-A862))</ns0:f>
        <ns0:v/>
      </ns0:c>
      <ns0:c r="F862" s="9" t="str">
        <ns0:f>IFERROR(MATCH(ROW()-4,'販売記録'!$L$5:$L$1004,0),"")</ns0:f>
        <ns0:v/>
      </ns0:c>
    </ns0:row>
    <ns0:row r="863">
      <ns0:c r="A863" s="11" t="str">
        <ns0:f>IF($F863="","",IF(INDEX('販売記録'!$K$5:$K$1004,$F863)="","",INDEX('販売記録'!$K$5:$K$1004,$F863)))</ns0:f>
        <ns0:v/>
      </ns0:c>
      <ns0:c r="B863" s="9" t="str">
        <ns0:f>IF($F863="","",IF(INDEX('販売記録'!$B$5:$B$1004,$F863)="","",INDEX('販売記録'!$B$5:$B$1004,$F863)))</ns0:f>
        <ns0:v/>
      </ns0:c>
      <ns0:c r="C863" s="9" t="str">
        <ns0:f>IF($F863="","",IF(INDEX('販売記録'!$C$5:$C$1004,$F863)="","",INDEX('販売記録'!$C$5:$C$1004,$F863)))</ns0:f>
        <ns0:v/>
      </ns0:c>
      <ns0:c r="D863" s="8" t="str">
        <ns0:f>IF($F863="","",IF(INDEX('販売記録'!$D$5:$D$1004,$F863)="","",INDEX('販売記録'!$D$5:$D$1004,$F863)))</ns0:f>
        <ns0:v/>
      </ns0:c>
      <ns0:c r="E863" s="12" t="str">
        <ns0:f>IF(OR(A863="",B863=""),"",MAX(0,TODAY()-A863))</ns0:f>
        <ns0:v/>
      </ns0:c>
      <ns0:c r="F863" s="9" t="str">
        <ns0:f>IFERROR(MATCH(ROW()-4,'販売記録'!$L$5:$L$1004,0),"")</ns0:f>
        <ns0:v/>
      </ns0:c>
    </ns0:row>
    <ns0:row r="864">
      <ns0:c r="A864" s="11" t="str">
        <ns0:f>IF($F864="","",IF(INDEX('販売記録'!$K$5:$K$1004,$F864)="","",INDEX('販売記録'!$K$5:$K$1004,$F864)))</ns0:f>
        <ns0:v/>
      </ns0:c>
      <ns0:c r="B864" s="9" t="str">
        <ns0:f>IF($F864="","",IF(INDEX('販売記録'!$B$5:$B$1004,$F864)="","",INDEX('販売記録'!$B$5:$B$1004,$F864)))</ns0:f>
        <ns0:v/>
      </ns0:c>
      <ns0:c r="C864" s="9" t="str">
        <ns0:f>IF($F864="","",IF(INDEX('販売記録'!$C$5:$C$1004,$F864)="","",INDEX('販売記録'!$C$5:$C$1004,$F864)))</ns0:f>
        <ns0:v/>
      </ns0:c>
      <ns0:c r="D864" s="8" t="str">
        <ns0:f>IF($F864="","",IF(INDEX('販売記録'!$D$5:$D$1004,$F864)="","",INDEX('販売記録'!$D$5:$D$1004,$F864)))</ns0:f>
        <ns0:v/>
      </ns0:c>
      <ns0:c r="E864" s="12" t="str">
        <ns0:f>IF(OR(A864="",B864=""),"",MAX(0,TODAY()-A864))</ns0:f>
        <ns0:v/>
      </ns0:c>
      <ns0:c r="F864" s="9" t="str">
        <ns0:f>IFERROR(MATCH(ROW()-4,'販売記録'!$L$5:$L$1004,0),"")</ns0:f>
        <ns0:v/>
      </ns0:c>
    </ns0:row>
    <ns0:row r="865">
      <ns0:c r="A865" s="11" t="str">
        <ns0:f>IF($F865="","",IF(INDEX('販売記録'!$K$5:$K$1004,$F865)="","",INDEX('販売記録'!$K$5:$K$1004,$F865)))</ns0:f>
        <ns0:v/>
      </ns0:c>
      <ns0:c r="B865" s="9" t="str">
        <ns0:f>IF($F865="","",IF(INDEX('販売記録'!$B$5:$B$1004,$F865)="","",INDEX('販売記録'!$B$5:$B$1004,$F865)))</ns0:f>
        <ns0:v/>
      </ns0:c>
      <ns0:c r="C865" s="9" t="str">
        <ns0:f>IF($F865="","",IF(INDEX('販売記録'!$C$5:$C$1004,$F865)="","",INDEX('販売記録'!$C$5:$C$1004,$F865)))</ns0:f>
        <ns0:v/>
      </ns0:c>
      <ns0:c r="D865" s="8" t="str">
        <ns0:f>IF($F865="","",IF(INDEX('販売記録'!$D$5:$D$1004,$F865)="","",INDEX('販売記録'!$D$5:$D$1004,$F865)))</ns0:f>
        <ns0:v/>
      </ns0:c>
      <ns0:c r="E865" s="12" t="str">
        <ns0:f>IF(OR(A865="",B865=""),"",MAX(0,TODAY()-A865))</ns0:f>
        <ns0:v/>
      </ns0:c>
      <ns0:c r="F865" s="9" t="str">
        <ns0:f>IFERROR(MATCH(ROW()-4,'販売記録'!$L$5:$L$1004,0),"")</ns0:f>
        <ns0:v/>
      </ns0:c>
    </ns0:row>
    <ns0:row r="866">
      <ns0:c r="A866" s="11" t="str">
        <ns0:f>IF($F866="","",IF(INDEX('販売記録'!$K$5:$K$1004,$F866)="","",INDEX('販売記録'!$K$5:$K$1004,$F866)))</ns0:f>
        <ns0:v/>
      </ns0:c>
      <ns0:c r="B866" s="9" t="str">
        <ns0:f>IF($F866="","",IF(INDEX('販売記録'!$B$5:$B$1004,$F866)="","",INDEX('販売記録'!$B$5:$B$1004,$F866)))</ns0:f>
        <ns0:v/>
      </ns0:c>
      <ns0:c r="C866" s="9" t="str">
        <ns0:f>IF($F866="","",IF(INDEX('販売記録'!$C$5:$C$1004,$F866)="","",INDEX('販売記録'!$C$5:$C$1004,$F866)))</ns0:f>
        <ns0:v/>
      </ns0:c>
      <ns0:c r="D866" s="8" t="str">
        <ns0:f>IF($F866="","",IF(INDEX('販売記録'!$D$5:$D$1004,$F866)="","",INDEX('販売記録'!$D$5:$D$1004,$F866)))</ns0:f>
        <ns0:v/>
      </ns0:c>
      <ns0:c r="E866" s="12" t="str">
        <ns0:f>IF(OR(A866="",B866=""),"",MAX(0,TODAY()-A866))</ns0:f>
        <ns0:v/>
      </ns0:c>
      <ns0:c r="F866" s="9" t="str">
        <ns0:f>IFERROR(MATCH(ROW()-4,'販売記録'!$L$5:$L$1004,0),"")</ns0:f>
        <ns0:v/>
      </ns0:c>
    </ns0:row>
    <ns0:row r="867">
      <ns0:c r="A867" s="11" t="str">
        <ns0:f>IF($F867="","",IF(INDEX('販売記録'!$K$5:$K$1004,$F867)="","",INDEX('販売記録'!$K$5:$K$1004,$F867)))</ns0:f>
        <ns0:v/>
      </ns0:c>
      <ns0:c r="B867" s="9" t="str">
        <ns0:f>IF($F867="","",IF(INDEX('販売記録'!$B$5:$B$1004,$F867)="","",INDEX('販売記録'!$B$5:$B$1004,$F867)))</ns0:f>
        <ns0:v/>
      </ns0:c>
      <ns0:c r="C867" s="9" t="str">
        <ns0:f>IF($F867="","",IF(INDEX('販売記録'!$C$5:$C$1004,$F867)="","",INDEX('販売記録'!$C$5:$C$1004,$F867)))</ns0:f>
        <ns0:v/>
      </ns0:c>
      <ns0:c r="D867" s="8" t="str">
        <ns0:f>IF($F867="","",IF(INDEX('販売記録'!$D$5:$D$1004,$F867)="","",INDEX('販売記録'!$D$5:$D$1004,$F867)))</ns0:f>
        <ns0:v/>
      </ns0:c>
      <ns0:c r="E867" s="12" t="str">
        <ns0:f>IF(OR(A867="",B867=""),"",MAX(0,TODAY()-A867))</ns0:f>
        <ns0:v/>
      </ns0:c>
      <ns0:c r="F867" s="9" t="str">
        <ns0:f>IFERROR(MATCH(ROW()-4,'販売記録'!$L$5:$L$1004,0),"")</ns0:f>
        <ns0:v/>
      </ns0:c>
    </ns0:row>
    <ns0:row r="868">
      <ns0:c r="A868" s="11" t="str">
        <ns0:f>IF($F868="","",IF(INDEX('販売記録'!$K$5:$K$1004,$F868)="","",INDEX('販売記録'!$K$5:$K$1004,$F868)))</ns0:f>
        <ns0:v/>
      </ns0:c>
      <ns0:c r="B868" s="9" t="str">
        <ns0:f>IF($F868="","",IF(INDEX('販売記録'!$B$5:$B$1004,$F868)="","",INDEX('販売記録'!$B$5:$B$1004,$F868)))</ns0:f>
        <ns0:v/>
      </ns0:c>
      <ns0:c r="C868" s="9" t="str">
        <ns0:f>IF($F868="","",IF(INDEX('販売記録'!$C$5:$C$1004,$F868)="","",INDEX('販売記録'!$C$5:$C$1004,$F868)))</ns0:f>
        <ns0:v/>
      </ns0:c>
      <ns0:c r="D868" s="8" t="str">
        <ns0:f>IF($F868="","",IF(INDEX('販売記録'!$D$5:$D$1004,$F868)="","",INDEX('販売記録'!$D$5:$D$1004,$F868)))</ns0:f>
        <ns0:v/>
      </ns0:c>
      <ns0:c r="E868" s="12" t="str">
        <ns0:f>IF(OR(A868="",B868=""),"",MAX(0,TODAY()-A868))</ns0:f>
        <ns0:v/>
      </ns0:c>
      <ns0:c r="F868" s="9" t="str">
        <ns0:f>IFERROR(MATCH(ROW()-4,'販売記録'!$L$5:$L$1004,0),"")</ns0:f>
        <ns0:v/>
      </ns0:c>
    </ns0:row>
    <ns0:row r="869">
      <ns0:c r="A869" s="11" t="str">
        <ns0:f>IF($F869="","",IF(INDEX('販売記録'!$K$5:$K$1004,$F869)="","",INDEX('販売記録'!$K$5:$K$1004,$F869)))</ns0:f>
        <ns0:v/>
      </ns0:c>
      <ns0:c r="B869" s="9" t="str">
        <ns0:f>IF($F869="","",IF(INDEX('販売記録'!$B$5:$B$1004,$F869)="","",INDEX('販売記録'!$B$5:$B$1004,$F869)))</ns0:f>
        <ns0:v/>
      </ns0:c>
      <ns0:c r="C869" s="9" t="str">
        <ns0:f>IF($F869="","",IF(INDEX('販売記録'!$C$5:$C$1004,$F869)="","",INDEX('販売記録'!$C$5:$C$1004,$F869)))</ns0:f>
        <ns0:v/>
      </ns0:c>
      <ns0:c r="D869" s="8" t="str">
        <ns0:f>IF($F869="","",IF(INDEX('販売記録'!$D$5:$D$1004,$F869)="","",INDEX('販売記録'!$D$5:$D$1004,$F869)))</ns0:f>
        <ns0:v/>
      </ns0:c>
      <ns0:c r="E869" s="12" t="str">
        <ns0:f>IF(OR(A869="",B869=""),"",MAX(0,TODAY()-A869))</ns0:f>
        <ns0:v/>
      </ns0:c>
      <ns0:c r="F869" s="9" t="str">
        <ns0:f>IFERROR(MATCH(ROW()-4,'販売記録'!$L$5:$L$1004,0),"")</ns0:f>
        <ns0:v/>
      </ns0:c>
    </ns0:row>
    <ns0:row r="870">
      <ns0:c r="A870" s="11" t="str">
        <ns0:f>IF($F870="","",IF(INDEX('販売記録'!$K$5:$K$1004,$F870)="","",INDEX('販売記録'!$K$5:$K$1004,$F870)))</ns0:f>
        <ns0:v/>
      </ns0:c>
      <ns0:c r="B870" s="9" t="str">
        <ns0:f>IF($F870="","",IF(INDEX('販売記録'!$B$5:$B$1004,$F870)="","",INDEX('販売記録'!$B$5:$B$1004,$F870)))</ns0:f>
        <ns0:v/>
      </ns0:c>
      <ns0:c r="C870" s="9" t="str">
        <ns0:f>IF($F870="","",IF(INDEX('販売記録'!$C$5:$C$1004,$F870)="","",INDEX('販売記録'!$C$5:$C$1004,$F870)))</ns0:f>
        <ns0:v/>
      </ns0:c>
      <ns0:c r="D870" s="8" t="str">
        <ns0:f>IF($F870="","",IF(INDEX('販売記録'!$D$5:$D$1004,$F870)="","",INDEX('販売記録'!$D$5:$D$1004,$F870)))</ns0:f>
        <ns0:v/>
      </ns0:c>
      <ns0:c r="E870" s="12" t="str">
        <ns0:f>IF(OR(A870="",B870=""),"",MAX(0,TODAY()-A870))</ns0:f>
        <ns0:v/>
      </ns0:c>
      <ns0:c r="F870" s="9" t="str">
        <ns0:f>IFERROR(MATCH(ROW()-4,'販売記録'!$L$5:$L$1004,0),"")</ns0:f>
        <ns0:v/>
      </ns0:c>
    </ns0:row>
    <ns0:row r="871">
      <ns0:c r="A871" s="11" t="str">
        <ns0:f>IF($F871="","",IF(INDEX('販売記録'!$K$5:$K$1004,$F871)="","",INDEX('販売記録'!$K$5:$K$1004,$F871)))</ns0:f>
        <ns0:v/>
      </ns0:c>
      <ns0:c r="B871" s="9" t="str">
        <ns0:f>IF($F871="","",IF(INDEX('販売記録'!$B$5:$B$1004,$F871)="","",INDEX('販売記録'!$B$5:$B$1004,$F871)))</ns0:f>
        <ns0:v/>
      </ns0:c>
      <ns0:c r="C871" s="9" t="str">
        <ns0:f>IF($F871="","",IF(INDEX('販売記録'!$C$5:$C$1004,$F871)="","",INDEX('販売記録'!$C$5:$C$1004,$F871)))</ns0:f>
        <ns0:v/>
      </ns0:c>
      <ns0:c r="D871" s="8" t="str">
        <ns0:f>IF($F871="","",IF(INDEX('販売記録'!$D$5:$D$1004,$F871)="","",INDEX('販売記録'!$D$5:$D$1004,$F871)))</ns0:f>
        <ns0:v/>
      </ns0:c>
      <ns0:c r="E871" s="12" t="str">
        <ns0:f>IF(OR(A871="",B871=""),"",MAX(0,TODAY()-A871))</ns0:f>
        <ns0:v/>
      </ns0:c>
      <ns0:c r="F871" s="9" t="str">
        <ns0:f>IFERROR(MATCH(ROW()-4,'販売記録'!$L$5:$L$1004,0),"")</ns0:f>
        <ns0:v/>
      </ns0:c>
    </ns0:row>
    <ns0:row r="872">
      <ns0:c r="A872" s="11" t="str">
        <ns0:f>IF($F872="","",IF(INDEX('販売記録'!$K$5:$K$1004,$F872)="","",INDEX('販売記録'!$K$5:$K$1004,$F872)))</ns0:f>
        <ns0:v/>
      </ns0:c>
      <ns0:c r="B872" s="9" t="str">
        <ns0:f>IF($F872="","",IF(INDEX('販売記録'!$B$5:$B$1004,$F872)="","",INDEX('販売記録'!$B$5:$B$1004,$F872)))</ns0:f>
        <ns0:v/>
      </ns0:c>
      <ns0:c r="C872" s="9" t="str">
        <ns0:f>IF($F872="","",IF(INDEX('販売記録'!$C$5:$C$1004,$F872)="","",INDEX('販売記録'!$C$5:$C$1004,$F872)))</ns0:f>
        <ns0:v/>
      </ns0:c>
      <ns0:c r="D872" s="8" t="str">
        <ns0:f>IF($F872="","",IF(INDEX('販売記録'!$D$5:$D$1004,$F872)="","",INDEX('販売記録'!$D$5:$D$1004,$F872)))</ns0:f>
        <ns0:v/>
      </ns0:c>
      <ns0:c r="E872" s="12" t="str">
        <ns0:f>IF(OR(A872="",B872=""),"",MAX(0,TODAY()-A872))</ns0:f>
        <ns0:v/>
      </ns0:c>
      <ns0:c r="F872" s="9" t="str">
        <ns0:f>IFERROR(MATCH(ROW()-4,'販売記録'!$L$5:$L$1004,0),"")</ns0:f>
        <ns0:v/>
      </ns0:c>
    </ns0:row>
    <ns0:row r="873">
      <ns0:c r="A873" s="11" t="str">
        <ns0:f>IF($F873="","",IF(INDEX('販売記録'!$K$5:$K$1004,$F873)="","",INDEX('販売記録'!$K$5:$K$1004,$F873)))</ns0:f>
        <ns0:v/>
      </ns0:c>
      <ns0:c r="B873" s="9" t="str">
        <ns0:f>IF($F873="","",IF(INDEX('販売記録'!$B$5:$B$1004,$F873)="","",INDEX('販売記録'!$B$5:$B$1004,$F873)))</ns0:f>
        <ns0:v/>
      </ns0:c>
      <ns0:c r="C873" s="9" t="str">
        <ns0:f>IF($F873="","",IF(INDEX('販売記録'!$C$5:$C$1004,$F873)="","",INDEX('販売記録'!$C$5:$C$1004,$F873)))</ns0:f>
        <ns0:v/>
      </ns0:c>
      <ns0:c r="D873" s="8" t="str">
        <ns0:f>IF($F873="","",IF(INDEX('販売記録'!$D$5:$D$1004,$F873)="","",INDEX('販売記録'!$D$5:$D$1004,$F873)))</ns0:f>
        <ns0:v/>
      </ns0:c>
      <ns0:c r="E873" s="12" t="str">
        <ns0:f>IF(OR(A873="",B873=""),"",MAX(0,TODAY()-A873))</ns0:f>
        <ns0:v/>
      </ns0:c>
      <ns0:c r="F873" s="9" t="str">
        <ns0:f>IFERROR(MATCH(ROW()-4,'販売記録'!$L$5:$L$1004,0),"")</ns0:f>
        <ns0:v/>
      </ns0:c>
    </ns0:row>
    <ns0:row r="874">
      <ns0:c r="A874" s="11" t="str">
        <ns0:f>IF($F874="","",IF(INDEX('販売記録'!$K$5:$K$1004,$F874)="","",INDEX('販売記録'!$K$5:$K$1004,$F874)))</ns0:f>
        <ns0:v/>
      </ns0:c>
      <ns0:c r="B874" s="9" t="str">
        <ns0:f>IF($F874="","",IF(INDEX('販売記録'!$B$5:$B$1004,$F874)="","",INDEX('販売記録'!$B$5:$B$1004,$F874)))</ns0:f>
        <ns0:v/>
      </ns0:c>
      <ns0:c r="C874" s="9" t="str">
        <ns0:f>IF($F874="","",IF(INDEX('販売記録'!$C$5:$C$1004,$F874)="","",INDEX('販売記録'!$C$5:$C$1004,$F874)))</ns0:f>
        <ns0:v/>
      </ns0:c>
      <ns0:c r="D874" s="8" t="str">
        <ns0:f>IF($F874="","",IF(INDEX('販売記録'!$D$5:$D$1004,$F874)="","",INDEX('販売記録'!$D$5:$D$1004,$F874)))</ns0:f>
        <ns0:v/>
      </ns0:c>
      <ns0:c r="E874" s="12" t="str">
        <ns0:f>IF(OR(A874="",B874=""),"",MAX(0,TODAY()-A874))</ns0:f>
        <ns0:v/>
      </ns0:c>
      <ns0:c r="F874" s="9" t="str">
        <ns0:f>IFERROR(MATCH(ROW()-4,'販売記録'!$L$5:$L$1004,0),"")</ns0:f>
        <ns0:v/>
      </ns0:c>
    </ns0:row>
    <ns0:row r="875">
      <ns0:c r="A875" s="11" t="str">
        <ns0:f>IF($F875="","",IF(INDEX('販売記録'!$K$5:$K$1004,$F875)="","",INDEX('販売記録'!$K$5:$K$1004,$F875)))</ns0:f>
        <ns0:v/>
      </ns0:c>
      <ns0:c r="B875" s="9" t="str">
        <ns0:f>IF($F875="","",IF(INDEX('販売記録'!$B$5:$B$1004,$F875)="","",INDEX('販売記録'!$B$5:$B$1004,$F875)))</ns0:f>
        <ns0:v/>
      </ns0:c>
      <ns0:c r="C875" s="9" t="str">
        <ns0:f>IF($F875="","",IF(INDEX('販売記録'!$C$5:$C$1004,$F875)="","",INDEX('販売記録'!$C$5:$C$1004,$F875)))</ns0:f>
        <ns0:v/>
      </ns0:c>
      <ns0:c r="D875" s="8" t="str">
        <ns0:f>IF($F875="","",IF(INDEX('販売記録'!$D$5:$D$1004,$F875)="","",INDEX('販売記録'!$D$5:$D$1004,$F875)))</ns0:f>
        <ns0:v/>
      </ns0:c>
      <ns0:c r="E875" s="12" t="str">
        <ns0:f>IF(OR(A875="",B875=""),"",MAX(0,TODAY()-A875))</ns0:f>
        <ns0:v/>
      </ns0:c>
      <ns0:c r="F875" s="9" t="str">
        <ns0:f>IFERROR(MATCH(ROW()-4,'販売記録'!$L$5:$L$1004,0),"")</ns0:f>
        <ns0:v/>
      </ns0:c>
    </ns0:row>
    <ns0:row r="876">
      <ns0:c r="A876" s="11" t="str">
        <ns0:f>IF($F876="","",IF(INDEX('販売記録'!$K$5:$K$1004,$F876)="","",INDEX('販売記録'!$K$5:$K$1004,$F876)))</ns0:f>
        <ns0:v/>
      </ns0:c>
      <ns0:c r="B876" s="9" t="str">
        <ns0:f>IF($F876="","",IF(INDEX('販売記録'!$B$5:$B$1004,$F876)="","",INDEX('販売記録'!$B$5:$B$1004,$F876)))</ns0:f>
        <ns0:v/>
      </ns0:c>
      <ns0:c r="C876" s="9" t="str">
        <ns0:f>IF($F876="","",IF(INDEX('販売記録'!$C$5:$C$1004,$F876)="","",INDEX('販売記録'!$C$5:$C$1004,$F876)))</ns0:f>
        <ns0:v/>
      </ns0:c>
      <ns0:c r="D876" s="8" t="str">
        <ns0:f>IF($F876="","",IF(INDEX('販売記録'!$D$5:$D$1004,$F876)="","",INDEX('販売記録'!$D$5:$D$1004,$F876)))</ns0:f>
        <ns0:v/>
      </ns0:c>
      <ns0:c r="E876" s="12" t="str">
        <ns0:f>IF(OR(A876="",B876=""),"",MAX(0,TODAY()-A876))</ns0:f>
        <ns0:v/>
      </ns0:c>
      <ns0:c r="F876" s="9" t="str">
        <ns0:f>IFERROR(MATCH(ROW()-4,'販売記録'!$L$5:$L$1004,0),"")</ns0:f>
        <ns0:v/>
      </ns0:c>
    </ns0:row>
    <ns0:row r="877">
      <ns0:c r="A877" s="11" t="str">
        <ns0:f>IF($F877="","",IF(INDEX('販売記録'!$K$5:$K$1004,$F877)="","",INDEX('販売記録'!$K$5:$K$1004,$F877)))</ns0:f>
        <ns0:v/>
      </ns0:c>
      <ns0:c r="B877" s="9" t="str">
        <ns0:f>IF($F877="","",IF(INDEX('販売記録'!$B$5:$B$1004,$F877)="","",INDEX('販売記録'!$B$5:$B$1004,$F877)))</ns0:f>
        <ns0:v/>
      </ns0:c>
      <ns0:c r="C877" s="9" t="str">
        <ns0:f>IF($F877="","",IF(INDEX('販売記録'!$C$5:$C$1004,$F877)="","",INDEX('販売記録'!$C$5:$C$1004,$F877)))</ns0:f>
        <ns0:v/>
      </ns0:c>
      <ns0:c r="D877" s="8" t="str">
        <ns0:f>IF($F877="","",IF(INDEX('販売記録'!$D$5:$D$1004,$F877)="","",INDEX('販売記録'!$D$5:$D$1004,$F877)))</ns0:f>
        <ns0:v/>
      </ns0:c>
      <ns0:c r="E877" s="12" t="str">
        <ns0:f>IF(OR(A877="",B877=""),"",MAX(0,TODAY()-A877))</ns0:f>
        <ns0:v/>
      </ns0:c>
      <ns0:c r="F877" s="9" t="str">
        <ns0:f>IFERROR(MATCH(ROW()-4,'販売記録'!$L$5:$L$1004,0),"")</ns0:f>
        <ns0:v/>
      </ns0:c>
    </ns0:row>
    <ns0:row r="878">
      <ns0:c r="A878" s="11" t="str">
        <ns0:f>IF($F878="","",IF(INDEX('販売記録'!$K$5:$K$1004,$F878)="","",INDEX('販売記録'!$K$5:$K$1004,$F878)))</ns0:f>
        <ns0:v/>
      </ns0:c>
      <ns0:c r="B878" s="9" t="str">
        <ns0:f>IF($F878="","",IF(INDEX('販売記録'!$B$5:$B$1004,$F878)="","",INDEX('販売記録'!$B$5:$B$1004,$F878)))</ns0:f>
        <ns0:v/>
      </ns0:c>
      <ns0:c r="C878" s="9" t="str">
        <ns0:f>IF($F878="","",IF(INDEX('販売記録'!$C$5:$C$1004,$F878)="","",INDEX('販売記録'!$C$5:$C$1004,$F878)))</ns0:f>
        <ns0:v/>
      </ns0:c>
      <ns0:c r="D878" s="8" t="str">
        <ns0:f>IF($F878="","",IF(INDEX('販売記録'!$D$5:$D$1004,$F878)="","",INDEX('販売記録'!$D$5:$D$1004,$F878)))</ns0:f>
        <ns0:v/>
      </ns0:c>
      <ns0:c r="E878" s="12" t="str">
        <ns0:f>IF(OR(A878="",B878=""),"",MAX(0,TODAY()-A878))</ns0:f>
        <ns0:v/>
      </ns0:c>
      <ns0:c r="F878" s="9" t="str">
        <ns0:f>IFERROR(MATCH(ROW()-4,'販売記録'!$L$5:$L$1004,0),"")</ns0:f>
        <ns0:v/>
      </ns0:c>
    </ns0:row>
    <ns0:row r="879">
      <ns0:c r="A879" s="11" t="str">
        <ns0:f>IF($F879="","",IF(INDEX('販売記録'!$K$5:$K$1004,$F879)="","",INDEX('販売記録'!$K$5:$K$1004,$F879)))</ns0:f>
        <ns0:v/>
      </ns0:c>
      <ns0:c r="B879" s="9" t="str">
        <ns0:f>IF($F879="","",IF(INDEX('販売記録'!$B$5:$B$1004,$F879)="","",INDEX('販売記録'!$B$5:$B$1004,$F879)))</ns0:f>
        <ns0:v/>
      </ns0:c>
      <ns0:c r="C879" s="9" t="str">
        <ns0:f>IF($F879="","",IF(INDEX('販売記録'!$C$5:$C$1004,$F879)="","",INDEX('販売記録'!$C$5:$C$1004,$F879)))</ns0:f>
        <ns0:v/>
      </ns0:c>
      <ns0:c r="D879" s="8" t="str">
        <ns0:f>IF($F879="","",IF(INDEX('販売記録'!$D$5:$D$1004,$F879)="","",INDEX('販売記録'!$D$5:$D$1004,$F879)))</ns0:f>
        <ns0:v/>
      </ns0:c>
      <ns0:c r="E879" s="12" t="str">
        <ns0:f>IF(OR(A879="",B879=""),"",MAX(0,TODAY()-A879))</ns0:f>
        <ns0:v/>
      </ns0:c>
      <ns0:c r="F879" s="9" t="str">
        <ns0:f>IFERROR(MATCH(ROW()-4,'販売記録'!$L$5:$L$1004,0),"")</ns0:f>
        <ns0:v/>
      </ns0:c>
    </ns0:row>
    <ns0:row r="880">
      <ns0:c r="A880" s="11" t="str">
        <ns0:f>IF($F880="","",IF(INDEX('販売記録'!$K$5:$K$1004,$F880)="","",INDEX('販売記録'!$K$5:$K$1004,$F880)))</ns0:f>
        <ns0:v/>
      </ns0:c>
      <ns0:c r="B880" s="9" t="str">
        <ns0:f>IF($F880="","",IF(INDEX('販売記録'!$B$5:$B$1004,$F880)="","",INDEX('販売記録'!$B$5:$B$1004,$F880)))</ns0:f>
        <ns0:v/>
      </ns0:c>
      <ns0:c r="C880" s="9" t="str">
        <ns0:f>IF($F880="","",IF(INDEX('販売記録'!$C$5:$C$1004,$F880)="","",INDEX('販売記録'!$C$5:$C$1004,$F880)))</ns0:f>
        <ns0:v/>
      </ns0:c>
      <ns0:c r="D880" s="8" t="str">
        <ns0:f>IF($F880="","",IF(INDEX('販売記録'!$D$5:$D$1004,$F880)="","",INDEX('販売記録'!$D$5:$D$1004,$F880)))</ns0:f>
        <ns0:v/>
      </ns0:c>
      <ns0:c r="E880" s="12" t="str">
        <ns0:f>IF(OR(A880="",B880=""),"",MAX(0,TODAY()-A880))</ns0:f>
        <ns0:v/>
      </ns0:c>
      <ns0:c r="F880" s="9" t="str">
        <ns0:f>IFERROR(MATCH(ROW()-4,'販売記録'!$L$5:$L$1004,0),"")</ns0:f>
        <ns0:v/>
      </ns0:c>
    </ns0:row>
    <ns0:row r="881">
      <ns0:c r="A881" s="11" t="str">
        <ns0:f>IF($F881="","",IF(INDEX('販売記録'!$K$5:$K$1004,$F881)="","",INDEX('販売記録'!$K$5:$K$1004,$F881)))</ns0:f>
        <ns0:v/>
      </ns0:c>
      <ns0:c r="B881" s="9" t="str">
        <ns0:f>IF($F881="","",IF(INDEX('販売記録'!$B$5:$B$1004,$F881)="","",INDEX('販売記録'!$B$5:$B$1004,$F881)))</ns0:f>
        <ns0:v/>
      </ns0:c>
      <ns0:c r="C881" s="9" t="str">
        <ns0:f>IF($F881="","",IF(INDEX('販売記録'!$C$5:$C$1004,$F881)="","",INDEX('販売記録'!$C$5:$C$1004,$F881)))</ns0:f>
        <ns0:v/>
      </ns0:c>
      <ns0:c r="D881" s="8" t="str">
        <ns0:f>IF($F881="","",IF(INDEX('販売記録'!$D$5:$D$1004,$F881)="","",INDEX('販売記録'!$D$5:$D$1004,$F881)))</ns0:f>
        <ns0:v/>
      </ns0:c>
      <ns0:c r="E881" s="12" t="str">
        <ns0:f>IF(OR(A881="",B881=""),"",MAX(0,TODAY()-A881))</ns0:f>
        <ns0:v/>
      </ns0:c>
      <ns0:c r="F881" s="9" t="str">
        <ns0:f>IFERROR(MATCH(ROW()-4,'販売記録'!$L$5:$L$1004,0),"")</ns0:f>
        <ns0:v/>
      </ns0:c>
    </ns0:row>
    <ns0:row r="882">
      <ns0:c r="A882" s="11" t="str">
        <ns0:f>IF($F882="","",IF(INDEX('販売記録'!$K$5:$K$1004,$F882)="","",INDEX('販売記録'!$K$5:$K$1004,$F882)))</ns0:f>
        <ns0:v/>
      </ns0:c>
      <ns0:c r="B882" s="9" t="str">
        <ns0:f>IF($F882="","",IF(INDEX('販売記録'!$B$5:$B$1004,$F882)="","",INDEX('販売記録'!$B$5:$B$1004,$F882)))</ns0:f>
        <ns0:v/>
      </ns0:c>
      <ns0:c r="C882" s="9" t="str">
        <ns0:f>IF($F882="","",IF(INDEX('販売記録'!$C$5:$C$1004,$F882)="","",INDEX('販売記録'!$C$5:$C$1004,$F882)))</ns0:f>
        <ns0:v/>
      </ns0:c>
      <ns0:c r="D882" s="8" t="str">
        <ns0:f>IF($F882="","",IF(INDEX('販売記録'!$D$5:$D$1004,$F882)="","",INDEX('販売記録'!$D$5:$D$1004,$F882)))</ns0:f>
        <ns0:v/>
      </ns0:c>
      <ns0:c r="E882" s="12" t="str">
        <ns0:f>IF(OR(A882="",B882=""),"",MAX(0,TODAY()-A882))</ns0:f>
        <ns0:v/>
      </ns0:c>
      <ns0:c r="F882" s="9" t="str">
        <ns0:f>IFERROR(MATCH(ROW()-4,'販売記録'!$L$5:$L$1004,0),"")</ns0:f>
        <ns0:v/>
      </ns0:c>
    </ns0:row>
    <ns0:row r="883">
      <ns0:c r="A883" s="11" t="str">
        <ns0:f>IF($F883="","",IF(INDEX('販売記録'!$K$5:$K$1004,$F883)="","",INDEX('販売記録'!$K$5:$K$1004,$F883)))</ns0:f>
        <ns0:v/>
      </ns0:c>
      <ns0:c r="B883" s="9" t="str">
        <ns0:f>IF($F883="","",IF(INDEX('販売記録'!$B$5:$B$1004,$F883)="","",INDEX('販売記録'!$B$5:$B$1004,$F883)))</ns0:f>
        <ns0:v/>
      </ns0:c>
      <ns0:c r="C883" s="9" t="str">
        <ns0:f>IF($F883="","",IF(INDEX('販売記録'!$C$5:$C$1004,$F883)="","",INDEX('販売記録'!$C$5:$C$1004,$F883)))</ns0:f>
        <ns0:v/>
      </ns0:c>
      <ns0:c r="D883" s="8" t="str">
        <ns0:f>IF($F883="","",IF(INDEX('販売記録'!$D$5:$D$1004,$F883)="","",INDEX('販売記録'!$D$5:$D$1004,$F883)))</ns0:f>
        <ns0:v/>
      </ns0:c>
      <ns0:c r="E883" s="12" t="str">
        <ns0:f>IF(OR(A883="",B883=""),"",MAX(0,TODAY()-A883))</ns0:f>
        <ns0:v/>
      </ns0:c>
      <ns0:c r="F883" s="9" t="str">
        <ns0:f>IFERROR(MATCH(ROW()-4,'販売記録'!$L$5:$L$1004,0),"")</ns0:f>
        <ns0:v/>
      </ns0:c>
    </ns0:row>
    <ns0:row r="884">
      <ns0:c r="A884" s="11" t="str">
        <ns0:f>IF($F884="","",IF(INDEX('販売記録'!$K$5:$K$1004,$F884)="","",INDEX('販売記録'!$K$5:$K$1004,$F884)))</ns0:f>
        <ns0:v/>
      </ns0:c>
      <ns0:c r="B884" s="9" t="str">
        <ns0:f>IF($F884="","",IF(INDEX('販売記録'!$B$5:$B$1004,$F884)="","",INDEX('販売記録'!$B$5:$B$1004,$F884)))</ns0:f>
        <ns0:v/>
      </ns0:c>
      <ns0:c r="C884" s="9" t="str">
        <ns0:f>IF($F884="","",IF(INDEX('販売記録'!$C$5:$C$1004,$F884)="","",INDEX('販売記録'!$C$5:$C$1004,$F884)))</ns0:f>
        <ns0:v/>
      </ns0:c>
      <ns0:c r="D884" s="8" t="str">
        <ns0:f>IF($F884="","",IF(INDEX('販売記録'!$D$5:$D$1004,$F884)="","",INDEX('販売記録'!$D$5:$D$1004,$F884)))</ns0:f>
        <ns0:v/>
      </ns0:c>
      <ns0:c r="E884" s="12" t="str">
        <ns0:f>IF(OR(A884="",B884=""),"",MAX(0,TODAY()-A884))</ns0:f>
        <ns0:v/>
      </ns0:c>
      <ns0:c r="F884" s="9" t="str">
        <ns0:f>IFERROR(MATCH(ROW()-4,'販売記録'!$L$5:$L$1004,0),"")</ns0:f>
        <ns0:v/>
      </ns0:c>
    </ns0:row>
    <ns0:row r="885">
      <ns0:c r="A885" s="11" t="str">
        <ns0:f>IF($F885="","",IF(INDEX('販売記録'!$K$5:$K$1004,$F885)="","",INDEX('販売記録'!$K$5:$K$1004,$F885)))</ns0:f>
        <ns0:v/>
      </ns0:c>
      <ns0:c r="B885" s="9" t="str">
        <ns0:f>IF($F885="","",IF(INDEX('販売記録'!$B$5:$B$1004,$F885)="","",INDEX('販売記録'!$B$5:$B$1004,$F885)))</ns0:f>
        <ns0:v/>
      </ns0:c>
      <ns0:c r="C885" s="9" t="str">
        <ns0:f>IF($F885="","",IF(INDEX('販売記録'!$C$5:$C$1004,$F885)="","",INDEX('販売記録'!$C$5:$C$1004,$F885)))</ns0:f>
        <ns0:v/>
      </ns0:c>
      <ns0:c r="D885" s="8" t="str">
        <ns0:f>IF($F885="","",IF(INDEX('販売記録'!$D$5:$D$1004,$F885)="","",INDEX('販売記録'!$D$5:$D$1004,$F885)))</ns0:f>
        <ns0:v/>
      </ns0:c>
      <ns0:c r="E885" s="12" t="str">
        <ns0:f>IF(OR(A885="",B885=""),"",MAX(0,TODAY()-A885))</ns0:f>
        <ns0:v/>
      </ns0:c>
      <ns0:c r="F885" s="9" t="str">
        <ns0:f>IFERROR(MATCH(ROW()-4,'販売記録'!$L$5:$L$1004,0),"")</ns0:f>
        <ns0:v/>
      </ns0:c>
    </ns0:row>
    <ns0:row r="886">
      <ns0:c r="A886" s="11" t="str">
        <ns0:f>IF($F886="","",IF(INDEX('販売記録'!$K$5:$K$1004,$F886)="","",INDEX('販売記録'!$K$5:$K$1004,$F886)))</ns0:f>
        <ns0:v/>
      </ns0:c>
      <ns0:c r="B886" s="9" t="str">
        <ns0:f>IF($F886="","",IF(INDEX('販売記録'!$B$5:$B$1004,$F886)="","",INDEX('販売記録'!$B$5:$B$1004,$F886)))</ns0:f>
        <ns0:v/>
      </ns0:c>
      <ns0:c r="C886" s="9" t="str">
        <ns0:f>IF($F886="","",IF(INDEX('販売記録'!$C$5:$C$1004,$F886)="","",INDEX('販売記録'!$C$5:$C$1004,$F886)))</ns0:f>
        <ns0:v/>
      </ns0:c>
      <ns0:c r="D886" s="8" t="str">
        <ns0:f>IF($F886="","",IF(INDEX('販売記録'!$D$5:$D$1004,$F886)="","",INDEX('販売記録'!$D$5:$D$1004,$F886)))</ns0:f>
        <ns0:v/>
      </ns0:c>
      <ns0:c r="E886" s="12" t="str">
        <ns0:f>IF(OR(A886="",B886=""),"",MAX(0,TODAY()-A886))</ns0:f>
        <ns0:v/>
      </ns0:c>
      <ns0:c r="F886" s="9" t="str">
        <ns0:f>IFERROR(MATCH(ROW()-4,'販売記録'!$L$5:$L$1004,0),"")</ns0:f>
        <ns0:v/>
      </ns0:c>
    </ns0:row>
    <ns0:row r="887">
      <ns0:c r="A887" s="11" t="str">
        <ns0:f>IF($F887="","",IF(INDEX('販売記録'!$K$5:$K$1004,$F887)="","",INDEX('販売記録'!$K$5:$K$1004,$F887)))</ns0:f>
        <ns0:v/>
      </ns0:c>
      <ns0:c r="B887" s="9" t="str">
        <ns0:f>IF($F887="","",IF(INDEX('販売記録'!$B$5:$B$1004,$F887)="","",INDEX('販売記録'!$B$5:$B$1004,$F887)))</ns0:f>
        <ns0:v/>
      </ns0:c>
      <ns0:c r="C887" s="9" t="str">
        <ns0:f>IF($F887="","",IF(INDEX('販売記録'!$C$5:$C$1004,$F887)="","",INDEX('販売記録'!$C$5:$C$1004,$F887)))</ns0:f>
        <ns0:v/>
      </ns0:c>
      <ns0:c r="D887" s="8" t="str">
        <ns0:f>IF($F887="","",IF(INDEX('販売記録'!$D$5:$D$1004,$F887)="","",INDEX('販売記録'!$D$5:$D$1004,$F887)))</ns0:f>
        <ns0:v/>
      </ns0:c>
      <ns0:c r="E887" s="12" t="str">
        <ns0:f>IF(OR(A887="",B887=""),"",MAX(0,TODAY()-A887))</ns0:f>
        <ns0:v/>
      </ns0:c>
      <ns0:c r="F887" s="9" t="str">
        <ns0:f>IFERROR(MATCH(ROW()-4,'販売記録'!$L$5:$L$1004,0),"")</ns0:f>
        <ns0:v/>
      </ns0:c>
    </ns0:row>
    <ns0:row r="888">
      <ns0:c r="A888" s="11" t="str">
        <ns0:f>IF($F888="","",IF(INDEX('販売記録'!$K$5:$K$1004,$F888)="","",INDEX('販売記録'!$K$5:$K$1004,$F888)))</ns0:f>
        <ns0:v/>
      </ns0:c>
      <ns0:c r="B888" s="9" t="str">
        <ns0:f>IF($F888="","",IF(INDEX('販売記録'!$B$5:$B$1004,$F888)="","",INDEX('販売記録'!$B$5:$B$1004,$F888)))</ns0:f>
        <ns0:v/>
      </ns0:c>
      <ns0:c r="C888" s="9" t="str">
        <ns0:f>IF($F888="","",IF(INDEX('販売記録'!$C$5:$C$1004,$F888)="","",INDEX('販売記録'!$C$5:$C$1004,$F888)))</ns0:f>
        <ns0:v/>
      </ns0:c>
      <ns0:c r="D888" s="8" t="str">
        <ns0:f>IF($F888="","",IF(INDEX('販売記録'!$D$5:$D$1004,$F888)="","",INDEX('販売記録'!$D$5:$D$1004,$F888)))</ns0:f>
        <ns0:v/>
      </ns0:c>
      <ns0:c r="E888" s="12" t="str">
        <ns0:f>IF(OR(A888="",B888=""),"",MAX(0,TODAY()-A888))</ns0:f>
        <ns0:v/>
      </ns0:c>
      <ns0:c r="F888" s="9" t="str">
        <ns0:f>IFERROR(MATCH(ROW()-4,'販売記録'!$L$5:$L$1004,0),"")</ns0:f>
        <ns0:v/>
      </ns0:c>
    </ns0:row>
    <ns0:row r="889">
      <ns0:c r="A889" s="11" t="str">
        <ns0:f>IF($F889="","",IF(INDEX('販売記録'!$K$5:$K$1004,$F889)="","",INDEX('販売記録'!$K$5:$K$1004,$F889)))</ns0:f>
        <ns0:v/>
      </ns0:c>
      <ns0:c r="B889" s="9" t="str">
        <ns0:f>IF($F889="","",IF(INDEX('販売記録'!$B$5:$B$1004,$F889)="","",INDEX('販売記録'!$B$5:$B$1004,$F889)))</ns0:f>
        <ns0:v/>
      </ns0:c>
      <ns0:c r="C889" s="9" t="str">
        <ns0:f>IF($F889="","",IF(INDEX('販売記録'!$C$5:$C$1004,$F889)="","",INDEX('販売記録'!$C$5:$C$1004,$F889)))</ns0:f>
        <ns0:v/>
      </ns0:c>
      <ns0:c r="D889" s="8" t="str">
        <ns0:f>IF($F889="","",IF(INDEX('販売記録'!$D$5:$D$1004,$F889)="","",INDEX('販売記録'!$D$5:$D$1004,$F889)))</ns0:f>
        <ns0:v/>
      </ns0:c>
      <ns0:c r="E889" s="12" t="str">
        <ns0:f>IF(OR(A889="",B889=""),"",MAX(0,TODAY()-A889))</ns0:f>
        <ns0:v/>
      </ns0:c>
      <ns0:c r="F889" s="9" t="str">
        <ns0:f>IFERROR(MATCH(ROW()-4,'販売記録'!$L$5:$L$1004,0),"")</ns0:f>
        <ns0:v/>
      </ns0:c>
    </ns0:row>
    <ns0:row r="890">
      <ns0:c r="A890" s="11" t="str">
        <ns0:f>IF($F890="","",IF(INDEX('販売記録'!$K$5:$K$1004,$F890)="","",INDEX('販売記録'!$K$5:$K$1004,$F890)))</ns0:f>
        <ns0:v/>
      </ns0:c>
      <ns0:c r="B890" s="9" t="str">
        <ns0:f>IF($F890="","",IF(INDEX('販売記録'!$B$5:$B$1004,$F890)="","",INDEX('販売記録'!$B$5:$B$1004,$F890)))</ns0:f>
        <ns0:v/>
      </ns0:c>
      <ns0:c r="C890" s="9" t="str">
        <ns0:f>IF($F890="","",IF(INDEX('販売記録'!$C$5:$C$1004,$F890)="","",INDEX('販売記録'!$C$5:$C$1004,$F890)))</ns0:f>
        <ns0:v/>
      </ns0:c>
      <ns0:c r="D890" s="8" t="str">
        <ns0:f>IF($F890="","",IF(INDEX('販売記録'!$D$5:$D$1004,$F890)="","",INDEX('販売記録'!$D$5:$D$1004,$F890)))</ns0:f>
        <ns0:v/>
      </ns0:c>
      <ns0:c r="E890" s="12" t="str">
        <ns0:f>IF(OR(A890="",B890=""),"",MAX(0,TODAY()-A890))</ns0:f>
        <ns0:v/>
      </ns0:c>
      <ns0:c r="F890" s="9" t="str">
        <ns0:f>IFERROR(MATCH(ROW()-4,'販売記録'!$L$5:$L$1004,0),"")</ns0:f>
        <ns0:v/>
      </ns0:c>
    </ns0:row>
    <ns0:row r="891">
      <ns0:c r="A891" s="11" t="str">
        <ns0:f>IF($F891="","",IF(INDEX('販売記録'!$K$5:$K$1004,$F891)="","",INDEX('販売記録'!$K$5:$K$1004,$F891)))</ns0:f>
        <ns0:v/>
      </ns0:c>
      <ns0:c r="B891" s="9" t="str">
        <ns0:f>IF($F891="","",IF(INDEX('販売記録'!$B$5:$B$1004,$F891)="","",INDEX('販売記録'!$B$5:$B$1004,$F891)))</ns0:f>
        <ns0:v/>
      </ns0:c>
      <ns0:c r="C891" s="9" t="str">
        <ns0:f>IF($F891="","",IF(INDEX('販売記録'!$C$5:$C$1004,$F891)="","",INDEX('販売記録'!$C$5:$C$1004,$F891)))</ns0:f>
        <ns0:v/>
      </ns0:c>
      <ns0:c r="D891" s="8" t="str">
        <ns0:f>IF($F891="","",IF(INDEX('販売記録'!$D$5:$D$1004,$F891)="","",INDEX('販売記録'!$D$5:$D$1004,$F891)))</ns0:f>
        <ns0:v/>
      </ns0:c>
      <ns0:c r="E891" s="12" t="str">
        <ns0:f>IF(OR(A891="",B891=""),"",MAX(0,TODAY()-A891))</ns0:f>
        <ns0:v/>
      </ns0:c>
      <ns0:c r="F891" s="9" t="str">
        <ns0:f>IFERROR(MATCH(ROW()-4,'販売記録'!$L$5:$L$1004,0),"")</ns0:f>
        <ns0:v/>
      </ns0:c>
    </ns0:row>
    <ns0:row r="892">
      <ns0:c r="A892" s="11" t="str">
        <ns0:f>IF($F892="","",IF(INDEX('販売記録'!$K$5:$K$1004,$F892)="","",INDEX('販売記録'!$K$5:$K$1004,$F892)))</ns0:f>
        <ns0:v/>
      </ns0:c>
      <ns0:c r="B892" s="9" t="str">
        <ns0:f>IF($F892="","",IF(INDEX('販売記録'!$B$5:$B$1004,$F892)="","",INDEX('販売記録'!$B$5:$B$1004,$F892)))</ns0:f>
        <ns0:v/>
      </ns0:c>
      <ns0:c r="C892" s="9" t="str">
        <ns0:f>IF($F892="","",IF(INDEX('販売記録'!$C$5:$C$1004,$F892)="","",INDEX('販売記録'!$C$5:$C$1004,$F892)))</ns0:f>
        <ns0:v/>
      </ns0:c>
      <ns0:c r="D892" s="8" t="str">
        <ns0:f>IF($F892="","",IF(INDEX('販売記録'!$D$5:$D$1004,$F892)="","",INDEX('販売記録'!$D$5:$D$1004,$F892)))</ns0:f>
        <ns0:v/>
      </ns0:c>
      <ns0:c r="E892" s="12" t="str">
        <ns0:f>IF(OR(A892="",B892=""),"",MAX(0,TODAY()-A892))</ns0:f>
        <ns0:v/>
      </ns0:c>
      <ns0:c r="F892" s="9" t="str">
        <ns0:f>IFERROR(MATCH(ROW()-4,'販売記録'!$L$5:$L$1004,0),"")</ns0:f>
        <ns0:v/>
      </ns0:c>
    </ns0:row>
    <ns0:row r="893">
      <ns0:c r="A893" s="11" t="str">
        <ns0:f>IF($F893="","",IF(INDEX('販売記録'!$K$5:$K$1004,$F893)="","",INDEX('販売記録'!$K$5:$K$1004,$F893)))</ns0:f>
        <ns0:v/>
      </ns0:c>
      <ns0:c r="B893" s="9" t="str">
        <ns0:f>IF($F893="","",IF(INDEX('販売記録'!$B$5:$B$1004,$F893)="","",INDEX('販売記録'!$B$5:$B$1004,$F893)))</ns0:f>
        <ns0:v/>
      </ns0:c>
      <ns0:c r="C893" s="9" t="str">
        <ns0:f>IF($F893="","",IF(INDEX('販売記録'!$C$5:$C$1004,$F893)="","",INDEX('販売記録'!$C$5:$C$1004,$F893)))</ns0:f>
        <ns0:v/>
      </ns0:c>
      <ns0:c r="D893" s="8" t="str">
        <ns0:f>IF($F893="","",IF(INDEX('販売記録'!$D$5:$D$1004,$F893)="","",INDEX('販売記録'!$D$5:$D$1004,$F893)))</ns0:f>
        <ns0:v/>
      </ns0:c>
      <ns0:c r="E893" s="12" t="str">
        <ns0:f>IF(OR(A893="",B893=""),"",MAX(0,TODAY()-A893))</ns0:f>
        <ns0:v/>
      </ns0:c>
      <ns0:c r="F893" s="9" t="str">
        <ns0:f>IFERROR(MATCH(ROW()-4,'販売記録'!$L$5:$L$1004,0),"")</ns0:f>
        <ns0:v/>
      </ns0:c>
    </ns0:row>
    <ns0:row r="894">
      <ns0:c r="A894" s="11" t="str">
        <ns0:f>IF($F894="","",IF(INDEX('販売記録'!$K$5:$K$1004,$F894)="","",INDEX('販売記録'!$K$5:$K$1004,$F894)))</ns0:f>
        <ns0:v/>
      </ns0:c>
      <ns0:c r="B894" s="9" t="str">
        <ns0:f>IF($F894="","",IF(INDEX('販売記録'!$B$5:$B$1004,$F894)="","",INDEX('販売記録'!$B$5:$B$1004,$F894)))</ns0:f>
        <ns0:v/>
      </ns0:c>
      <ns0:c r="C894" s="9" t="str">
        <ns0:f>IF($F894="","",IF(INDEX('販売記録'!$C$5:$C$1004,$F894)="","",INDEX('販売記録'!$C$5:$C$1004,$F894)))</ns0:f>
        <ns0:v/>
      </ns0:c>
      <ns0:c r="D894" s="8" t="str">
        <ns0:f>IF($F894="","",IF(INDEX('販売記録'!$D$5:$D$1004,$F894)="","",INDEX('販売記録'!$D$5:$D$1004,$F894)))</ns0:f>
        <ns0:v/>
      </ns0:c>
      <ns0:c r="E894" s="12" t="str">
        <ns0:f>IF(OR(A894="",B894=""),"",MAX(0,TODAY()-A894))</ns0:f>
        <ns0:v/>
      </ns0:c>
      <ns0:c r="F894" s="9" t="str">
        <ns0:f>IFERROR(MATCH(ROW()-4,'販売記録'!$L$5:$L$1004,0),"")</ns0:f>
        <ns0:v/>
      </ns0:c>
    </ns0:row>
    <ns0:row r="895">
      <ns0:c r="A895" s="11" t="str">
        <ns0:f>IF($F895="","",IF(INDEX('販売記録'!$K$5:$K$1004,$F895)="","",INDEX('販売記録'!$K$5:$K$1004,$F895)))</ns0:f>
        <ns0:v/>
      </ns0:c>
      <ns0:c r="B895" s="9" t="str">
        <ns0:f>IF($F895="","",IF(INDEX('販売記録'!$B$5:$B$1004,$F895)="","",INDEX('販売記録'!$B$5:$B$1004,$F895)))</ns0:f>
        <ns0:v/>
      </ns0:c>
      <ns0:c r="C895" s="9" t="str">
        <ns0:f>IF($F895="","",IF(INDEX('販売記録'!$C$5:$C$1004,$F895)="","",INDEX('販売記録'!$C$5:$C$1004,$F895)))</ns0:f>
        <ns0:v/>
      </ns0:c>
      <ns0:c r="D895" s="8" t="str">
        <ns0:f>IF($F895="","",IF(INDEX('販売記録'!$D$5:$D$1004,$F895)="","",INDEX('販売記録'!$D$5:$D$1004,$F895)))</ns0:f>
        <ns0:v/>
      </ns0:c>
      <ns0:c r="E895" s="12" t="str">
        <ns0:f>IF(OR(A895="",B895=""),"",MAX(0,TODAY()-A895))</ns0:f>
        <ns0:v/>
      </ns0:c>
      <ns0:c r="F895" s="9" t="str">
        <ns0:f>IFERROR(MATCH(ROW()-4,'販売記録'!$L$5:$L$1004,0),"")</ns0:f>
        <ns0:v/>
      </ns0:c>
    </ns0:row>
    <ns0:row r="896">
      <ns0:c r="A896" s="11" t="str">
        <ns0:f>IF($F896="","",IF(INDEX('販売記録'!$K$5:$K$1004,$F896)="","",INDEX('販売記録'!$K$5:$K$1004,$F896)))</ns0:f>
        <ns0:v/>
      </ns0:c>
      <ns0:c r="B896" s="9" t="str">
        <ns0:f>IF($F896="","",IF(INDEX('販売記録'!$B$5:$B$1004,$F896)="","",INDEX('販売記録'!$B$5:$B$1004,$F896)))</ns0:f>
        <ns0:v/>
      </ns0:c>
      <ns0:c r="C896" s="9" t="str">
        <ns0:f>IF($F896="","",IF(INDEX('販売記録'!$C$5:$C$1004,$F896)="","",INDEX('販売記録'!$C$5:$C$1004,$F896)))</ns0:f>
        <ns0:v/>
      </ns0:c>
      <ns0:c r="D896" s="8" t="str">
        <ns0:f>IF($F896="","",IF(INDEX('販売記録'!$D$5:$D$1004,$F896)="","",INDEX('販売記録'!$D$5:$D$1004,$F896)))</ns0:f>
        <ns0:v/>
      </ns0:c>
      <ns0:c r="E896" s="12" t="str">
        <ns0:f>IF(OR(A896="",B896=""),"",MAX(0,TODAY()-A896))</ns0:f>
        <ns0:v/>
      </ns0:c>
      <ns0:c r="F896" s="9" t="str">
        <ns0:f>IFERROR(MATCH(ROW()-4,'販売記録'!$L$5:$L$1004,0),"")</ns0:f>
        <ns0:v/>
      </ns0:c>
    </ns0:row>
    <ns0:row r="897">
      <ns0:c r="A897" s="11" t="str">
        <ns0:f>IF($F897="","",IF(INDEX('販売記録'!$K$5:$K$1004,$F897)="","",INDEX('販売記録'!$K$5:$K$1004,$F897)))</ns0:f>
        <ns0:v/>
      </ns0:c>
      <ns0:c r="B897" s="9" t="str">
        <ns0:f>IF($F897="","",IF(INDEX('販売記録'!$B$5:$B$1004,$F897)="","",INDEX('販売記録'!$B$5:$B$1004,$F897)))</ns0:f>
        <ns0:v/>
      </ns0:c>
      <ns0:c r="C897" s="9" t="str">
        <ns0:f>IF($F897="","",IF(INDEX('販売記録'!$C$5:$C$1004,$F897)="","",INDEX('販売記録'!$C$5:$C$1004,$F897)))</ns0:f>
        <ns0:v/>
      </ns0:c>
      <ns0:c r="D897" s="8" t="str">
        <ns0:f>IF($F897="","",IF(INDEX('販売記録'!$D$5:$D$1004,$F897)="","",INDEX('販売記録'!$D$5:$D$1004,$F897)))</ns0:f>
        <ns0:v/>
      </ns0:c>
      <ns0:c r="E897" s="12" t="str">
        <ns0:f>IF(OR(A897="",B897=""),"",MAX(0,TODAY()-A897))</ns0:f>
        <ns0:v/>
      </ns0:c>
      <ns0:c r="F897" s="9" t="str">
        <ns0:f>IFERROR(MATCH(ROW()-4,'販売記録'!$L$5:$L$1004,0),"")</ns0:f>
        <ns0:v/>
      </ns0:c>
    </ns0:row>
    <ns0:row r="898">
      <ns0:c r="A898" s="11" t="str">
        <ns0:f>IF($F898="","",IF(INDEX('販売記録'!$K$5:$K$1004,$F898)="","",INDEX('販売記録'!$K$5:$K$1004,$F898)))</ns0:f>
        <ns0:v/>
      </ns0:c>
      <ns0:c r="B898" s="9" t="str">
        <ns0:f>IF($F898="","",IF(INDEX('販売記録'!$B$5:$B$1004,$F898)="","",INDEX('販売記録'!$B$5:$B$1004,$F898)))</ns0:f>
        <ns0:v/>
      </ns0:c>
      <ns0:c r="C898" s="9" t="str">
        <ns0:f>IF($F898="","",IF(INDEX('販売記録'!$C$5:$C$1004,$F898)="","",INDEX('販売記録'!$C$5:$C$1004,$F898)))</ns0:f>
        <ns0:v/>
      </ns0:c>
      <ns0:c r="D898" s="8" t="str">
        <ns0:f>IF($F898="","",IF(INDEX('販売記録'!$D$5:$D$1004,$F898)="","",INDEX('販売記録'!$D$5:$D$1004,$F898)))</ns0:f>
        <ns0:v/>
      </ns0:c>
      <ns0:c r="E898" s="12" t="str">
        <ns0:f>IF(OR(A898="",B898=""),"",MAX(0,TODAY()-A898))</ns0:f>
        <ns0:v/>
      </ns0:c>
      <ns0:c r="F898" s="9" t="str">
        <ns0:f>IFERROR(MATCH(ROW()-4,'販売記録'!$L$5:$L$1004,0),"")</ns0:f>
        <ns0:v/>
      </ns0:c>
    </ns0:row>
    <ns0:row r="899">
      <ns0:c r="A899" s="11" t="str">
        <ns0:f>IF($F899="","",IF(INDEX('販売記録'!$K$5:$K$1004,$F899)="","",INDEX('販売記録'!$K$5:$K$1004,$F899)))</ns0:f>
        <ns0:v/>
      </ns0:c>
      <ns0:c r="B899" s="9" t="str">
        <ns0:f>IF($F899="","",IF(INDEX('販売記録'!$B$5:$B$1004,$F899)="","",INDEX('販売記録'!$B$5:$B$1004,$F899)))</ns0:f>
        <ns0:v/>
      </ns0:c>
      <ns0:c r="C899" s="9" t="str">
        <ns0:f>IF($F899="","",IF(INDEX('販売記録'!$C$5:$C$1004,$F899)="","",INDEX('販売記録'!$C$5:$C$1004,$F899)))</ns0:f>
        <ns0:v/>
      </ns0:c>
      <ns0:c r="D899" s="8" t="str">
        <ns0:f>IF($F899="","",IF(INDEX('販売記録'!$D$5:$D$1004,$F899)="","",INDEX('販売記録'!$D$5:$D$1004,$F899)))</ns0:f>
        <ns0:v/>
      </ns0:c>
      <ns0:c r="E899" s="12" t="str">
        <ns0:f>IF(OR(A899="",B899=""),"",MAX(0,TODAY()-A899))</ns0:f>
        <ns0:v/>
      </ns0:c>
      <ns0:c r="F899" s="9" t="str">
        <ns0:f>IFERROR(MATCH(ROW()-4,'販売記録'!$L$5:$L$1004,0),"")</ns0:f>
        <ns0:v/>
      </ns0:c>
    </ns0:row>
    <ns0:row r="900">
      <ns0:c r="A900" s="11" t="str">
        <ns0:f>IF($F900="","",IF(INDEX('販売記録'!$K$5:$K$1004,$F900)="","",INDEX('販売記録'!$K$5:$K$1004,$F900)))</ns0:f>
        <ns0:v/>
      </ns0:c>
      <ns0:c r="B900" s="9" t="str">
        <ns0:f>IF($F900="","",IF(INDEX('販売記録'!$B$5:$B$1004,$F900)="","",INDEX('販売記録'!$B$5:$B$1004,$F900)))</ns0:f>
        <ns0:v/>
      </ns0:c>
      <ns0:c r="C900" s="9" t="str">
        <ns0:f>IF($F900="","",IF(INDEX('販売記録'!$C$5:$C$1004,$F900)="","",INDEX('販売記録'!$C$5:$C$1004,$F900)))</ns0:f>
        <ns0:v/>
      </ns0:c>
      <ns0:c r="D900" s="8" t="str">
        <ns0:f>IF($F900="","",IF(INDEX('販売記録'!$D$5:$D$1004,$F900)="","",INDEX('販売記録'!$D$5:$D$1004,$F900)))</ns0:f>
        <ns0:v/>
      </ns0:c>
      <ns0:c r="E900" s="12" t="str">
        <ns0:f>IF(OR(A900="",B900=""),"",MAX(0,TODAY()-A900))</ns0:f>
        <ns0:v/>
      </ns0:c>
      <ns0:c r="F900" s="9" t="str">
        <ns0:f>IFERROR(MATCH(ROW()-4,'販売記録'!$L$5:$L$1004,0),"")</ns0:f>
        <ns0:v/>
      </ns0:c>
    </ns0:row>
    <ns0:row r="901">
      <ns0:c r="A901" s="11" t="str">
        <ns0:f>IF($F901="","",IF(INDEX('販売記録'!$K$5:$K$1004,$F901)="","",INDEX('販売記録'!$K$5:$K$1004,$F901)))</ns0:f>
        <ns0:v/>
      </ns0:c>
      <ns0:c r="B901" s="9" t="str">
        <ns0:f>IF($F901="","",IF(INDEX('販売記録'!$B$5:$B$1004,$F901)="","",INDEX('販売記録'!$B$5:$B$1004,$F901)))</ns0:f>
        <ns0:v/>
      </ns0:c>
      <ns0:c r="C901" s="9" t="str">
        <ns0:f>IF($F901="","",IF(INDEX('販売記録'!$C$5:$C$1004,$F901)="","",INDEX('販売記録'!$C$5:$C$1004,$F901)))</ns0:f>
        <ns0:v/>
      </ns0:c>
      <ns0:c r="D901" s="8" t="str">
        <ns0:f>IF($F901="","",IF(INDEX('販売記録'!$D$5:$D$1004,$F901)="","",INDEX('販売記録'!$D$5:$D$1004,$F901)))</ns0:f>
        <ns0:v/>
      </ns0:c>
      <ns0:c r="E901" s="12" t="str">
        <ns0:f>IF(OR(A901="",B901=""),"",MAX(0,TODAY()-A901))</ns0:f>
        <ns0:v/>
      </ns0:c>
      <ns0:c r="F901" s="9" t="str">
        <ns0:f>IFERROR(MATCH(ROW()-4,'販売記録'!$L$5:$L$1004,0),"")</ns0:f>
        <ns0:v/>
      </ns0:c>
    </ns0:row>
    <ns0:row r="902">
      <ns0:c r="A902" s="11" t="str">
        <ns0:f>IF($F902="","",IF(INDEX('販売記録'!$K$5:$K$1004,$F902)="","",INDEX('販売記録'!$K$5:$K$1004,$F902)))</ns0:f>
        <ns0:v/>
      </ns0:c>
      <ns0:c r="B902" s="9" t="str">
        <ns0:f>IF($F902="","",IF(INDEX('販売記録'!$B$5:$B$1004,$F902)="","",INDEX('販売記録'!$B$5:$B$1004,$F902)))</ns0:f>
        <ns0:v/>
      </ns0:c>
      <ns0:c r="C902" s="9" t="str">
        <ns0:f>IF($F902="","",IF(INDEX('販売記録'!$C$5:$C$1004,$F902)="","",INDEX('販売記録'!$C$5:$C$1004,$F902)))</ns0:f>
        <ns0:v/>
      </ns0:c>
      <ns0:c r="D902" s="8" t="str">
        <ns0:f>IF($F902="","",IF(INDEX('販売記録'!$D$5:$D$1004,$F902)="","",INDEX('販売記録'!$D$5:$D$1004,$F902)))</ns0:f>
        <ns0:v/>
      </ns0:c>
      <ns0:c r="E902" s="12" t="str">
        <ns0:f>IF(OR(A902="",B902=""),"",MAX(0,TODAY()-A902))</ns0:f>
        <ns0:v/>
      </ns0:c>
      <ns0:c r="F902" s="9" t="str">
        <ns0:f>IFERROR(MATCH(ROW()-4,'販売記録'!$L$5:$L$1004,0),"")</ns0:f>
        <ns0:v/>
      </ns0:c>
    </ns0:row>
    <ns0:row r="903">
      <ns0:c r="A903" s="11" t="str">
        <ns0:f>IF($F903="","",IF(INDEX('販売記録'!$K$5:$K$1004,$F903)="","",INDEX('販売記録'!$K$5:$K$1004,$F903)))</ns0:f>
        <ns0:v/>
      </ns0:c>
      <ns0:c r="B903" s="9" t="str">
        <ns0:f>IF($F903="","",IF(INDEX('販売記録'!$B$5:$B$1004,$F903)="","",INDEX('販売記録'!$B$5:$B$1004,$F903)))</ns0:f>
        <ns0:v/>
      </ns0:c>
      <ns0:c r="C903" s="9" t="str">
        <ns0:f>IF($F903="","",IF(INDEX('販売記録'!$C$5:$C$1004,$F903)="","",INDEX('販売記録'!$C$5:$C$1004,$F903)))</ns0:f>
        <ns0:v/>
      </ns0:c>
      <ns0:c r="D903" s="8" t="str">
        <ns0:f>IF($F903="","",IF(INDEX('販売記録'!$D$5:$D$1004,$F903)="","",INDEX('販売記録'!$D$5:$D$1004,$F903)))</ns0:f>
        <ns0:v/>
      </ns0:c>
      <ns0:c r="E903" s="12" t="str">
        <ns0:f>IF(OR(A903="",B903=""),"",MAX(0,TODAY()-A903))</ns0:f>
        <ns0:v/>
      </ns0:c>
      <ns0:c r="F903" s="9" t="str">
        <ns0:f>IFERROR(MATCH(ROW()-4,'販売記録'!$L$5:$L$1004,0),"")</ns0:f>
        <ns0:v/>
      </ns0:c>
    </ns0:row>
    <ns0:row r="904">
      <ns0:c r="A904" s="11" t="str">
        <ns0:f>IF($F904="","",IF(INDEX('販売記録'!$K$5:$K$1004,$F904)="","",INDEX('販売記録'!$K$5:$K$1004,$F904)))</ns0:f>
        <ns0:v/>
      </ns0:c>
      <ns0:c r="B904" s="9" t="str">
        <ns0:f>IF($F904="","",IF(INDEX('販売記録'!$B$5:$B$1004,$F904)="","",INDEX('販売記録'!$B$5:$B$1004,$F904)))</ns0:f>
        <ns0:v/>
      </ns0:c>
      <ns0:c r="C904" s="9" t="str">
        <ns0:f>IF($F904="","",IF(INDEX('販売記録'!$C$5:$C$1004,$F904)="","",INDEX('販売記録'!$C$5:$C$1004,$F904)))</ns0:f>
        <ns0:v/>
      </ns0:c>
      <ns0:c r="D904" s="8" t="str">
        <ns0:f>IF($F904="","",IF(INDEX('販売記録'!$D$5:$D$1004,$F904)="","",INDEX('販売記録'!$D$5:$D$1004,$F904)))</ns0:f>
        <ns0:v/>
      </ns0:c>
      <ns0:c r="E904" s="12" t="str">
        <ns0:f>IF(OR(A904="",B904=""),"",MAX(0,TODAY()-A904))</ns0:f>
        <ns0:v/>
      </ns0:c>
      <ns0:c r="F904" s="9" t="str">
        <ns0:f>IFERROR(MATCH(ROW()-4,'販売記録'!$L$5:$L$1004,0),"")</ns0:f>
        <ns0:v/>
      </ns0:c>
    </ns0:row>
    <ns0:row r="905">
      <ns0:c r="A905" s="11" t="str">
        <ns0:f>IF($F905="","",IF(INDEX('販売記録'!$K$5:$K$1004,$F905)="","",INDEX('販売記録'!$K$5:$K$1004,$F905)))</ns0:f>
        <ns0:v/>
      </ns0:c>
      <ns0:c r="B905" s="9" t="str">
        <ns0:f>IF($F905="","",IF(INDEX('販売記録'!$B$5:$B$1004,$F905)="","",INDEX('販売記録'!$B$5:$B$1004,$F905)))</ns0:f>
        <ns0:v/>
      </ns0:c>
      <ns0:c r="C905" s="9" t="str">
        <ns0:f>IF($F905="","",IF(INDEX('販売記録'!$C$5:$C$1004,$F905)="","",INDEX('販売記録'!$C$5:$C$1004,$F905)))</ns0:f>
        <ns0:v/>
      </ns0:c>
      <ns0:c r="D905" s="8" t="str">
        <ns0:f>IF($F905="","",IF(INDEX('販売記録'!$D$5:$D$1004,$F905)="","",INDEX('販売記録'!$D$5:$D$1004,$F905)))</ns0:f>
        <ns0:v/>
      </ns0:c>
      <ns0:c r="E905" s="12" t="str">
        <ns0:f>IF(OR(A905="",B905=""),"",MAX(0,TODAY()-A905))</ns0:f>
        <ns0:v/>
      </ns0:c>
      <ns0:c r="F905" s="9" t="str">
        <ns0:f>IFERROR(MATCH(ROW()-4,'販売記録'!$L$5:$L$1004,0),"")</ns0:f>
        <ns0:v/>
      </ns0:c>
    </ns0:row>
    <ns0:row r="906">
      <ns0:c r="A906" s="11" t="str">
        <ns0:f>IF($F906="","",IF(INDEX('販売記録'!$K$5:$K$1004,$F906)="","",INDEX('販売記録'!$K$5:$K$1004,$F906)))</ns0:f>
        <ns0:v/>
      </ns0:c>
      <ns0:c r="B906" s="9" t="str">
        <ns0:f>IF($F906="","",IF(INDEX('販売記録'!$B$5:$B$1004,$F906)="","",INDEX('販売記録'!$B$5:$B$1004,$F906)))</ns0:f>
        <ns0:v/>
      </ns0:c>
      <ns0:c r="C906" s="9" t="str">
        <ns0:f>IF($F906="","",IF(INDEX('販売記録'!$C$5:$C$1004,$F906)="","",INDEX('販売記録'!$C$5:$C$1004,$F906)))</ns0:f>
        <ns0:v/>
      </ns0:c>
      <ns0:c r="D906" s="8" t="str">
        <ns0:f>IF($F906="","",IF(INDEX('販売記録'!$D$5:$D$1004,$F906)="","",INDEX('販売記録'!$D$5:$D$1004,$F906)))</ns0:f>
        <ns0:v/>
      </ns0:c>
      <ns0:c r="E906" s="12" t="str">
        <ns0:f>IF(OR(A906="",B906=""),"",MAX(0,TODAY()-A906))</ns0:f>
        <ns0:v/>
      </ns0:c>
      <ns0:c r="F906" s="9" t="str">
        <ns0:f>IFERROR(MATCH(ROW()-4,'販売記録'!$L$5:$L$1004,0),"")</ns0:f>
        <ns0:v/>
      </ns0:c>
    </ns0:row>
    <ns0:row r="907">
      <ns0:c r="A907" s="11" t="str">
        <ns0:f>IF($F907="","",IF(INDEX('販売記録'!$K$5:$K$1004,$F907)="","",INDEX('販売記録'!$K$5:$K$1004,$F907)))</ns0:f>
        <ns0:v/>
      </ns0:c>
      <ns0:c r="B907" s="9" t="str">
        <ns0:f>IF($F907="","",IF(INDEX('販売記録'!$B$5:$B$1004,$F907)="","",INDEX('販売記録'!$B$5:$B$1004,$F907)))</ns0:f>
        <ns0:v/>
      </ns0:c>
      <ns0:c r="C907" s="9" t="str">
        <ns0:f>IF($F907="","",IF(INDEX('販売記録'!$C$5:$C$1004,$F907)="","",INDEX('販売記録'!$C$5:$C$1004,$F907)))</ns0:f>
        <ns0:v/>
      </ns0:c>
      <ns0:c r="D907" s="8" t="str">
        <ns0:f>IF($F907="","",IF(INDEX('販売記録'!$D$5:$D$1004,$F907)="","",INDEX('販売記録'!$D$5:$D$1004,$F907)))</ns0:f>
        <ns0:v/>
      </ns0:c>
      <ns0:c r="E907" s="12" t="str">
        <ns0:f>IF(OR(A907="",B907=""),"",MAX(0,TODAY()-A907))</ns0:f>
        <ns0:v/>
      </ns0:c>
      <ns0:c r="F907" s="9" t="str">
        <ns0:f>IFERROR(MATCH(ROW()-4,'販売記録'!$L$5:$L$1004,0),"")</ns0:f>
        <ns0:v/>
      </ns0:c>
    </ns0:row>
    <ns0:row r="908">
      <ns0:c r="A908" s="11" t="str">
        <ns0:f>IF($F908="","",IF(INDEX('販売記録'!$K$5:$K$1004,$F908)="","",INDEX('販売記録'!$K$5:$K$1004,$F908)))</ns0:f>
        <ns0:v/>
      </ns0:c>
      <ns0:c r="B908" s="9" t="str">
        <ns0:f>IF($F908="","",IF(INDEX('販売記録'!$B$5:$B$1004,$F908)="","",INDEX('販売記録'!$B$5:$B$1004,$F908)))</ns0:f>
        <ns0:v/>
      </ns0:c>
      <ns0:c r="C908" s="9" t="str">
        <ns0:f>IF($F908="","",IF(INDEX('販売記録'!$C$5:$C$1004,$F908)="","",INDEX('販売記録'!$C$5:$C$1004,$F908)))</ns0:f>
        <ns0:v/>
      </ns0:c>
      <ns0:c r="D908" s="8" t="str">
        <ns0:f>IF($F908="","",IF(INDEX('販売記録'!$D$5:$D$1004,$F908)="","",INDEX('販売記録'!$D$5:$D$1004,$F908)))</ns0:f>
        <ns0:v/>
      </ns0:c>
      <ns0:c r="E908" s="12" t="str">
        <ns0:f>IF(OR(A908="",B908=""),"",MAX(0,TODAY()-A908))</ns0:f>
        <ns0:v/>
      </ns0:c>
      <ns0:c r="F908" s="9" t="str">
        <ns0:f>IFERROR(MATCH(ROW()-4,'販売記録'!$L$5:$L$1004,0),"")</ns0:f>
        <ns0:v/>
      </ns0:c>
    </ns0:row>
    <ns0:row r="909">
      <ns0:c r="A909" s="11" t="str">
        <ns0:f>IF($F909="","",IF(INDEX('販売記録'!$K$5:$K$1004,$F909)="","",INDEX('販売記録'!$K$5:$K$1004,$F909)))</ns0:f>
        <ns0:v/>
      </ns0:c>
      <ns0:c r="B909" s="9" t="str">
        <ns0:f>IF($F909="","",IF(INDEX('販売記録'!$B$5:$B$1004,$F909)="","",INDEX('販売記録'!$B$5:$B$1004,$F909)))</ns0:f>
        <ns0:v/>
      </ns0:c>
      <ns0:c r="C909" s="9" t="str">
        <ns0:f>IF($F909="","",IF(INDEX('販売記録'!$C$5:$C$1004,$F909)="","",INDEX('販売記録'!$C$5:$C$1004,$F909)))</ns0:f>
        <ns0:v/>
      </ns0:c>
      <ns0:c r="D909" s="8" t="str">
        <ns0:f>IF($F909="","",IF(INDEX('販売記録'!$D$5:$D$1004,$F909)="","",INDEX('販売記録'!$D$5:$D$1004,$F909)))</ns0:f>
        <ns0:v/>
      </ns0:c>
      <ns0:c r="E909" s="12" t="str">
        <ns0:f>IF(OR(A909="",B909=""),"",MAX(0,TODAY()-A909))</ns0:f>
        <ns0:v/>
      </ns0:c>
      <ns0:c r="F909" s="9" t="str">
        <ns0:f>IFERROR(MATCH(ROW()-4,'販売記録'!$L$5:$L$1004,0),"")</ns0:f>
        <ns0:v/>
      </ns0:c>
    </ns0:row>
    <ns0:row r="910">
      <ns0:c r="A910" s="11" t="str">
        <ns0:f>IF($F910="","",IF(INDEX('販売記録'!$K$5:$K$1004,$F910)="","",INDEX('販売記録'!$K$5:$K$1004,$F910)))</ns0:f>
        <ns0:v/>
      </ns0:c>
      <ns0:c r="B910" s="9" t="str">
        <ns0:f>IF($F910="","",IF(INDEX('販売記録'!$B$5:$B$1004,$F910)="","",INDEX('販売記録'!$B$5:$B$1004,$F910)))</ns0:f>
        <ns0:v/>
      </ns0:c>
      <ns0:c r="C910" s="9" t="str">
        <ns0:f>IF($F910="","",IF(INDEX('販売記録'!$C$5:$C$1004,$F910)="","",INDEX('販売記録'!$C$5:$C$1004,$F910)))</ns0:f>
        <ns0:v/>
      </ns0:c>
      <ns0:c r="D910" s="8" t="str">
        <ns0:f>IF($F910="","",IF(INDEX('販売記録'!$D$5:$D$1004,$F910)="","",INDEX('販売記録'!$D$5:$D$1004,$F910)))</ns0:f>
        <ns0:v/>
      </ns0:c>
      <ns0:c r="E910" s="12" t="str">
        <ns0:f>IF(OR(A910="",B910=""),"",MAX(0,TODAY()-A910))</ns0:f>
        <ns0:v/>
      </ns0:c>
      <ns0:c r="F910" s="9" t="str">
        <ns0:f>IFERROR(MATCH(ROW()-4,'販売記録'!$L$5:$L$1004,0),"")</ns0:f>
        <ns0:v/>
      </ns0:c>
    </ns0:row>
    <ns0:row r="911">
      <ns0:c r="A911" s="11" t="str">
        <ns0:f>IF($F911="","",IF(INDEX('販売記録'!$K$5:$K$1004,$F911)="","",INDEX('販売記録'!$K$5:$K$1004,$F911)))</ns0:f>
        <ns0:v/>
      </ns0:c>
      <ns0:c r="B911" s="9" t="str">
        <ns0:f>IF($F911="","",IF(INDEX('販売記録'!$B$5:$B$1004,$F911)="","",INDEX('販売記録'!$B$5:$B$1004,$F911)))</ns0:f>
        <ns0:v/>
      </ns0:c>
      <ns0:c r="C911" s="9" t="str">
        <ns0:f>IF($F911="","",IF(INDEX('販売記録'!$C$5:$C$1004,$F911)="","",INDEX('販売記録'!$C$5:$C$1004,$F911)))</ns0:f>
        <ns0:v/>
      </ns0:c>
      <ns0:c r="D911" s="8" t="str">
        <ns0:f>IF($F911="","",IF(INDEX('販売記録'!$D$5:$D$1004,$F911)="","",INDEX('販売記録'!$D$5:$D$1004,$F911)))</ns0:f>
        <ns0:v/>
      </ns0:c>
      <ns0:c r="E911" s="12" t="str">
        <ns0:f>IF(OR(A911="",B911=""),"",MAX(0,TODAY()-A911))</ns0:f>
        <ns0:v/>
      </ns0:c>
      <ns0:c r="F911" s="9" t="str">
        <ns0:f>IFERROR(MATCH(ROW()-4,'販売記録'!$L$5:$L$1004,0),"")</ns0:f>
        <ns0:v/>
      </ns0:c>
    </ns0:row>
    <ns0:row r="912">
      <ns0:c r="A912" s="11" t="str">
        <ns0:f>IF($F912="","",IF(INDEX('販売記録'!$K$5:$K$1004,$F912)="","",INDEX('販売記録'!$K$5:$K$1004,$F912)))</ns0:f>
        <ns0:v/>
      </ns0:c>
      <ns0:c r="B912" s="9" t="str">
        <ns0:f>IF($F912="","",IF(INDEX('販売記録'!$B$5:$B$1004,$F912)="","",INDEX('販売記録'!$B$5:$B$1004,$F912)))</ns0:f>
        <ns0:v/>
      </ns0:c>
      <ns0:c r="C912" s="9" t="str">
        <ns0:f>IF($F912="","",IF(INDEX('販売記録'!$C$5:$C$1004,$F912)="","",INDEX('販売記録'!$C$5:$C$1004,$F912)))</ns0:f>
        <ns0:v/>
      </ns0:c>
      <ns0:c r="D912" s="8" t="str">
        <ns0:f>IF($F912="","",IF(INDEX('販売記録'!$D$5:$D$1004,$F912)="","",INDEX('販売記録'!$D$5:$D$1004,$F912)))</ns0:f>
        <ns0:v/>
      </ns0:c>
      <ns0:c r="E912" s="12" t="str">
        <ns0:f>IF(OR(A912="",B912=""),"",MAX(0,TODAY()-A912))</ns0:f>
        <ns0:v/>
      </ns0:c>
      <ns0:c r="F912" s="9" t="str">
        <ns0:f>IFERROR(MATCH(ROW()-4,'販売記録'!$L$5:$L$1004,0),"")</ns0:f>
        <ns0:v/>
      </ns0:c>
    </ns0:row>
    <ns0:row r="913">
      <ns0:c r="A913" s="11" t="str">
        <ns0:f>IF($F913="","",IF(INDEX('販売記録'!$K$5:$K$1004,$F913)="","",INDEX('販売記録'!$K$5:$K$1004,$F913)))</ns0:f>
        <ns0:v/>
      </ns0:c>
      <ns0:c r="B913" s="9" t="str">
        <ns0:f>IF($F913="","",IF(INDEX('販売記録'!$B$5:$B$1004,$F913)="","",INDEX('販売記録'!$B$5:$B$1004,$F913)))</ns0:f>
        <ns0:v/>
      </ns0:c>
      <ns0:c r="C913" s="9" t="str">
        <ns0:f>IF($F913="","",IF(INDEX('販売記録'!$C$5:$C$1004,$F913)="","",INDEX('販売記録'!$C$5:$C$1004,$F913)))</ns0:f>
        <ns0:v/>
      </ns0:c>
      <ns0:c r="D913" s="8" t="str">
        <ns0:f>IF($F913="","",IF(INDEX('販売記録'!$D$5:$D$1004,$F913)="","",INDEX('販売記録'!$D$5:$D$1004,$F913)))</ns0:f>
        <ns0:v/>
      </ns0:c>
      <ns0:c r="E913" s="12" t="str">
        <ns0:f>IF(OR(A913="",B913=""),"",MAX(0,TODAY()-A913))</ns0:f>
        <ns0:v/>
      </ns0:c>
      <ns0:c r="F913" s="9" t="str">
        <ns0:f>IFERROR(MATCH(ROW()-4,'販売記録'!$L$5:$L$1004,0),"")</ns0:f>
        <ns0:v/>
      </ns0:c>
    </ns0:row>
    <ns0:row r="914">
      <ns0:c r="A914" s="11" t="str">
        <ns0:f>IF($F914="","",IF(INDEX('販売記録'!$K$5:$K$1004,$F914)="","",INDEX('販売記録'!$K$5:$K$1004,$F914)))</ns0:f>
        <ns0:v/>
      </ns0:c>
      <ns0:c r="B914" s="9" t="str">
        <ns0:f>IF($F914="","",IF(INDEX('販売記録'!$B$5:$B$1004,$F914)="","",INDEX('販売記録'!$B$5:$B$1004,$F914)))</ns0:f>
        <ns0:v/>
      </ns0:c>
      <ns0:c r="C914" s="9" t="str">
        <ns0:f>IF($F914="","",IF(INDEX('販売記録'!$C$5:$C$1004,$F914)="","",INDEX('販売記録'!$C$5:$C$1004,$F914)))</ns0:f>
        <ns0:v/>
      </ns0:c>
      <ns0:c r="D914" s="8" t="str">
        <ns0:f>IF($F914="","",IF(INDEX('販売記録'!$D$5:$D$1004,$F914)="","",INDEX('販売記録'!$D$5:$D$1004,$F914)))</ns0:f>
        <ns0:v/>
      </ns0:c>
      <ns0:c r="E914" s="12" t="str">
        <ns0:f>IF(OR(A914="",B914=""),"",MAX(0,TODAY()-A914))</ns0:f>
        <ns0:v/>
      </ns0:c>
      <ns0:c r="F914" s="9" t="str">
        <ns0:f>IFERROR(MATCH(ROW()-4,'販売記録'!$L$5:$L$1004,0),"")</ns0:f>
        <ns0:v/>
      </ns0:c>
    </ns0:row>
    <ns0:row r="915">
      <ns0:c r="A915" s="11" t="str">
        <ns0:f>IF($F915="","",IF(INDEX('販売記録'!$K$5:$K$1004,$F915)="","",INDEX('販売記録'!$K$5:$K$1004,$F915)))</ns0:f>
        <ns0:v/>
      </ns0:c>
      <ns0:c r="B915" s="9" t="str">
        <ns0:f>IF($F915="","",IF(INDEX('販売記録'!$B$5:$B$1004,$F915)="","",INDEX('販売記録'!$B$5:$B$1004,$F915)))</ns0:f>
        <ns0:v/>
      </ns0:c>
      <ns0:c r="C915" s="9" t="str">
        <ns0:f>IF($F915="","",IF(INDEX('販売記録'!$C$5:$C$1004,$F915)="","",INDEX('販売記録'!$C$5:$C$1004,$F915)))</ns0:f>
        <ns0:v/>
      </ns0:c>
      <ns0:c r="D915" s="8" t="str">
        <ns0:f>IF($F915="","",IF(INDEX('販売記録'!$D$5:$D$1004,$F915)="","",INDEX('販売記録'!$D$5:$D$1004,$F915)))</ns0:f>
        <ns0:v/>
      </ns0:c>
      <ns0:c r="E915" s="12" t="str">
        <ns0:f>IF(OR(A915="",B915=""),"",MAX(0,TODAY()-A915))</ns0:f>
        <ns0:v/>
      </ns0:c>
      <ns0:c r="F915" s="9" t="str">
        <ns0:f>IFERROR(MATCH(ROW()-4,'販売記録'!$L$5:$L$1004,0),"")</ns0:f>
        <ns0:v/>
      </ns0:c>
    </ns0:row>
    <ns0:row r="916">
      <ns0:c r="A916" s="11" t="str">
        <ns0:f>IF($F916="","",IF(INDEX('販売記録'!$K$5:$K$1004,$F916)="","",INDEX('販売記録'!$K$5:$K$1004,$F916)))</ns0:f>
        <ns0:v/>
      </ns0:c>
      <ns0:c r="B916" s="9" t="str">
        <ns0:f>IF($F916="","",IF(INDEX('販売記録'!$B$5:$B$1004,$F916)="","",INDEX('販売記録'!$B$5:$B$1004,$F916)))</ns0:f>
        <ns0:v/>
      </ns0:c>
      <ns0:c r="C916" s="9" t="str">
        <ns0:f>IF($F916="","",IF(INDEX('販売記録'!$C$5:$C$1004,$F916)="","",INDEX('販売記録'!$C$5:$C$1004,$F916)))</ns0:f>
        <ns0:v/>
      </ns0:c>
      <ns0:c r="D916" s="8" t="str">
        <ns0:f>IF($F916="","",IF(INDEX('販売記録'!$D$5:$D$1004,$F916)="","",INDEX('販売記録'!$D$5:$D$1004,$F916)))</ns0:f>
        <ns0:v/>
      </ns0:c>
      <ns0:c r="E916" s="12" t="str">
        <ns0:f>IF(OR(A916="",B916=""),"",MAX(0,TODAY()-A916))</ns0:f>
        <ns0:v/>
      </ns0:c>
      <ns0:c r="F916" s="9" t="str">
        <ns0:f>IFERROR(MATCH(ROW()-4,'販売記録'!$L$5:$L$1004,0),"")</ns0:f>
        <ns0:v/>
      </ns0:c>
    </ns0:row>
    <ns0:row r="917">
      <ns0:c r="A917" s="11" t="str">
        <ns0:f>IF($F917="","",IF(INDEX('販売記録'!$K$5:$K$1004,$F917)="","",INDEX('販売記録'!$K$5:$K$1004,$F917)))</ns0:f>
        <ns0:v/>
      </ns0:c>
      <ns0:c r="B917" s="9" t="str">
        <ns0:f>IF($F917="","",IF(INDEX('販売記録'!$B$5:$B$1004,$F917)="","",INDEX('販売記録'!$B$5:$B$1004,$F917)))</ns0:f>
        <ns0:v/>
      </ns0:c>
      <ns0:c r="C917" s="9" t="str">
        <ns0:f>IF($F917="","",IF(INDEX('販売記録'!$C$5:$C$1004,$F917)="","",INDEX('販売記録'!$C$5:$C$1004,$F917)))</ns0:f>
        <ns0:v/>
      </ns0:c>
      <ns0:c r="D917" s="8" t="str">
        <ns0:f>IF($F917="","",IF(INDEX('販売記録'!$D$5:$D$1004,$F917)="","",INDEX('販売記録'!$D$5:$D$1004,$F917)))</ns0:f>
        <ns0:v/>
      </ns0:c>
      <ns0:c r="E917" s="12" t="str">
        <ns0:f>IF(OR(A917="",B917=""),"",MAX(0,TODAY()-A917))</ns0:f>
        <ns0:v/>
      </ns0:c>
      <ns0:c r="F917" s="9" t="str">
        <ns0:f>IFERROR(MATCH(ROW()-4,'販売記録'!$L$5:$L$1004,0),"")</ns0:f>
        <ns0:v/>
      </ns0:c>
    </ns0:row>
    <ns0:row r="918">
      <ns0:c r="A918" s="11" t="str">
        <ns0:f>IF($F918="","",IF(INDEX('販売記録'!$K$5:$K$1004,$F918)="","",INDEX('販売記録'!$K$5:$K$1004,$F918)))</ns0:f>
        <ns0:v/>
      </ns0:c>
      <ns0:c r="B918" s="9" t="str">
        <ns0:f>IF($F918="","",IF(INDEX('販売記録'!$B$5:$B$1004,$F918)="","",INDEX('販売記録'!$B$5:$B$1004,$F918)))</ns0:f>
        <ns0:v/>
      </ns0:c>
      <ns0:c r="C918" s="9" t="str">
        <ns0:f>IF($F918="","",IF(INDEX('販売記録'!$C$5:$C$1004,$F918)="","",INDEX('販売記録'!$C$5:$C$1004,$F918)))</ns0:f>
        <ns0:v/>
      </ns0:c>
      <ns0:c r="D918" s="8" t="str">
        <ns0:f>IF($F918="","",IF(INDEX('販売記録'!$D$5:$D$1004,$F918)="","",INDEX('販売記録'!$D$5:$D$1004,$F918)))</ns0:f>
        <ns0:v/>
      </ns0:c>
      <ns0:c r="E918" s="12" t="str">
        <ns0:f>IF(OR(A918="",B918=""),"",MAX(0,TODAY()-A918))</ns0:f>
        <ns0:v/>
      </ns0:c>
      <ns0:c r="F918" s="9" t="str">
        <ns0:f>IFERROR(MATCH(ROW()-4,'販売記録'!$L$5:$L$1004,0),"")</ns0:f>
        <ns0:v/>
      </ns0:c>
    </ns0:row>
    <ns0:row r="919">
      <ns0:c r="A919" s="11" t="str">
        <ns0:f>IF($F919="","",IF(INDEX('販売記録'!$K$5:$K$1004,$F919)="","",INDEX('販売記録'!$K$5:$K$1004,$F919)))</ns0:f>
        <ns0:v/>
      </ns0:c>
      <ns0:c r="B919" s="9" t="str">
        <ns0:f>IF($F919="","",IF(INDEX('販売記録'!$B$5:$B$1004,$F919)="","",INDEX('販売記録'!$B$5:$B$1004,$F919)))</ns0:f>
        <ns0:v/>
      </ns0:c>
      <ns0:c r="C919" s="9" t="str">
        <ns0:f>IF($F919="","",IF(INDEX('販売記録'!$C$5:$C$1004,$F919)="","",INDEX('販売記録'!$C$5:$C$1004,$F919)))</ns0:f>
        <ns0:v/>
      </ns0:c>
      <ns0:c r="D919" s="8" t="str">
        <ns0:f>IF($F919="","",IF(INDEX('販売記録'!$D$5:$D$1004,$F919)="","",INDEX('販売記録'!$D$5:$D$1004,$F919)))</ns0:f>
        <ns0:v/>
      </ns0:c>
      <ns0:c r="E919" s="12" t="str">
        <ns0:f>IF(OR(A919="",B919=""),"",MAX(0,TODAY()-A919))</ns0:f>
        <ns0:v/>
      </ns0:c>
      <ns0:c r="F919" s="9" t="str">
        <ns0:f>IFERROR(MATCH(ROW()-4,'販売記録'!$L$5:$L$1004,0),"")</ns0:f>
        <ns0:v/>
      </ns0:c>
    </ns0:row>
    <ns0:row r="920">
      <ns0:c r="A920" s="11" t="str">
        <ns0:f>IF($F920="","",IF(INDEX('販売記録'!$K$5:$K$1004,$F920)="","",INDEX('販売記録'!$K$5:$K$1004,$F920)))</ns0:f>
        <ns0:v/>
      </ns0:c>
      <ns0:c r="B920" s="9" t="str">
        <ns0:f>IF($F920="","",IF(INDEX('販売記録'!$B$5:$B$1004,$F920)="","",INDEX('販売記録'!$B$5:$B$1004,$F920)))</ns0:f>
        <ns0:v/>
      </ns0:c>
      <ns0:c r="C920" s="9" t="str">
        <ns0:f>IF($F920="","",IF(INDEX('販売記録'!$C$5:$C$1004,$F920)="","",INDEX('販売記録'!$C$5:$C$1004,$F920)))</ns0:f>
        <ns0:v/>
      </ns0:c>
      <ns0:c r="D920" s="8" t="str">
        <ns0:f>IF($F920="","",IF(INDEX('販売記録'!$D$5:$D$1004,$F920)="","",INDEX('販売記録'!$D$5:$D$1004,$F920)))</ns0:f>
        <ns0:v/>
      </ns0:c>
      <ns0:c r="E920" s="12" t="str">
        <ns0:f>IF(OR(A920="",B920=""),"",MAX(0,TODAY()-A920))</ns0:f>
        <ns0:v/>
      </ns0:c>
      <ns0:c r="F920" s="9" t="str">
        <ns0:f>IFERROR(MATCH(ROW()-4,'販売記録'!$L$5:$L$1004,0),"")</ns0:f>
        <ns0:v/>
      </ns0:c>
    </ns0:row>
    <ns0:row r="921">
      <ns0:c r="A921" s="11" t="str">
        <ns0:f>IF($F921="","",IF(INDEX('販売記録'!$K$5:$K$1004,$F921)="","",INDEX('販売記録'!$K$5:$K$1004,$F921)))</ns0:f>
        <ns0:v/>
      </ns0:c>
      <ns0:c r="B921" s="9" t="str">
        <ns0:f>IF($F921="","",IF(INDEX('販売記録'!$B$5:$B$1004,$F921)="","",INDEX('販売記録'!$B$5:$B$1004,$F921)))</ns0:f>
        <ns0:v/>
      </ns0:c>
      <ns0:c r="C921" s="9" t="str">
        <ns0:f>IF($F921="","",IF(INDEX('販売記録'!$C$5:$C$1004,$F921)="","",INDEX('販売記録'!$C$5:$C$1004,$F921)))</ns0:f>
        <ns0:v/>
      </ns0:c>
      <ns0:c r="D921" s="8" t="str">
        <ns0:f>IF($F921="","",IF(INDEX('販売記録'!$D$5:$D$1004,$F921)="","",INDEX('販売記録'!$D$5:$D$1004,$F921)))</ns0:f>
        <ns0:v/>
      </ns0:c>
      <ns0:c r="E921" s="12" t="str">
        <ns0:f>IF(OR(A921="",B921=""),"",MAX(0,TODAY()-A921))</ns0:f>
        <ns0:v/>
      </ns0:c>
      <ns0:c r="F921" s="9" t="str">
        <ns0:f>IFERROR(MATCH(ROW()-4,'販売記録'!$L$5:$L$1004,0),"")</ns0:f>
        <ns0:v/>
      </ns0:c>
    </ns0:row>
    <ns0:row r="922">
      <ns0:c r="A922" s="11" t="str">
        <ns0:f>IF($F922="","",IF(INDEX('販売記録'!$K$5:$K$1004,$F922)="","",INDEX('販売記録'!$K$5:$K$1004,$F922)))</ns0:f>
        <ns0:v/>
      </ns0:c>
      <ns0:c r="B922" s="9" t="str">
        <ns0:f>IF($F922="","",IF(INDEX('販売記録'!$B$5:$B$1004,$F922)="","",INDEX('販売記録'!$B$5:$B$1004,$F922)))</ns0:f>
        <ns0:v/>
      </ns0:c>
      <ns0:c r="C922" s="9" t="str">
        <ns0:f>IF($F922="","",IF(INDEX('販売記録'!$C$5:$C$1004,$F922)="","",INDEX('販売記録'!$C$5:$C$1004,$F922)))</ns0:f>
        <ns0:v/>
      </ns0:c>
      <ns0:c r="D922" s="8" t="str">
        <ns0:f>IF($F922="","",IF(INDEX('販売記録'!$D$5:$D$1004,$F922)="","",INDEX('販売記録'!$D$5:$D$1004,$F922)))</ns0:f>
        <ns0:v/>
      </ns0:c>
      <ns0:c r="E922" s="12" t="str">
        <ns0:f>IF(OR(A922="",B922=""),"",MAX(0,TODAY()-A922))</ns0:f>
        <ns0:v/>
      </ns0:c>
      <ns0:c r="F922" s="9" t="str">
        <ns0:f>IFERROR(MATCH(ROW()-4,'販売記録'!$L$5:$L$1004,0),"")</ns0:f>
        <ns0:v/>
      </ns0:c>
    </ns0:row>
    <ns0:row r="923">
      <ns0:c r="A923" s="11" t="str">
        <ns0:f>IF($F923="","",IF(INDEX('販売記録'!$K$5:$K$1004,$F923)="","",INDEX('販売記録'!$K$5:$K$1004,$F923)))</ns0:f>
        <ns0:v/>
      </ns0:c>
      <ns0:c r="B923" s="9" t="str">
        <ns0:f>IF($F923="","",IF(INDEX('販売記録'!$B$5:$B$1004,$F923)="","",INDEX('販売記録'!$B$5:$B$1004,$F923)))</ns0:f>
        <ns0:v/>
      </ns0:c>
      <ns0:c r="C923" s="9" t="str">
        <ns0:f>IF($F923="","",IF(INDEX('販売記録'!$C$5:$C$1004,$F923)="","",INDEX('販売記録'!$C$5:$C$1004,$F923)))</ns0:f>
        <ns0:v/>
      </ns0:c>
      <ns0:c r="D923" s="8" t="str">
        <ns0:f>IF($F923="","",IF(INDEX('販売記録'!$D$5:$D$1004,$F923)="","",INDEX('販売記録'!$D$5:$D$1004,$F923)))</ns0:f>
        <ns0:v/>
      </ns0:c>
      <ns0:c r="E923" s="12" t="str">
        <ns0:f>IF(OR(A923="",B923=""),"",MAX(0,TODAY()-A923))</ns0:f>
        <ns0:v/>
      </ns0:c>
      <ns0:c r="F923" s="9" t="str">
        <ns0:f>IFERROR(MATCH(ROW()-4,'販売記録'!$L$5:$L$1004,0),"")</ns0:f>
        <ns0:v/>
      </ns0:c>
    </ns0:row>
    <ns0:row r="924">
      <ns0:c r="A924" s="11" t="str">
        <ns0:f>IF($F924="","",IF(INDEX('販売記録'!$K$5:$K$1004,$F924)="","",INDEX('販売記録'!$K$5:$K$1004,$F924)))</ns0:f>
        <ns0:v/>
      </ns0:c>
      <ns0:c r="B924" s="9" t="str">
        <ns0:f>IF($F924="","",IF(INDEX('販売記録'!$B$5:$B$1004,$F924)="","",INDEX('販売記録'!$B$5:$B$1004,$F924)))</ns0:f>
        <ns0:v/>
      </ns0:c>
      <ns0:c r="C924" s="9" t="str">
        <ns0:f>IF($F924="","",IF(INDEX('販売記録'!$C$5:$C$1004,$F924)="","",INDEX('販売記録'!$C$5:$C$1004,$F924)))</ns0:f>
        <ns0:v/>
      </ns0:c>
      <ns0:c r="D924" s="8" t="str">
        <ns0:f>IF($F924="","",IF(INDEX('販売記録'!$D$5:$D$1004,$F924)="","",INDEX('販売記録'!$D$5:$D$1004,$F924)))</ns0:f>
        <ns0:v/>
      </ns0:c>
      <ns0:c r="E924" s="12" t="str">
        <ns0:f>IF(OR(A924="",B924=""),"",MAX(0,TODAY()-A924))</ns0:f>
        <ns0:v/>
      </ns0:c>
      <ns0:c r="F924" s="9" t="str">
        <ns0:f>IFERROR(MATCH(ROW()-4,'販売記録'!$L$5:$L$1004,0),"")</ns0:f>
        <ns0:v/>
      </ns0:c>
    </ns0:row>
    <ns0:row r="925">
      <ns0:c r="A925" s="11" t="str">
        <ns0:f>IF($F925="","",IF(INDEX('販売記録'!$K$5:$K$1004,$F925)="","",INDEX('販売記録'!$K$5:$K$1004,$F925)))</ns0:f>
        <ns0:v/>
      </ns0:c>
      <ns0:c r="B925" s="9" t="str">
        <ns0:f>IF($F925="","",IF(INDEX('販売記録'!$B$5:$B$1004,$F925)="","",INDEX('販売記録'!$B$5:$B$1004,$F925)))</ns0:f>
        <ns0:v/>
      </ns0:c>
      <ns0:c r="C925" s="9" t="str">
        <ns0:f>IF($F925="","",IF(INDEX('販売記録'!$C$5:$C$1004,$F925)="","",INDEX('販売記録'!$C$5:$C$1004,$F925)))</ns0:f>
        <ns0:v/>
      </ns0:c>
      <ns0:c r="D925" s="8" t="str">
        <ns0:f>IF($F925="","",IF(INDEX('販売記録'!$D$5:$D$1004,$F925)="","",INDEX('販売記録'!$D$5:$D$1004,$F925)))</ns0:f>
        <ns0:v/>
      </ns0:c>
      <ns0:c r="E925" s="12" t="str">
        <ns0:f>IF(OR(A925="",B925=""),"",MAX(0,TODAY()-A925))</ns0:f>
        <ns0:v/>
      </ns0:c>
      <ns0:c r="F925" s="9" t="str">
        <ns0:f>IFERROR(MATCH(ROW()-4,'販売記録'!$L$5:$L$1004,0),"")</ns0:f>
        <ns0:v/>
      </ns0:c>
    </ns0:row>
    <ns0:row r="926">
      <ns0:c r="A926" s="11" t="str">
        <ns0:f>IF($F926="","",IF(INDEX('販売記録'!$K$5:$K$1004,$F926)="","",INDEX('販売記録'!$K$5:$K$1004,$F926)))</ns0:f>
        <ns0:v/>
      </ns0:c>
      <ns0:c r="B926" s="9" t="str">
        <ns0:f>IF($F926="","",IF(INDEX('販売記録'!$B$5:$B$1004,$F926)="","",INDEX('販売記録'!$B$5:$B$1004,$F926)))</ns0:f>
        <ns0:v/>
      </ns0:c>
      <ns0:c r="C926" s="9" t="str">
        <ns0:f>IF($F926="","",IF(INDEX('販売記録'!$C$5:$C$1004,$F926)="","",INDEX('販売記録'!$C$5:$C$1004,$F926)))</ns0:f>
        <ns0:v/>
      </ns0:c>
      <ns0:c r="D926" s="8" t="str">
        <ns0:f>IF($F926="","",IF(INDEX('販売記録'!$D$5:$D$1004,$F926)="","",INDEX('販売記録'!$D$5:$D$1004,$F926)))</ns0:f>
        <ns0:v/>
      </ns0:c>
      <ns0:c r="E926" s="12" t="str">
        <ns0:f>IF(OR(A926="",B926=""),"",MAX(0,TODAY()-A926))</ns0:f>
        <ns0:v/>
      </ns0:c>
      <ns0:c r="F926" s="9" t="str">
        <ns0:f>IFERROR(MATCH(ROW()-4,'販売記録'!$L$5:$L$1004,0),"")</ns0:f>
        <ns0:v/>
      </ns0:c>
    </ns0:row>
    <ns0:row r="927">
      <ns0:c r="A927" s="11" t="str">
        <ns0:f>IF($F927="","",IF(INDEX('販売記録'!$K$5:$K$1004,$F927)="","",INDEX('販売記録'!$K$5:$K$1004,$F927)))</ns0:f>
        <ns0:v/>
      </ns0:c>
      <ns0:c r="B927" s="9" t="str">
        <ns0:f>IF($F927="","",IF(INDEX('販売記録'!$B$5:$B$1004,$F927)="","",INDEX('販売記録'!$B$5:$B$1004,$F927)))</ns0:f>
        <ns0:v/>
      </ns0:c>
      <ns0:c r="C927" s="9" t="str">
        <ns0:f>IF($F927="","",IF(INDEX('販売記録'!$C$5:$C$1004,$F927)="","",INDEX('販売記録'!$C$5:$C$1004,$F927)))</ns0:f>
        <ns0:v/>
      </ns0:c>
      <ns0:c r="D927" s="8" t="str">
        <ns0:f>IF($F927="","",IF(INDEX('販売記録'!$D$5:$D$1004,$F927)="","",INDEX('販売記録'!$D$5:$D$1004,$F927)))</ns0:f>
        <ns0:v/>
      </ns0:c>
      <ns0:c r="E927" s="12" t="str">
        <ns0:f>IF(OR(A927="",B927=""),"",MAX(0,TODAY()-A927))</ns0:f>
        <ns0:v/>
      </ns0:c>
      <ns0:c r="F927" s="9" t="str">
        <ns0:f>IFERROR(MATCH(ROW()-4,'販売記録'!$L$5:$L$1004,0),"")</ns0:f>
        <ns0:v/>
      </ns0:c>
    </ns0:row>
    <ns0:row r="928">
      <ns0:c r="A928" s="11" t="str">
        <ns0:f>IF($F928="","",IF(INDEX('販売記録'!$K$5:$K$1004,$F928)="","",INDEX('販売記録'!$K$5:$K$1004,$F928)))</ns0:f>
        <ns0:v/>
      </ns0:c>
      <ns0:c r="B928" s="9" t="str">
        <ns0:f>IF($F928="","",IF(INDEX('販売記録'!$B$5:$B$1004,$F928)="","",INDEX('販売記録'!$B$5:$B$1004,$F928)))</ns0:f>
        <ns0:v/>
      </ns0:c>
      <ns0:c r="C928" s="9" t="str">
        <ns0:f>IF($F928="","",IF(INDEX('販売記録'!$C$5:$C$1004,$F928)="","",INDEX('販売記録'!$C$5:$C$1004,$F928)))</ns0:f>
        <ns0:v/>
      </ns0:c>
      <ns0:c r="D928" s="8" t="str">
        <ns0:f>IF($F928="","",IF(INDEX('販売記録'!$D$5:$D$1004,$F928)="","",INDEX('販売記録'!$D$5:$D$1004,$F928)))</ns0:f>
        <ns0:v/>
      </ns0:c>
      <ns0:c r="E928" s="12" t="str">
        <ns0:f>IF(OR(A928="",B928=""),"",MAX(0,TODAY()-A928))</ns0:f>
        <ns0:v/>
      </ns0:c>
      <ns0:c r="F928" s="9" t="str">
        <ns0:f>IFERROR(MATCH(ROW()-4,'販売記録'!$L$5:$L$1004,0),"")</ns0:f>
        <ns0:v/>
      </ns0:c>
    </ns0:row>
    <ns0:row r="929">
      <ns0:c r="A929" s="11" t="str">
        <ns0:f>IF($F929="","",IF(INDEX('販売記録'!$K$5:$K$1004,$F929)="","",INDEX('販売記録'!$K$5:$K$1004,$F929)))</ns0:f>
        <ns0:v/>
      </ns0:c>
      <ns0:c r="B929" s="9" t="str">
        <ns0:f>IF($F929="","",IF(INDEX('販売記録'!$B$5:$B$1004,$F929)="","",INDEX('販売記録'!$B$5:$B$1004,$F929)))</ns0:f>
        <ns0:v/>
      </ns0:c>
      <ns0:c r="C929" s="9" t="str">
        <ns0:f>IF($F929="","",IF(INDEX('販売記録'!$C$5:$C$1004,$F929)="","",INDEX('販売記録'!$C$5:$C$1004,$F929)))</ns0:f>
        <ns0:v/>
      </ns0:c>
      <ns0:c r="D929" s="8" t="str">
        <ns0:f>IF($F929="","",IF(INDEX('販売記録'!$D$5:$D$1004,$F929)="","",INDEX('販売記録'!$D$5:$D$1004,$F929)))</ns0:f>
        <ns0:v/>
      </ns0:c>
      <ns0:c r="E929" s="12" t="str">
        <ns0:f>IF(OR(A929="",B929=""),"",MAX(0,TODAY()-A929))</ns0:f>
        <ns0:v/>
      </ns0:c>
      <ns0:c r="F929" s="9" t="str">
        <ns0:f>IFERROR(MATCH(ROW()-4,'販売記録'!$L$5:$L$1004,0),"")</ns0:f>
        <ns0:v/>
      </ns0:c>
    </ns0:row>
    <ns0:row r="930">
      <ns0:c r="A930" s="11" t="str">
        <ns0:f>IF($F930="","",IF(INDEX('販売記録'!$K$5:$K$1004,$F930)="","",INDEX('販売記録'!$K$5:$K$1004,$F930)))</ns0:f>
        <ns0:v/>
      </ns0:c>
      <ns0:c r="B930" s="9" t="str">
        <ns0:f>IF($F930="","",IF(INDEX('販売記録'!$B$5:$B$1004,$F930)="","",INDEX('販売記録'!$B$5:$B$1004,$F930)))</ns0:f>
        <ns0:v/>
      </ns0:c>
      <ns0:c r="C930" s="9" t="str">
        <ns0:f>IF($F930="","",IF(INDEX('販売記録'!$C$5:$C$1004,$F930)="","",INDEX('販売記録'!$C$5:$C$1004,$F930)))</ns0:f>
        <ns0:v/>
      </ns0:c>
      <ns0:c r="D930" s="8" t="str">
        <ns0:f>IF($F930="","",IF(INDEX('販売記録'!$D$5:$D$1004,$F930)="","",INDEX('販売記録'!$D$5:$D$1004,$F930)))</ns0:f>
        <ns0:v/>
      </ns0:c>
      <ns0:c r="E930" s="12" t="str">
        <ns0:f>IF(OR(A930="",B930=""),"",MAX(0,TODAY()-A930))</ns0:f>
        <ns0:v/>
      </ns0:c>
      <ns0:c r="F930" s="9" t="str">
        <ns0:f>IFERROR(MATCH(ROW()-4,'販売記録'!$L$5:$L$1004,0),"")</ns0:f>
        <ns0:v/>
      </ns0:c>
    </ns0:row>
    <ns0:row r="931">
      <ns0:c r="A931" s="11" t="str">
        <ns0:f>IF($F931="","",IF(INDEX('販売記録'!$K$5:$K$1004,$F931)="","",INDEX('販売記録'!$K$5:$K$1004,$F931)))</ns0:f>
        <ns0:v/>
      </ns0:c>
      <ns0:c r="B931" s="9" t="str">
        <ns0:f>IF($F931="","",IF(INDEX('販売記録'!$B$5:$B$1004,$F931)="","",INDEX('販売記録'!$B$5:$B$1004,$F931)))</ns0:f>
        <ns0:v/>
      </ns0:c>
      <ns0:c r="C931" s="9" t="str">
        <ns0:f>IF($F931="","",IF(INDEX('販売記録'!$C$5:$C$1004,$F931)="","",INDEX('販売記録'!$C$5:$C$1004,$F931)))</ns0:f>
        <ns0:v/>
      </ns0:c>
      <ns0:c r="D931" s="8" t="str">
        <ns0:f>IF($F931="","",IF(INDEX('販売記録'!$D$5:$D$1004,$F931)="","",INDEX('販売記録'!$D$5:$D$1004,$F931)))</ns0:f>
        <ns0:v/>
      </ns0:c>
      <ns0:c r="E931" s="12" t="str">
        <ns0:f>IF(OR(A931="",B931=""),"",MAX(0,TODAY()-A931))</ns0:f>
        <ns0:v/>
      </ns0:c>
      <ns0:c r="F931" s="9" t="str">
        <ns0:f>IFERROR(MATCH(ROW()-4,'販売記録'!$L$5:$L$1004,0),"")</ns0:f>
        <ns0:v/>
      </ns0:c>
    </ns0:row>
    <ns0:row r="932">
      <ns0:c r="A932" s="11" t="str">
        <ns0:f>IF($F932="","",IF(INDEX('販売記録'!$K$5:$K$1004,$F932)="","",INDEX('販売記録'!$K$5:$K$1004,$F932)))</ns0:f>
        <ns0:v/>
      </ns0:c>
      <ns0:c r="B932" s="9" t="str">
        <ns0:f>IF($F932="","",IF(INDEX('販売記録'!$B$5:$B$1004,$F932)="","",INDEX('販売記録'!$B$5:$B$1004,$F932)))</ns0:f>
        <ns0:v/>
      </ns0:c>
      <ns0:c r="C932" s="9" t="str">
        <ns0:f>IF($F932="","",IF(INDEX('販売記録'!$C$5:$C$1004,$F932)="","",INDEX('販売記録'!$C$5:$C$1004,$F932)))</ns0:f>
        <ns0:v/>
      </ns0:c>
      <ns0:c r="D932" s="8" t="str">
        <ns0:f>IF($F932="","",IF(INDEX('販売記録'!$D$5:$D$1004,$F932)="","",INDEX('販売記録'!$D$5:$D$1004,$F932)))</ns0:f>
        <ns0:v/>
      </ns0:c>
      <ns0:c r="E932" s="12" t="str">
        <ns0:f>IF(OR(A932="",B932=""),"",MAX(0,TODAY()-A932))</ns0:f>
        <ns0:v/>
      </ns0:c>
      <ns0:c r="F932" s="9" t="str">
        <ns0:f>IFERROR(MATCH(ROW()-4,'販売記録'!$L$5:$L$1004,0),"")</ns0:f>
        <ns0:v/>
      </ns0:c>
    </ns0:row>
    <ns0:row r="933">
      <ns0:c r="A933" s="11" t="str">
        <ns0:f>IF($F933="","",IF(INDEX('販売記録'!$K$5:$K$1004,$F933)="","",INDEX('販売記録'!$K$5:$K$1004,$F933)))</ns0:f>
        <ns0:v/>
      </ns0:c>
      <ns0:c r="B933" s="9" t="str">
        <ns0:f>IF($F933="","",IF(INDEX('販売記録'!$B$5:$B$1004,$F933)="","",INDEX('販売記録'!$B$5:$B$1004,$F933)))</ns0:f>
        <ns0:v/>
      </ns0:c>
      <ns0:c r="C933" s="9" t="str">
        <ns0:f>IF($F933="","",IF(INDEX('販売記録'!$C$5:$C$1004,$F933)="","",INDEX('販売記録'!$C$5:$C$1004,$F933)))</ns0:f>
        <ns0:v/>
      </ns0:c>
      <ns0:c r="D933" s="8" t="str">
        <ns0:f>IF($F933="","",IF(INDEX('販売記録'!$D$5:$D$1004,$F933)="","",INDEX('販売記録'!$D$5:$D$1004,$F933)))</ns0:f>
        <ns0:v/>
      </ns0:c>
      <ns0:c r="E933" s="12" t="str">
        <ns0:f>IF(OR(A933="",B933=""),"",MAX(0,TODAY()-A933))</ns0:f>
        <ns0:v/>
      </ns0:c>
      <ns0:c r="F933" s="9" t="str">
        <ns0:f>IFERROR(MATCH(ROW()-4,'販売記録'!$L$5:$L$1004,0),"")</ns0:f>
        <ns0:v/>
      </ns0:c>
    </ns0:row>
    <ns0:row r="934">
      <ns0:c r="A934" s="11" t="str">
        <ns0:f>IF($F934="","",IF(INDEX('販売記録'!$K$5:$K$1004,$F934)="","",INDEX('販売記録'!$K$5:$K$1004,$F934)))</ns0:f>
        <ns0:v/>
      </ns0:c>
      <ns0:c r="B934" s="9" t="str">
        <ns0:f>IF($F934="","",IF(INDEX('販売記録'!$B$5:$B$1004,$F934)="","",INDEX('販売記録'!$B$5:$B$1004,$F934)))</ns0:f>
        <ns0:v/>
      </ns0:c>
      <ns0:c r="C934" s="9" t="str">
        <ns0:f>IF($F934="","",IF(INDEX('販売記録'!$C$5:$C$1004,$F934)="","",INDEX('販売記録'!$C$5:$C$1004,$F934)))</ns0:f>
        <ns0:v/>
      </ns0:c>
      <ns0:c r="D934" s="8" t="str">
        <ns0:f>IF($F934="","",IF(INDEX('販売記録'!$D$5:$D$1004,$F934)="","",INDEX('販売記録'!$D$5:$D$1004,$F934)))</ns0:f>
        <ns0:v/>
      </ns0:c>
      <ns0:c r="E934" s="12" t="str">
        <ns0:f>IF(OR(A934="",B934=""),"",MAX(0,TODAY()-A934))</ns0:f>
        <ns0:v/>
      </ns0:c>
      <ns0:c r="F934" s="9" t="str">
        <ns0:f>IFERROR(MATCH(ROW()-4,'販売記録'!$L$5:$L$1004,0),"")</ns0:f>
        <ns0:v/>
      </ns0:c>
    </ns0:row>
    <ns0:row r="935">
      <ns0:c r="A935" s="11" t="str">
        <ns0:f>IF($F935="","",IF(INDEX('販売記録'!$K$5:$K$1004,$F935)="","",INDEX('販売記録'!$K$5:$K$1004,$F935)))</ns0:f>
        <ns0:v/>
      </ns0:c>
      <ns0:c r="B935" s="9" t="str">
        <ns0:f>IF($F935="","",IF(INDEX('販売記録'!$B$5:$B$1004,$F935)="","",INDEX('販売記録'!$B$5:$B$1004,$F935)))</ns0:f>
        <ns0:v/>
      </ns0:c>
      <ns0:c r="C935" s="9" t="str">
        <ns0:f>IF($F935="","",IF(INDEX('販売記録'!$C$5:$C$1004,$F935)="","",INDEX('販売記録'!$C$5:$C$1004,$F935)))</ns0:f>
        <ns0:v/>
      </ns0:c>
      <ns0:c r="D935" s="8" t="str">
        <ns0:f>IF($F935="","",IF(INDEX('販売記録'!$D$5:$D$1004,$F935)="","",INDEX('販売記録'!$D$5:$D$1004,$F935)))</ns0:f>
        <ns0:v/>
      </ns0:c>
      <ns0:c r="E935" s="12" t="str">
        <ns0:f>IF(OR(A935="",B935=""),"",MAX(0,TODAY()-A935))</ns0:f>
        <ns0:v/>
      </ns0:c>
      <ns0:c r="F935" s="9" t="str">
        <ns0:f>IFERROR(MATCH(ROW()-4,'販売記録'!$L$5:$L$1004,0),"")</ns0:f>
        <ns0:v/>
      </ns0:c>
    </ns0:row>
    <ns0:row r="936">
      <ns0:c r="A936" s="11" t="str">
        <ns0:f>IF($F936="","",IF(INDEX('販売記録'!$K$5:$K$1004,$F936)="","",INDEX('販売記録'!$K$5:$K$1004,$F936)))</ns0:f>
        <ns0:v/>
      </ns0:c>
      <ns0:c r="B936" s="9" t="str">
        <ns0:f>IF($F936="","",IF(INDEX('販売記録'!$B$5:$B$1004,$F936)="","",INDEX('販売記録'!$B$5:$B$1004,$F936)))</ns0:f>
        <ns0:v/>
      </ns0:c>
      <ns0:c r="C936" s="9" t="str">
        <ns0:f>IF($F936="","",IF(INDEX('販売記録'!$C$5:$C$1004,$F936)="","",INDEX('販売記録'!$C$5:$C$1004,$F936)))</ns0:f>
        <ns0:v/>
      </ns0:c>
      <ns0:c r="D936" s="8" t="str">
        <ns0:f>IF($F936="","",IF(INDEX('販売記録'!$D$5:$D$1004,$F936)="","",INDEX('販売記録'!$D$5:$D$1004,$F936)))</ns0:f>
        <ns0:v/>
      </ns0:c>
      <ns0:c r="E936" s="12" t="str">
        <ns0:f>IF(OR(A936="",B936=""),"",MAX(0,TODAY()-A936))</ns0:f>
        <ns0:v/>
      </ns0:c>
      <ns0:c r="F936" s="9" t="str">
        <ns0:f>IFERROR(MATCH(ROW()-4,'販売記録'!$L$5:$L$1004,0),"")</ns0:f>
        <ns0:v/>
      </ns0:c>
    </ns0:row>
    <ns0:row r="937">
      <ns0:c r="A937" s="11" t="str">
        <ns0:f>IF($F937="","",IF(INDEX('販売記録'!$K$5:$K$1004,$F937)="","",INDEX('販売記録'!$K$5:$K$1004,$F937)))</ns0:f>
        <ns0:v/>
      </ns0:c>
      <ns0:c r="B937" s="9" t="str">
        <ns0:f>IF($F937="","",IF(INDEX('販売記録'!$B$5:$B$1004,$F937)="","",INDEX('販売記録'!$B$5:$B$1004,$F937)))</ns0:f>
        <ns0:v/>
      </ns0:c>
      <ns0:c r="C937" s="9" t="str">
        <ns0:f>IF($F937="","",IF(INDEX('販売記録'!$C$5:$C$1004,$F937)="","",INDEX('販売記録'!$C$5:$C$1004,$F937)))</ns0:f>
        <ns0:v/>
      </ns0:c>
      <ns0:c r="D937" s="8" t="str">
        <ns0:f>IF($F937="","",IF(INDEX('販売記録'!$D$5:$D$1004,$F937)="","",INDEX('販売記録'!$D$5:$D$1004,$F937)))</ns0:f>
        <ns0:v/>
      </ns0:c>
      <ns0:c r="E937" s="12" t="str">
        <ns0:f>IF(OR(A937="",B937=""),"",MAX(0,TODAY()-A937))</ns0:f>
        <ns0:v/>
      </ns0:c>
      <ns0:c r="F937" s="9" t="str">
        <ns0:f>IFERROR(MATCH(ROW()-4,'販売記録'!$L$5:$L$1004,0),"")</ns0:f>
        <ns0:v/>
      </ns0:c>
    </ns0:row>
    <ns0:row r="938">
      <ns0:c r="A938" s="11" t="str">
        <ns0:f>IF($F938="","",IF(INDEX('販売記録'!$K$5:$K$1004,$F938)="","",INDEX('販売記録'!$K$5:$K$1004,$F938)))</ns0:f>
        <ns0:v/>
      </ns0:c>
      <ns0:c r="B938" s="9" t="str">
        <ns0:f>IF($F938="","",IF(INDEX('販売記録'!$B$5:$B$1004,$F938)="","",INDEX('販売記録'!$B$5:$B$1004,$F938)))</ns0:f>
        <ns0:v/>
      </ns0:c>
      <ns0:c r="C938" s="9" t="str">
        <ns0:f>IF($F938="","",IF(INDEX('販売記録'!$C$5:$C$1004,$F938)="","",INDEX('販売記録'!$C$5:$C$1004,$F938)))</ns0:f>
        <ns0:v/>
      </ns0:c>
      <ns0:c r="D938" s="8" t="str">
        <ns0:f>IF($F938="","",IF(INDEX('販売記録'!$D$5:$D$1004,$F938)="","",INDEX('販売記録'!$D$5:$D$1004,$F938)))</ns0:f>
        <ns0:v/>
      </ns0:c>
      <ns0:c r="E938" s="12" t="str">
        <ns0:f>IF(OR(A938="",B938=""),"",MAX(0,TODAY()-A938))</ns0:f>
        <ns0:v/>
      </ns0:c>
      <ns0:c r="F938" s="9" t="str">
        <ns0:f>IFERROR(MATCH(ROW()-4,'販売記録'!$L$5:$L$1004,0),"")</ns0:f>
        <ns0:v/>
      </ns0:c>
    </ns0:row>
    <ns0:row r="939">
      <ns0:c r="A939" s="11" t="str">
        <ns0:f>IF($F939="","",IF(INDEX('販売記録'!$K$5:$K$1004,$F939)="","",INDEX('販売記録'!$K$5:$K$1004,$F939)))</ns0:f>
        <ns0:v/>
      </ns0:c>
      <ns0:c r="B939" s="9" t="str">
        <ns0:f>IF($F939="","",IF(INDEX('販売記録'!$B$5:$B$1004,$F939)="","",INDEX('販売記録'!$B$5:$B$1004,$F939)))</ns0:f>
        <ns0:v/>
      </ns0:c>
      <ns0:c r="C939" s="9" t="str">
        <ns0:f>IF($F939="","",IF(INDEX('販売記録'!$C$5:$C$1004,$F939)="","",INDEX('販売記録'!$C$5:$C$1004,$F939)))</ns0:f>
        <ns0:v/>
      </ns0:c>
      <ns0:c r="D939" s="8" t="str">
        <ns0:f>IF($F939="","",IF(INDEX('販売記録'!$D$5:$D$1004,$F939)="","",INDEX('販売記録'!$D$5:$D$1004,$F939)))</ns0:f>
        <ns0:v/>
      </ns0:c>
      <ns0:c r="E939" s="12" t="str">
        <ns0:f>IF(OR(A939="",B939=""),"",MAX(0,TODAY()-A939))</ns0:f>
        <ns0:v/>
      </ns0:c>
      <ns0:c r="F939" s="9" t="str">
        <ns0:f>IFERROR(MATCH(ROW()-4,'販売記録'!$L$5:$L$1004,0),"")</ns0:f>
        <ns0:v/>
      </ns0:c>
    </ns0:row>
    <ns0:row r="940">
      <ns0:c r="A940" s="11" t="str">
        <ns0:f>IF($F940="","",IF(INDEX('販売記録'!$K$5:$K$1004,$F940)="","",INDEX('販売記録'!$K$5:$K$1004,$F940)))</ns0:f>
        <ns0:v/>
      </ns0:c>
      <ns0:c r="B940" s="9" t="str">
        <ns0:f>IF($F940="","",IF(INDEX('販売記録'!$B$5:$B$1004,$F940)="","",INDEX('販売記録'!$B$5:$B$1004,$F940)))</ns0:f>
        <ns0:v/>
      </ns0:c>
      <ns0:c r="C940" s="9" t="str">
        <ns0:f>IF($F940="","",IF(INDEX('販売記録'!$C$5:$C$1004,$F940)="","",INDEX('販売記録'!$C$5:$C$1004,$F940)))</ns0:f>
        <ns0:v/>
      </ns0:c>
      <ns0:c r="D940" s="8" t="str">
        <ns0:f>IF($F940="","",IF(INDEX('販売記録'!$D$5:$D$1004,$F940)="","",INDEX('販売記録'!$D$5:$D$1004,$F940)))</ns0:f>
        <ns0:v/>
      </ns0:c>
      <ns0:c r="E940" s="12" t="str">
        <ns0:f>IF(OR(A940="",B940=""),"",MAX(0,TODAY()-A940))</ns0:f>
        <ns0:v/>
      </ns0:c>
      <ns0:c r="F940" s="9" t="str">
        <ns0:f>IFERROR(MATCH(ROW()-4,'販売記録'!$L$5:$L$1004,0),"")</ns0:f>
        <ns0:v/>
      </ns0:c>
    </ns0:row>
    <ns0:row r="941">
      <ns0:c r="A941" s="11" t="str">
        <ns0:f>IF($F941="","",IF(INDEX('販売記録'!$K$5:$K$1004,$F941)="","",INDEX('販売記録'!$K$5:$K$1004,$F941)))</ns0:f>
        <ns0:v/>
      </ns0:c>
      <ns0:c r="B941" s="9" t="str">
        <ns0:f>IF($F941="","",IF(INDEX('販売記録'!$B$5:$B$1004,$F941)="","",INDEX('販売記録'!$B$5:$B$1004,$F941)))</ns0:f>
        <ns0:v/>
      </ns0:c>
      <ns0:c r="C941" s="9" t="str">
        <ns0:f>IF($F941="","",IF(INDEX('販売記録'!$C$5:$C$1004,$F941)="","",INDEX('販売記録'!$C$5:$C$1004,$F941)))</ns0:f>
        <ns0:v/>
      </ns0:c>
      <ns0:c r="D941" s="8" t="str">
        <ns0:f>IF($F941="","",IF(INDEX('販売記録'!$D$5:$D$1004,$F941)="","",INDEX('販売記録'!$D$5:$D$1004,$F941)))</ns0:f>
        <ns0:v/>
      </ns0:c>
      <ns0:c r="E941" s="12" t="str">
        <ns0:f>IF(OR(A941="",B941=""),"",MAX(0,TODAY()-A941))</ns0:f>
        <ns0:v/>
      </ns0:c>
      <ns0:c r="F941" s="9" t="str">
        <ns0:f>IFERROR(MATCH(ROW()-4,'販売記録'!$L$5:$L$1004,0),"")</ns0:f>
        <ns0:v/>
      </ns0:c>
    </ns0:row>
    <ns0:row r="942">
      <ns0:c r="A942" s="11" t="str">
        <ns0:f>IF($F942="","",IF(INDEX('販売記録'!$K$5:$K$1004,$F942)="","",INDEX('販売記録'!$K$5:$K$1004,$F942)))</ns0:f>
        <ns0:v/>
      </ns0:c>
      <ns0:c r="B942" s="9" t="str">
        <ns0:f>IF($F942="","",IF(INDEX('販売記録'!$B$5:$B$1004,$F942)="","",INDEX('販売記録'!$B$5:$B$1004,$F942)))</ns0:f>
        <ns0:v/>
      </ns0:c>
      <ns0:c r="C942" s="9" t="str">
        <ns0:f>IF($F942="","",IF(INDEX('販売記録'!$C$5:$C$1004,$F942)="","",INDEX('販売記録'!$C$5:$C$1004,$F942)))</ns0:f>
        <ns0:v/>
      </ns0:c>
      <ns0:c r="D942" s="8" t="str">
        <ns0:f>IF($F942="","",IF(INDEX('販売記録'!$D$5:$D$1004,$F942)="","",INDEX('販売記録'!$D$5:$D$1004,$F942)))</ns0:f>
        <ns0:v/>
      </ns0:c>
      <ns0:c r="E942" s="12" t="str">
        <ns0:f>IF(OR(A942="",B942=""),"",MAX(0,TODAY()-A942))</ns0:f>
        <ns0:v/>
      </ns0:c>
      <ns0:c r="F942" s="9" t="str">
        <ns0:f>IFERROR(MATCH(ROW()-4,'販売記録'!$L$5:$L$1004,0),"")</ns0:f>
        <ns0:v/>
      </ns0:c>
    </ns0:row>
    <ns0:row r="943">
      <ns0:c r="A943" s="11" t="str">
        <ns0:f>IF($F943="","",IF(INDEX('販売記録'!$K$5:$K$1004,$F943)="","",INDEX('販売記録'!$K$5:$K$1004,$F943)))</ns0:f>
        <ns0:v/>
      </ns0:c>
      <ns0:c r="B943" s="9" t="str">
        <ns0:f>IF($F943="","",IF(INDEX('販売記録'!$B$5:$B$1004,$F943)="","",INDEX('販売記録'!$B$5:$B$1004,$F943)))</ns0:f>
        <ns0:v/>
      </ns0:c>
      <ns0:c r="C943" s="9" t="str">
        <ns0:f>IF($F943="","",IF(INDEX('販売記録'!$C$5:$C$1004,$F943)="","",INDEX('販売記録'!$C$5:$C$1004,$F943)))</ns0:f>
        <ns0:v/>
      </ns0:c>
      <ns0:c r="D943" s="8" t="str">
        <ns0:f>IF($F943="","",IF(INDEX('販売記録'!$D$5:$D$1004,$F943)="","",INDEX('販売記録'!$D$5:$D$1004,$F943)))</ns0:f>
        <ns0:v/>
      </ns0:c>
      <ns0:c r="E943" s="12" t="str">
        <ns0:f>IF(OR(A943="",B943=""),"",MAX(0,TODAY()-A943))</ns0:f>
        <ns0:v/>
      </ns0:c>
      <ns0:c r="F943" s="9" t="str">
        <ns0:f>IFERROR(MATCH(ROW()-4,'販売記録'!$L$5:$L$1004,0),"")</ns0:f>
        <ns0:v/>
      </ns0:c>
    </ns0:row>
    <ns0:row r="944">
      <ns0:c r="A944" s="11" t="str">
        <ns0:f>IF($F944="","",IF(INDEX('販売記録'!$K$5:$K$1004,$F944)="","",INDEX('販売記録'!$K$5:$K$1004,$F944)))</ns0:f>
        <ns0:v/>
      </ns0:c>
      <ns0:c r="B944" s="9" t="str">
        <ns0:f>IF($F944="","",IF(INDEX('販売記録'!$B$5:$B$1004,$F944)="","",INDEX('販売記録'!$B$5:$B$1004,$F944)))</ns0:f>
        <ns0:v/>
      </ns0:c>
      <ns0:c r="C944" s="9" t="str">
        <ns0:f>IF($F944="","",IF(INDEX('販売記録'!$C$5:$C$1004,$F944)="","",INDEX('販売記録'!$C$5:$C$1004,$F944)))</ns0:f>
        <ns0:v/>
      </ns0:c>
      <ns0:c r="D944" s="8" t="str">
        <ns0:f>IF($F944="","",IF(INDEX('販売記録'!$D$5:$D$1004,$F944)="","",INDEX('販売記録'!$D$5:$D$1004,$F944)))</ns0:f>
        <ns0:v/>
      </ns0:c>
      <ns0:c r="E944" s="12" t="str">
        <ns0:f>IF(OR(A944="",B944=""),"",MAX(0,TODAY()-A944))</ns0:f>
        <ns0:v/>
      </ns0:c>
      <ns0:c r="F944" s="9" t="str">
        <ns0:f>IFERROR(MATCH(ROW()-4,'販売記録'!$L$5:$L$1004,0),"")</ns0:f>
        <ns0:v/>
      </ns0:c>
    </ns0:row>
    <ns0:row r="945">
      <ns0:c r="A945" s="11" t="str">
        <ns0:f>IF($F945="","",IF(INDEX('販売記録'!$K$5:$K$1004,$F945)="","",INDEX('販売記録'!$K$5:$K$1004,$F945)))</ns0:f>
        <ns0:v/>
      </ns0:c>
      <ns0:c r="B945" s="9" t="str">
        <ns0:f>IF($F945="","",IF(INDEX('販売記録'!$B$5:$B$1004,$F945)="","",INDEX('販売記録'!$B$5:$B$1004,$F945)))</ns0:f>
        <ns0:v/>
      </ns0:c>
      <ns0:c r="C945" s="9" t="str">
        <ns0:f>IF($F945="","",IF(INDEX('販売記録'!$C$5:$C$1004,$F945)="","",INDEX('販売記録'!$C$5:$C$1004,$F945)))</ns0:f>
        <ns0:v/>
      </ns0:c>
      <ns0:c r="D945" s="8" t="str">
        <ns0:f>IF($F945="","",IF(INDEX('販売記録'!$D$5:$D$1004,$F945)="","",INDEX('販売記録'!$D$5:$D$1004,$F945)))</ns0:f>
        <ns0:v/>
      </ns0:c>
      <ns0:c r="E945" s="12" t="str">
        <ns0:f>IF(OR(A945="",B945=""),"",MAX(0,TODAY()-A945))</ns0:f>
        <ns0:v/>
      </ns0:c>
      <ns0:c r="F945" s="9" t="str">
        <ns0:f>IFERROR(MATCH(ROW()-4,'販売記録'!$L$5:$L$1004,0),"")</ns0:f>
        <ns0:v/>
      </ns0:c>
    </ns0:row>
    <ns0:row r="946">
      <ns0:c r="A946" s="11" t="str">
        <ns0:f>IF($F946="","",IF(INDEX('販売記録'!$K$5:$K$1004,$F946)="","",INDEX('販売記録'!$K$5:$K$1004,$F946)))</ns0:f>
        <ns0:v/>
      </ns0:c>
      <ns0:c r="B946" s="9" t="str">
        <ns0:f>IF($F946="","",IF(INDEX('販売記録'!$B$5:$B$1004,$F946)="","",INDEX('販売記録'!$B$5:$B$1004,$F946)))</ns0:f>
        <ns0:v/>
      </ns0:c>
      <ns0:c r="C946" s="9" t="str">
        <ns0:f>IF($F946="","",IF(INDEX('販売記録'!$C$5:$C$1004,$F946)="","",INDEX('販売記録'!$C$5:$C$1004,$F946)))</ns0:f>
        <ns0:v/>
      </ns0:c>
      <ns0:c r="D946" s="8" t="str">
        <ns0:f>IF($F946="","",IF(INDEX('販売記録'!$D$5:$D$1004,$F946)="","",INDEX('販売記録'!$D$5:$D$1004,$F946)))</ns0:f>
        <ns0:v/>
      </ns0:c>
      <ns0:c r="E946" s="12" t="str">
        <ns0:f>IF(OR(A946="",B946=""),"",MAX(0,TODAY()-A946))</ns0:f>
        <ns0:v/>
      </ns0:c>
      <ns0:c r="F946" s="9" t="str">
        <ns0:f>IFERROR(MATCH(ROW()-4,'販売記録'!$L$5:$L$1004,0),"")</ns0:f>
        <ns0:v/>
      </ns0:c>
    </ns0:row>
    <ns0:row r="947">
      <ns0:c r="A947" s="11" t="str">
        <ns0:f>IF($F947="","",IF(INDEX('販売記録'!$K$5:$K$1004,$F947)="","",INDEX('販売記録'!$K$5:$K$1004,$F947)))</ns0:f>
        <ns0:v/>
      </ns0:c>
      <ns0:c r="B947" s="9" t="str">
        <ns0:f>IF($F947="","",IF(INDEX('販売記録'!$B$5:$B$1004,$F947)="","",INDEX('販売記録'!$B$5:$B$1004,$F947)))</ns0:f>
        <ns0:v/>
      </ns0:c>
      <ns0:c r="C947" s="9" t="str">
        <ns0:f>IF($F947="","",IF(INDEX('販売記録'!$C$5:$C$1004,$F947)="","",INDEX('販売記録'!$C$5:$C$1004,$F947)))</ns0:f>
        <ns0:v/>
      </ns0:c>
      <ns0:c r="D947" s="8" t="str">
        <ns0:f>IF($F947="","",IF(INDEX('販売記録'!$D$5:$D$1004,$F947)="","",INDEX('販売記録'!$D$5:$D$1004,$F947)))</ns0:f>
        <ns0:v/>
      </ns0:c>
      <ns0:c r="E947" s="12" t="str">
        <ns0:f>IF(OR(A947="",B947=""),"",MAX(0,TODAY()-A947))</ns0:f>
        <ns0:v/>
      </ns0:c>
      <ns0:c r="F947" s="9" t="str">
        <ns0:f>IFERROR(MATCH(ROW()-4,'販売記録'!$L$5:$L$1004,0),"")</ns0:f>
        <ns0:v/>
      </ns0:c>
    </ns0:row>
    <ns0:row r="948">
      <ns0:c r="A948" s="11" t="str">
        <ns0:f>IF($F948="","",IF(INDEX('販売記録'!$K$5:$K$1004,$F948)="","",INDEX('販売記録'!$K$5:$K$1004,$F948)))</ns0:f>
        <ns0:v/>
      </ns0:c>
      <ns0:c r="B948" s="9" t="str">
        <ns0:f>IF($F948="","",IF(INDEX('販売記録'!$B$5:$B$1004,$F948)="","",INDEX('販売記録'!$B$5:$B$1004,$F948)))</ns0:f>
        <ns0:v/>
      </ns0:c>
      <ns0:c r="C948" s="9" t="str">
        <ns0:f>IF($F948="","",IF(INDEX('販売記録'!$C$5:$C$1004,$F948)="","",INDEX('販売記録'!$C$5:$C$1004,$F948)))</ns0:f>
        <ns0:v/>
      </ns0:c>
      <ns0:c r="D948" s="8" t="str">
        <ns0:f>IF($F948="","",IF(INDEX('販売記録'!$D$5:$D$1004,$F948)="","",INDEX('販売記録'!$D$5:$D$1004,$F948)))</ns0:f>
        <ns0:v/>
      </ns0:c>
      <ns0:c r="E948" s="12" t="str">
        <ns0:f>IF(OR(A948="",B948=""),"",MAX(0,TODAY()-A948))</ns0:f>
        <ns0:v/>
      </ns0:c>
      <ns0:c r="F948" s="9" t="str">
        <ns0:f>IFERROR(MATCH(ROW()-4,'販売記録'!$L$5:$L$1004,0),"")</ns0:f>
        <ns0:v/>
      </ns0:c>
    </ns0:row>
    <ns0:row r="949">
      <ns0:c r="A949" s="11" t="str">
        <ns0:f>IF($F949="","",IF(INDEX('販売記録'!$K$5:$K$1004,$F949)="","",INDEX('販売記録'!$K$5:$K$1004,$F949)))</ns0:f>
        <ns0:v/>
      </ns0:c>
      <ns0:c r="B949" s="9" t="str">
        <ns0:f>IF($F949="","",IF(INDEX('販売記録'!$B$5:$B$1004,$F949)="","",INDEX('販売記録'!$B$5:$B$1004,$F949)))</ns0:f>
        <ns0:v/>
      </ns0:c>
      <ns0:c r="C949" s="9" t="str">
        <ns0:f>IF($F949="","",IF(INDEX('販売記録'!$C$5:$C$1004,$F949)="","",INDEX('販売記録'!$C$5:$C$1004,$F949)))</ns0:f>
        <ns0:v/>
      </ns0:c>
      <ns0:c r="D949" s="8" t="str">
        <ns0:f>IF($F949="","",IF(INDEX('販売記録'!$D$5:$D$1004,$F949)="","",INDEX('販売記録'!$D$5:$D$1004,$F949)))</ns0:f>
        <ns0:v/>
      </ns0:c>
      <ns0:c r="E949" s="12" t="str">
        <ns0:f>IF(OR(A949="",B949=""),"",MAX(0,TODAY()-A949))</ns0:f>
        <ns0:v/>
      </ns0:c>
      <ns0:c r="F949" s="9" t="str">
        <ns0:f>IFERROR(MATCH(ROW()-4,'販売記録'!$L$5:$L$1004,0),"")</ns0:f>
        <ns0:v/>
      </ns0:c>
    </ns0:row>
    <ns0:row r="950">
      <ns0:c r="A950" s="11" t="str">
        <ns0:f>IF($F950="","",IF(INDEX('販売記録'!$K$5:$K$1004,$F950)="","",INDEX('販売記録'!$K$5:$K$1004,$F950)))</ns0:f>
        <ns0:v/>
      </ns0:c>
      <ns0:c r="B950" s="9" t="str">
        <ns0:f>IF($F950="","",IF(INDEX('販売記録'!$B$5:$B$1004,$F950)="","",INDEX('販売記録'!$B$5:$B$1004,$F950)))</ns0:f>
        <ns0:v/>
      </ns0:c>
      <ns0:c r="C950" s="9" t="str">
        <ns0:f>IF($F950="","",IF(INDEX('販売記録'!$C$5:$C$1004,$F950)="","",INDEX('販売記録'!$C$5:$C$1004,$F950)))</ns0:f>
        <ns0:v/>
      </ns0:c>
      <ns0:c r="D950" s="8" t="str">
        <ns0:f>IF($F950="","",IF(INDEX('販売記録'!$D$5:$D$1004,$F950)="","",INDEX('販売記録'!$D$5:$D$1004,$F950)))</ns0:f>
        <ns0:v/>
      </ns0:c>
      <ns0:c r="E950" s="12" t="str">
        <ns0:f>IF(OR(A950="",B950=""),"",MAX(0,TODAY()-A950))</ns0:f>
        <ns0:v/>
      </ns0:c>
      <ns0:c r="F950" s="9" t="str">
        <ns0:f>IFERROR(MATCH(ROW()-4,'販売記録'!$L$5:$L$1004,0),"")</ns0:f>
        <ns0:v/>
      </ns0:c>
    </ns0:row>
    <ns0:row r="951">
      <ns0:c r="A951" s="11" t="str">
        <ns0:f>IF($F951="","",IF(INDEX('販売記録'!$K$5:$K$1004,$F951)="","",INDEX('販売記録'!$K$5:$K$1004,$F951)))</ns0:f>
        <ns0:v/>
      </ns0:c>
      <ns0:c r="B951" s="9" t="str">
        <ns0:f>IF($F951="","",IF(INDEX('販売記録'!$B$5:$B$1004,$F951)="","",INDEX('販売記録'!$B$5:$B$1004,$F951)))</ns0:f>
        <ns0:v/>
      </ns0:c>
      <ns0:c r="C951" s="9" t="str">
        <ns0:f>IF($F951="","",IF(INDEX('販売記録'!$C$5:$C$1004,$F951)="","",INDEX('販売記録'!$C$5:$C$1004,$F951)))</ns0:f>
        <ns0:v/>
      </ns0:c>
      <ns0:c r="D951" s="8" t="str">
        <ns0:f>IF($F951="","",IF(INDEX('販売記録'!$D$5:$D$1004,$F951)="","",INDEX('販売記録'!$D$5:$D$1004,$F951)))</ns0:f>
        <ns0:v/>
      </ns0:c>
      <ns0:c r="E951" s="12" t="str">
        <ns0:f>IF(OR(A951="",B951=""),"",MAX(0,TODAY()-A951))</ns0:f>
        <ns0:v/>
      </ns0:c>
      <ns0:c r="F951" s="9" t="str">
        <ns0:f>IFERROR(MATCH(ROW()-4,'販売記録'!$L$5:$L$1004,0),"")</ns0:f>
        <ns0:v/>
      </ns0:c>
    </ns0:row>
    <ns0:row r="952">
      <ns0:c r="A952" s="11" t="str">
        <ns0:f>IF($F952="","",IF(INDEX('販売記録'!$K$5:$K$1004,$F952)="","",INDEX('販売記録'!$K$5:$K$1004,$F952)))</ns0:f>
        <ns0:v/>
      </ns0:c>
      <ns0:c r="B952" s="9" t="str">
        <ns0:f>IF($F952="","",IF(INDEX('販売記録'!$B$5:$B$1004,$F952)="","",INDEX('販売記録'!$B$5:$B$1004,$F952)))</ns0:f>
        <ns0:v/>
      </ns0:c>
      <ns0:c r="C952" s="9" t="str">
        <ns0:f>IF($F952="","",IF(INDEX('販売記録'!$C$5:$C$1004,$F952)="","",INDEX('販売記録'!$C$5:$C$1004,$F952)))</ns0:f>
        <ns0:v/>
      </ns0:c>
      <ns0:c r="D952" s="8" t="str">
        <ns0:f>IF($F952="","",IF(INDEX('販売記録'!$D$5:$D$1004,$F952)="","",INDEX('販売記録'!$D$5:$D$1004,$F952)))</ns0:f>
        <ns0:v/>
      </ns0:c>
      <ns0:c r="E952" s="12" t="str">
        <ns0:f>IF(OR(A952="",B952=""),"",MAX(0,TODAY()-A952))</ns0:f>
        <ns0:v/>
      </ns0:c>
      <ns0:c r="F952" s="9" t="str">
        <ns0:f>IFERROR(MATCH(ROW()-4,'販売記録'!$L$5:$L$1004,0),"")</ns0:f>
        <ns0:v/>
      </ns0:c>
    </ns0:row>
    <ns0:row r="953">
      <ns0:c r="A953" s="11" t="str">
        <ns0:f>IF($F953="","",IF(INDEX('販売記録'!$K$5:$K$1004,$F953)="","",INDEX('販売記録'!$K$5:$K$1004,$F953)))</ns0:f>
        <ns0:v/>
      </ns0:c>
      <ns0:c r="B953" s="9" t="str">
        <ns0:f>IF($F953="","",IF(INDEX('販売記録'!$B$5:$B$1004,$F953)="","",INDEX('販売記録'!$B$5:$B$1004,$F953)))</ns0:f>
        <ns0:v/>
      </ns0:c>
      <ns0:c r="C953" s="9" t="str">
        <ns0:f>IF($F953="","",IF(INDEX('販売記録'!$C$5:$C$1004,$F953)="","",INDEX('販売記録'!$C$5:$C$1004,$F953)))</ns0:f>
        <ns0:v/>
      </ns0:c>
      <ns0:c r="D953" s="8" t="str">
        <ns0:f>IF($F953="","",IF(INDEX('販売記録'!$D$5:$D$1004,$F953)="","",INDEX('販売記録'!$D$5:$D$1004,$F953)))</ns0:f>
        <ns0:v/>
      </ns0:c>
      <ns0:c r="E953" s="12" t="str">
        <ns0:f>IF(OR(A953="",B953=""),"",MAX(0,TODAY()-A953))</ns0:f>
        <ns0:v/>
      </ns0:c>
      <ns0:c r="F953" s="9" t="str">
        <ns0:f>IFERROR(MATCH(ROW()-4,'販売記録'!$L$5:$L$1004,0),"")</ns0:f>
        <ns0:v/>
      </ns0:c>
    </ns0:row>
    <ns0:row r="954">
      <ns0:c r="A954" s="11" t="str">
        <ns0:f>IF($F954="","",IF(INDEX('販売記録'!$K$5:$K$1004,$F954)="","",INDEX('販売記録'!$K$5:$K$1004,$F954)))</ns0:f>
        <ns0:v/>
      </ns0:c>
      <ns0:c r="B954" s="9" t="str">
        <ns0:f>IF($F954="","",IF(INDEX('販売記録'!$B$5:$B$1004,$F954)="","",INDEX('販売記録'!$B$5:$B$1004,$F954)))</ns0:f>
        <ns0:v/>
      </ns0:c>
      <ns0:c r="C954" s="9" t="str">
        <ns0:f>IF($F954="","",IF(INDEX('販売記録'!$C$5:$C$1004,$F954)="","",INDEX('販売記録'!$C$5:$C$1004,$F954)))</ns0:f>
        <ns0:v/>
      </ns0:c>
      <ns0:c r="D954" s="8" t="str">
        <ns0:f>IF($F954="","",IF(INDEX('販売記録'!$D$5:$D$1004,$F954)="","",INDEX('販売記録'!$D$5:$D$1004,$F954)))</ns0:f>
        <ns0:v/>
      </ns0:c>
      <ns0:c r="E954" s="12" t="str">
        <ns0:f>IF(OR(A954="",B954=""),"",MAX(0,TODAY()-A954))</ns0:f>
        <ns0:v/>
      </ns0:c>
      <ns0:c r="F954" s="9" t="str">
        <ns0:f>IFERROR(MATCH(ROW()-4,'販売記録'!$L$5:$L$1004,0),"")</ns0:f>
        <ns0:v/>
      </ns0:c>
    </ns0:row>
    <ns0:row r="955">
      <ns0:c r="A955" s="11" t="str">
        <ns0:f>IF($F955="","",IF(INDEX('販売記録'!$K$5:$K$1004,$F955)="","",INDEX('販売記録'!$K$5:$K$1004,$F955)))</ns0:f>
        <ns0:v/>
      </ns0:c>
      <ns0:c r="B955" s="9" t="str">
        <ns0:f>IF($F955="","",IF(INDEX('販売記録'!$B$5:$B$1004,$F955)="","",INDEX('販売記録'!$B$5:$B$1004,$F955)))</ns0:f>
        <ns0:v/>
      </ns0:c>
      <ns0:c r="C955" s="9" t="str">
        <ns0:f>IF($F955="","",IF(INDEX('販売記録'!$C$5:$C$1004,$F955)="","",INDEX('販売記録'!$C$5:$C$1004,$F955)))</ns0:f>
        <ns0:v/>
      </ns0:c>
      <ns0:c r="D955" s="8" t="str">
        <ns0:f>IF($F955="","",IF(INDEX('販売記録'!$D$5:$D$1004,$F955)="","",INDEX('販売記録'!$D$5:$D$1004,$F955)))</ns0:f>
        <ns0:v/>
      </ns0:c>
      <ns0:c r="E955" s="12" t="str">
        <ns0:f>IF(OR(A955="",B955=""),"",MAX(0,TODAY()-A955))</ns0:f>
        <ns0:v/>
      </ns0:c>
      <ns0:c r="F955" s="9" t="str">
        <ns0:f>IFERROR(MATCH(ROW()-4,'販売記録'!$L$5:$L$1004,0),"")</ns0:f>
        <ns0:v/>
      </ns0:c>
    </ns0:row>
    <ns0:row r="956">
      <ns0:c r="A956" s="11" t="str">
        <ns0:f>IF($F956="","",IF(INDEX('販売記録'!$K$5:$K$1004,$F956)="","",INDEX('販売記録'!$K$5:$K$1004,$F956)))</ns0:f>
        <ns0:v/>
      </ns0:c>
      <ns0:c r="B956" s="9" t="str">
        <ns0:f>IF($F956="","",IF(INDEX('販売記録'!$B$5:$B$1004,$F956)="","",INDEX('販売記録'!$B$5:$B$1004,$F956)))</ns0:f>
        <ns0:v/>
      </ns0:c>
      <ns0:c r="C956" s="9" t="str">
        <ns0:f>IF($F956="","",IF(INDEX('販売記録'!$C$5:$C$1004,$F956)="","",INDEX('販売記録'!$C$5:$C$1004,$F956)))</ns0:f>
        <ns0:v/>
      </ns0:c>
      <ns0:c r="D956" s="8" t="str">
        <ns0:f>IF($F956="","",IF(INDEX('販売記録'!$D$5:$D$1004,$F956)="","",INDEX('販売記録'!$D$5:$D$1004,$F956)))</ns0:f>
        <ns0:v/>
      </ns0:c>
      <ns0:c r="E956" s="12" t="str">
        <ns0:f>IF(OR(A956="",B956=""),"",MAX(0,TODAY()-A956))</ns0:f>
        <ns0:v/>
      </ns0:c>
      <ns0:c r="F956" s="9" t="str">
        <ns0:f>IFERROR(MATCH(ROW()-4,'販売記録'!$L$5:$L$1004,0),"")</ns0:f>
        <ns0:v/>
      </ns0:c>
    </ns0:row>
    <ns0:row r="957">
      <ns0:c r="A957" s="11" t="str">
        <ns0:f>IF($F957="","",IF(INDEX('販売記録'!$K$5:$K$1004,$F957)="","",INDEX('販売記録'!$K$5:$K$1004,$F957)))</ns0:f>
        <ns0:v/>
      </ns0:c>
      <ns0:c r="B957" s="9" t="str">
        <ns0:f>IF($F957="","",IF(INDEX('販売記録'!$B$5:$B$1004,$F957)="","",INDEX('販売記録'!$B$5:$B$1004,$F957)))</ns0:f>
        <ns0:v/>
      </ns0:c>
      <ns0:c r="C957" s="9" t="str">
        <ns0:f>IF($F957="","",IF(INDEX('販売記録'!$C$5:$C$1004,$F957)="","",INDEX('販売記録'!$C$5:$C$1004,$F957)))</ns0:f>
        <ns0:v/>
      </ns0:c>
      <ns0:c r="D957" s="8" t="str">
        <ns0:f>IF($F957="","",IF(INDEX('販売記録'!$D$5:$D$1004,$F957)="","",INDEX('販売記録'!$D$5:$D$1004,$F957)))</ns0:f>
        <ns0:v/>
      </ns0:c>
      <ns0:c r="E957" s="12" t="str">
        <ns0:f>IF(OR(A957="",B957=""),"",MAX(0,TODAY()-A957))</ns0:f>
        <ns0:v/>
      </ns0:c>
      <ns0:c r="F957" s="9" t="str">
        <ns0:f>IFERROR(MATCH(ROW()-4,'販売記録'!$L$5:$L$1004,0),"")</ns0:f>
        <ns0:v/>
      </ns0:c>
    </ns0:row>
    <ns0:row r="958">
      <ns0:c r="A958" s="11" t="str">
        <ns0:f>IF($F958="","",IF(INDEX('販売記録'!$K$5:$K$1004,$F958)="","",INDEX('販売記録'!$K$5:$K$1004,$F958)))</ns0:f>
        <ns0:v/>
      </ns0:c>
      <ns0:c r="B958" s="9" t="str">
        <ns0:f>IF($F958="","",IF(INDEX('販売記録'!$B$5:$B$1004,$F958)="","",INDEX('販売記録'!$B$5:$B$1004,$F958)))</ns0:f>
        <ns0:v/>
      </ns0:c>
      <ns0:c r="C958" s="9" t="str">
        <ns0:f>IF($F958="","",IF(INDEX('販売記録'!$C$5:$C$1004,$F958)="","",INDEX('販売記録'!$C$5:$C$1004,$F958)))</ns0:f>
        <ns0:v/>
      </ns0:c>
      <ns0:c r="D958" s="8" t="str">
        <ns0:f>IF($F958="","",IF(INDEX('販売記録'!$D$5:$D$1004,$F958)="","",INDEX('販売記録'!$D$5:$D$1004,$F958)))</ns0:f>
        <ns0:v/>
      </ns0:c>
      <ns0:c r="E958" s="12" t="str">
        <ns0:f>IF(OR(A958="",B958=""),"",MAX(0,TODAY()-A958))</ns0:f>
        <ns0:v/>
      </ns0:c>
      <ns0:c r="F958" s="9" t="str">
        <ns0:f>IFERROR(MATCH(ROW()-4,'販売記録'!$L$5:$L$1004,0),"")</ns0:f>
        <ns0:v/>
      </ns0:c>
    </ns0:row>
    <ns0:row r="959">
      <ns0:c r="A959" s="11" t="str">
        <ns0:f>IF($F959="","",IF(INDEX('販売記録'!$K$5:$K$1004,$F959)="","",INDEX('販売記録'!$K$5:$K$1004,$F959)))</ns0:f>
        <ns0:v/>
      </ns0:c>
      <ns0:c r="B959" s="9" t="str">
        <ns0:f>IF($F959="","",IF(INDEX('販売記録'!$B$5:$B$1004,$F959)="","",INDEX('販売記録'!$B$5:$B$1004,$F959)))</ns0:f>
        <ns0:v/>
      </ns0:c>
      <ns0:c r="C959" s="9" t="str">
        <ns0:f>IF($F959="","",IF(INDEX('販売記録'!$C$5:$C$1004,$F959)="","",INDEX('販売記録'!$C$5:$C$1004,$F959)))</ns0:f>
        <ns0:v/>
      </ns0:c>
      <ns0:c r="D959" s="8" t="str">
        <ns0:f>IF($F959="","",IF(INDEX('販売記録'!$D$5:$D$1004,$F959)="","",INDEX('販売記録'!$D$5:$D$1004,$F959)))</ns0:f>
        <ns0:v/>
      </ns0:c>
      <ns0:c r="E959" s="12" t="str">
        <ns0:f>IF(OR(A959="",B959=""),"",MAX(0,TODAY()-A959))</ns0:f>
        <ns0:v/>
      </ns0:c>
      <ns0:c r="F959" s="9" t="str">
        <ns0:f>IFERROR(MATCH(ROW()-4,'販売記録'!$L$5:$L$1004,0),"")</ns0:f>
        <ns0:v/>
      </ns0:c>
    </ns0:row>
    <ns0:row r="960">
      <ns0:c r="A960" s="11" t="str">
        <ns0:f>IF($F960="","",IF(INDEX('販売記録'!$K$5:$K$1004,$F960)="","",INDEX('販売記録'!$K$5:$K$1004,$F960)))</ns0:f>
        <ns0:v/>
      </ns0:c>
      <ns0:c r="B960" s="9" t="str">
        <ns0:f>IF($F960="","",IF(INDEX('販売記録'!$B$5:$B$1004,$F960)="","",INDEX('販売記録'!$B$5:$B$1004,$F960)))</ns0:f>
        <ns0:v/>
      </ns0:c>
      <ns0:c r="C960" s="9" t="str">
        <ns0:f>IF($F960="","",IF(INDEX('販売記録'!$C$5:$C$1004,$F960)="","",INDEX('販売記録'!$C$5:$C$1004,$F960)))</ns0:f>
        <ns0:v/>
      </ns0:c>
      <ns0:c r="D960" s="8" t="str">
        <ns0:f>IF($F960="","",IF(INDEX('販売記録'!$D$5:$D$1004,$F960)="","",INDEX('販売記録'!$D$5:$D$1004,$F960)))</ns0:f>
        <ns0:v/>
      </ns0:c>
      <ns0:c r="E960" s="12" t="str">
        <ns0:f>IF(OR(A960="",B960=""),"",MAX(0,TODAY()-A960))</ns0:f>
        <ns0:v/>
      </ns0:c>
      <ns0:c r="F960" s="9" t="str">
        <ns0:f>IFERROR(MATCH(ROW()-4,'販売記録'!$L$5:$L$1004,0),"")</ns0:f>
        <ns0:v/>
      </ns0:c>
    </ns0:row>
    <ns0:row r="961">
      <ns0:c r="A961" s="11" t="str">
        <ns0:f>IF($F961="","",IF(INDEX('販売記録'!$K$5:$K$1004,$F961)="","",INDEX('販売記録'!$K$5:$K$1004,$F961)))</ns0:f>
        <ns0:v/>
      </ns0:c>
      <ns0:c r="B961" s="9" t="str">
        <ns0:f>IF($F961="","",IF(INDEX('販売記録'!$B$5:$B$1004,$F961)="","",INDEX('販売記録'!$B$5:$B$1004,$F961)))</ns0:f>
        <ns0:v/>
      </ns0:c>
      <ns0:c r="C961" s="9" t="str">
        <ns0:f>IF($F961="","",IF(INDEX('販売記録'!$C$5:$C$1004,$F961)="","",INDEX('販売記録'!$C$5:$C$1004,$F961)))</ns0:f>
        <ns0:v/>
      </ns0:c>
      <ns0:c r="D961" s="8" t="str">
        <ns0:f>IF($F961="","",IF(INDEX('販売記録'!$D$5:$D$1004,$F961)="","",INDEX('販売記録'!$D$5:$D$1004,$F961)))</ns0:f>
        <ns0:v/>
      </ns0:c>
      <ns0:c r="E961" s="12" t="str">
        <ns0:f>IF(OR(A961="",B961=""),"",MAX(0,TODAY()-A961))</ns0:f>
        <ns0:v/>
      </ns0:c>
      <ns0:c r="F961" s="9" t="str">
        <ns0:f>IFERROR(MATCH(ROW()-4,'販売記録'!$L$5:$L$1004,0),"")</ns0:f>
        <ns0:v/>
      </ns0:c>
    </ns0:row>
    <ns0:row r="962">
      <ns0:c r="A962" s="11" t="str">
        <ns0:f>IF($F962="","",IF(INDEX('販売記録'!$K$5:$K$1004,$F962)="","",INDEX('販売記録'!$K$5:$K$1004,$F962)))</ns0:f>
        <ns0:v/>
      </ns0:c>
      <ns0:c r="B962" s="9" t="str">
        <ns0:f>IF($F962="","",IF(INDEX('販売記録'!$B$5:$B$1004,$F962)="","",INDEX('販売記録'!$B$5:$B$1004,$F962)))</ns0:f>
        <ns0:v/>
      </ns0:c>
      <ns0:c r="C962" s="9" t="str">
        <ns0:f>IF($F962="","",IF(INDEX('販売記録'!$C$5:$C$1004,$F962)="","",INDEX('販売記録'!$C$5:$C$1004,$F962)))</ns0:f>
        <ns0:v/>
      </ns0:c>
      <ns0:c r="D962" s="8" t="str">
        <ns0:f>IF($F962="","",IF(INDEX('販売記録'!$D$5:$D$1004,$F962)="","",INDEX('販売記録'!$D$5:$D$1004,$F962)))</ns0:f>
        <ns0:v/>
      </ns0:c>
      <ns0:c r="E962" s="12" t="str">
        <ns0:f>IF(OR(A962="",B962=""),"",MAX(0,TODAY()-A962))</ns0:f>
        <ns0:v/>
      </ns0:c>
      <ns0:c r="F962" s="9" t="str">
        <ns0:f>IFERROR(MATCH(ROW()-4,'販売記録'!$L$5:$L$1004,0),"")</ns0:f>
        <ns0:v/>
      </ns0:c>
    </ns0:row>
    <ns0:row r="963">
      <ns0:c r="A963" s="11" t="str">
        <ns0:f>IF($F963="","",IF(INDEX('販売記録'!$K$5:$K$1004,$F963)="","",INDEX('販売記録'!$K$5:$K$1004,$F963)))</ns0:f>
        <ns0:v/>
      </ns0:c>
      <ns0:c r="B963" s="9" t="str">
        <ns0:f>IF($F963="","",IF(INDEX('販売記録'!$B$5:$B$1004,$F963)="","",INDEX('販売記録'!$B$5:$B$1004,$F963)))</ns0:f>
        <ns0:v/>
      </ns0:c>
      <ns0:c r="C963" s="9" t="str">
        <ns0:f>IF($F963="","",IF(INDEX('販売記録'!$C$5:$C$1004,$F963)="","",INDEX('販売記録'!$C$5:$C$1004,$F963)))</ns0:f>
        <ns0:v/>
      </ns0:c>
      <ns0:c r="D963" s="8" t="str">
        <ns0:f>IF($F963="","",IF(INDEX('販売記録'!$D$5:$D$1004,$F963)="","",INDEX('販売記録'!$D$5:$D$1004,$F963)))</ns0:f>
        <ns0:v/>
      </ns0:c>
      <ns0:c r="E963" s="12" t="str">
        <ns0:f>IF(OR(A963="",B963=""),"",MAX(0,TODAY()-A963))</ns0:f>
        <ns0:v/>
      </ns0:c>
      <ns0:c r="F963" s="9" t="str">
        <ns0:f>IFERROR(MATCH(ROW()-4,'販売記録'!$L$5:$L$1004,0),"")</ns0:f>
        <ns0:v/>
      </ns0:c>
    </ns0:row>
    <ns0:row r="964">
      <ns0:c r="A964" s="11" t="str">
        <ns0:f>IF($F964="","",IF(INDEX('販売記録'!$K$5:$K$1004,$F964)="","",INDEX('販売記録'!$K$5:$K$1004,$F964)))</ns0:f>
        <ns0:v/>
      </ns0:c>
      <ns0:c r="B964" s="9" t="str">
        <ns0:f>IF($F964="","",IF(INDEX('販売記録'!$B$5:$B$1004,$F964)="","",INDEX('販売記録'!$B$5:$B$1004,$F964)))</ns0:f>
        <ns0:v/>
      </ns0:c>
      <ns0:c r="C964" s="9" t="str">
        <ns0:f>IF($F964="","",IF(INDEX('販売記録'!$C$5:$C$1004,$F964)="","",INDEX('販売記録'!$C$5:$C$1004,$F964)))</ns0:f>
        <ns0:v/>
      </ns0:c>
      <ns0:c r="D964" s="8" t="str">
        <ns0:f>IF($F964="","",IF(INDEX('販売記録'!$D$5:$D$1004,$F964)="","",INDEX('販売記録'!$D$5:$D$1004,$F964)))</ns0:f>
        <ns0:v/>
      </ns0:c>
      <ns0:c r="E964" s="12" t="str">
        <ns0:f>IF(OR(A964="",B964=""),"",MAX(0,TODAY()-A964))</ns0:f>
        <ns0:v/>
      </ns0:c>
      <ns0:c r="F964" s="9" t="str">
        <ns0:f>IFERROR(MATCH(ROW()-4,'販売記録'!$L$5:$L$1004,0),"")</ns0:f>
        <ns0:v/>
      </ns0:c>
    </ns0:row>
    <ns0:row r="965">
      <ns0:c r="A965" s="11" t="str">
        <ns0:f>IF($F965="","",IF(INDEX('販売記録'!$K$5:$K$1004,$F965)="","",INDEX('販売記録'!$K$5:$K$1004,$F965)))</ns0:f>
        <ns0:v/>
      </ns0:c>
      <ns0:c r="B965" s="9" t="str">
        <ns0:f>IF($F965="","",IF(INDEX('販売記録'!$B$5:$B$1004,$F965)="","",INDEX('販売記録'!$B$5:$B$1004,$F965)))</ns0:f>
        <ns0:v/>
      </ns0:c>
      <ns0:c r="C965" s="9" t="str">
        <ns0:f>IF($F965="","",IF(INDEX('販売記録'!$C$5:$C$1004,$F965)="","",INDEX('販売記録'!$C$5:$C$1004,$F965)))</ns0:f>
        <ns0:v/>
      </ns0:c>
      <ns0:c r="D965" s="8" t="str">
        <ns0:f>IF($F965="","",IF(INDEX('販売記録'!$D$5:$D$1004,$F965)="","",INDEX('販売記録'!$D$5:$D$1004,$F965)))</ns0:f>
        <ns0:v/>
      </ns0:c>
      <ns0:c r="E965" s="12" t="str">
        <ns0:f>IF(OR(A965="",B965=""),"",MAX(0,TODAY()-A965))</ns0:f>
        <ns0:v/>
      </ns0:c>
      <ns0:c r="F965" s="9" t="str">
        <ns0:f>IFERROR(MATCH(ROW()-4,'販売記録'!$L$5:$L$1004,0),"")</ns0:f>
        <ns0:v/>
      </ns0:c>
    </ns0:row>
    <ns0:row r="966">
      <ns0:c r="A966" s="11" t="str">
        <ns0:f>IF($F966="","",IF(INDEX('販売記録'!$K$5:$K$1004,$F966)="","",INDEX('販売記録'!$K$5:$K$1004,$F966)))</ns0:f>
        <ns0:v/>
      </ns0:c>
      <ns0:c r="B966" s="9" t="str">
        <ns0:f>IF($F966="","",IF(INDEX('販売記録'!$B$5:$B$1004,$F966)="","",INDEX('販売記録'!$B$5:$B$1004,$F966)))</ns0:f>
        <ns0:v/>
      </ns0:c>
      <ns0:c r="C966" s="9" t="str">
        <ns0:f>IF($F966="","",IF(INDEX('販売記録'!$C$5:$C$1004,$F966)="","",INDEX('販売記録'!$C$5:$C$1004,$F966)))</ns0:f>
        <ns0:v/>
      </ns0:c>
      <ns0:c r="D966" s="8" t="str">
        <ns0:f>IF($F966="","",IF(INDEX('販売記録'!$D$5:$D$1004,$F966)="","",INDEX('販売記録'!$D$5:$D$1004,$F966)))</ns0:f>
        <ns0:v/>
      </ns0:c>
      <ns0:c r="E966" s="12" t="str">
        <ns0:f>IF(OR(A966="",B966=""),"",MAX(0,TODAY()-A966))</ns0:f>
        <ns0:v/>
      </ns0:c>
      <ns0:c r="F966" s="9" t="str">
        <ns0:f>IFERROR(MATCH(ROW()-4,'販売記録'!$L$5:$L$1004,0),"")</ns0:f>
        <ns0:v/>
      </ns0:c>
    </ns0:row>
    <ns0:row r="967">
      <ns0:c r="A967" s="11" t="str">
        <ns0:f>IF($F967="","",IF(INDEX('販売記録'!$K$5:$K$1004,$F967)="","",INDEX('販売記録'!$K$5:$K$1004,$F967)))</ns0:f>
        <ns0:v/>
      </ns0:c>
      <ns0:c r="B967" s="9" t="str">
        <ns0:f>IF($F967="","",IF(INDEX('販売記録'!$B$5:$B$1004,$F967)="","",INDEX('販売記録'!$B$5:$B$1004,$F967)))</ns0:f>
        <ns0:v/>
      </ns0:c>
      <ns0:c r="C967" s="9" t="str">
        <ns0:f>IF($F967="","",IF(INDEX('販売記録'!$C$5:$C$1004,$F967)="","",INDEX('販売記録'!$C$5:$C$1004,$F967)))</ns0:f>
        <ns0:v/>
      </ns0:c>
      <ns0:c r="D967" s="8" t="str">
        <ns0:f>IF($F967="","",IF(INDEX('販売記録'!$D$5:$D$1004,$F967)="","",INDEX('販売記録'!$D$5:$D$1004,$F967)))</ns0:f>
        <ns0:v/>
      </ns0:c>
      <ns0:c r="E967" s="12" t="str">
        <ns0:f>IF(OR(A967="",B967=""),"",MAX(0,TODAY()-A967))</ns0:f>
        <ns0:v/>
      </ns0:c>
      <ns0:c r="F967" s="9" t="str">
        <ns0:f>IFERROR(MATCH(ROW()-4,'販売記録'!$L$5:$L$1004,0),"")</ns0:f>
        <ns0:v/>
      </ns0:c>
    </ns0:row>
    <ns0:row r="968">
      <ns0:c r="A968" s="11" t="str">
        <ns0:f>IF($F968="","",IF(INDEX('販売記録'!$K$5:$K$1004,$F968)="","",INDEX('販売記録'!$K$5:$K$1004,$F968)))</ns0:f>
        <ns0:v/>
      </ns0:c>
      <ns0:c r="B968" s="9" t="str">
        <ns0:f>IF($F968="","",IF(INDEX('販売記録'!$B$5:$B$1004,$F968)="","",INDEX('販売記録'!$B$5:$B$1004,$F968)))</ns0:f>
        <ns0:v/>
      </ns0:c>
      <ns0:c r="C968" s="9" t="str">
        <ns0:f>IF($F968="","",IF(INDEX('販売記録'!$C$5:$C$1004,$F968)="","",INDEX('販売記録'!$C$5:$C$1004,$F968)))</ns0:f>
        <ns0:v/>
      </ns0:c>
      <ns0:c r="D968" s="8" t="str">
        <ns0:f>IF($F968="","",IF(INDEX('販売記録'!$D$5:$D$1004,$F968)="","",INDEX('販売記録'!$D$5:$D$1004,$F968)))</ns0:f>
        <ns0:v/>
      </ns0:c>
      <ns0:c r="E968" s="12" t="str">
        <ns0:f>IF(OR(A968="",B968=""),"",MAX(0,TODAY()-A968))</ns0:f>
        <ns0:v/>
      </ns0:c>
      <ns0:c r="F968" s="9" t="str">
        <ns0:f>IFERROR(MATCH(ROW()-4,'販売記録'!$L$5:$L$1004,0),"")</ns0:f>
        <ns0:v/>
      </ns0:c>
    </ns0:row>
    <ns0:row r="969">
      <ns0:c r="A969" s="11" t="str">
        <ns0:f>IF($F969="","",IF(INDEX('販売記録'!$K$5:$K$1004,$F969)="","",INDEX('販売記録'!$K$5:$K$1004,$F969)))</ns0:f>
        <ns0:v/>
      </ns0:c>
      <ns0:c r="B969" s="9" t="str">
        <ns0:f>IF($F969="","",IF(INDEX('販売記録'!$B$5:$B$1004,$F969)="","",INDEX('販売記録'!$B$5:$B$1004,$F969)))</ns0:f>
        <ns0:v/>
      </ns0:c>
      <ns0:c r="C969" s="9" t="str">
        <ns0:f>IF($F969="","",IF(INDEX('販売記録'!$C$5:$C$1004,$F969)="","",INDEX('販売記録'!$C$5:$C$1004,$F969)))</ns0:f>
        <ns0:v/>
      </ns0:c>
      <ns0:c r="D969" s="8" t="str">
        <ns0:f>IF($F969="","",IF(INDEX('販売記録'!$D$5:$D$1004,$F969)="","",INDEX('販売記録'!$D$5:$D$1004,$F969)))</ns0:f>
        <ns0:v/>
      </ns0:c>
      <ns0:c r="E969" s="12" t="str">
        <ns0:f>IF(OR(A969="",B969=""),"",MAX(0,TODAY()-A969))</ns0:f>
        <ns0:v/>
      </ns0:c>
      <ns0:c r="F969" s="9" t="str">
        <ns0:f>IFERROR(MATCH(ROW()-4,'販売記録'!$L$5:$L$1004,0),"")</ns0:f>
        <ns0:v/>
      </ns0:c>
    </ns0:row>
    <ns0:row r="970">
      <ns0:c r="A970" s="11" t="str">
        <ns0:f>IF($F970="","",IF(INDEX('販売記録'!$K$5:$K$1004,$F970)="","",INDEX('販売記録'!$K$5:$K$1004,$F970)))</ns0:f>
        <ns0:v/>
      </ns0:c>
      <ns0:c r="B970" s="9" t="str">
        <ns0:f>IF($F970="","",IF(INDEX('販売記録'!$B$5:$B$1004,$F970)="","",INDEX('販売記録'!$B$5:$B$1004,$F970)))</ns0:f>
        <ns0:v/>
      </ns0:c>
      <ns0:c r="C970" s="9" t="str">
        <ns0:f>IF($F970="","",IF(INDEX('販売記録'!$C$5:$C$1004,$F970)="","",INDEX('販売記録'!$C$5:$C$1004,$F970)))</ns0:f>
        <ns0:v/>
      </ns0:c>
      <ns0:c r="D970" s="8" t="str">
        <ns0:f>IF($F970="","",IF(INDEX('販売記録'!$D$5:$D$1004,$F970)="","",INDEX('販売記録'!$D$5:$D$1004,$F970)))</ns0:f>
        <ns0:v/>
      </ns0:c>
      <ns0:c r="E970" s="12" t="str">
        <ns0:f>IF(OR(A970="",B970=""),"",MAX(0,TODAY()-A970))</ns0:f>
        <ns0:v/>
      </ns0:c>
      <ns0:c r="F970" s="9" t="str">
        <ns0:f>IFERROR(MATCH(ROW()-4,'販売記録'!$L$5:$L$1004,0),"")</ns0:f>
        <ns0:v/>
      </ns0:c>
    </ns0:row>
    <ns0:row r="971">
      <ns0:c r="A971" s="11" t="str">
        <ns0:f>IF($F971="","",IF(INDEX('販売記録'!$K$5:$K$1004,$F971)="","",INDEX('販売記録'!$K$5:$K$1004,$F971)))</ns0:f>
        <ns0:v/>
      </ns0:c>
      <ns0:c r="B971" s="9" t="str">
        <ns0:f>IF($F971="","",IF(INDEX('販売記録'!$B$5:$B$1004,$F971)="","",INDEX('販売記録'!$B$5:$B$1004,$F971)))</ns0:f>
        <ns0:v/>
      </ns0:c>
      <ns0:c r="C971" s="9" t="str">
        <ns0:f>IF($F971="","",IF(INDEX('販売記録'!$C$5:$C$1004,$F971)="","",INDEX('販売記録'!$C$5:$C$1004,$F971)))</ns0:f>
        <ns0:v/>
      </ns0:c>
      <ns0:c r="D971" s="8" t="str">
        <ns0:f>IF($F971="","",IF(INDEX('販売記録'!$D$5:$D$1004,$F971)="","",INDEX('販売記録'!$D$5:$D$1004,$F971)))</ns0:f>
        <ns0:v/>
      </ns0:c>
      <ns0:c r="E971" s="12" t="str">
        <ns0:f>IF(OR(A971="",B971=""),"",MAX(0,TODAY()-A971))</ns0:f>
        <ns0:v/>
      </ns0:c>
      <ns0:c r="F971" s="9" t="str">
        <ns0:f>IFERROR(MATCH(ROW()-4,'販売記録'!$L$5:$L$1004,0),"")</ns0:f>
        <ns0:v/>
      </ns0:c>
    </ns0:row>
    <ns0:row r="972">
      <ns0:c r="A972" s="11" t="str">
        <ns0:f>IF($F972="","",IF(INDEX('販売記録'!$K$5:$K$1004,$F972)="","",INDEX('販売記録'!$K$5:$K$1004,$F972)))</ns0:f>
        <ns0:v/>
      </ns0:c>
      <ns0:c r="B972" s="9" t="str">
        <ns0:f>IF($F972="","",IF(INDEX('販売記録'!$B$5:$B$1004,$F972)="","",INDEX('販売記録'!$B$5:$B$1004,$F972)))</ns0:f>
        <ns0:v/>
      </ns0:c>
      <ns0:c r="C972" s="9" t="str">
        <ns0:f>IF($F972="","",IF(INDEX('販売記録'!$C$5:$C$1004,$F972)="","",INDEX('販売記録'!$C$5:$C$1004,$F972)))</ns0:f>
        <ns0:v/>
      </ns0:c>
      <ns0:c r="D972" s="8" t="str">
        <ns0:f>IF($F972="","",IF(INDEX('販売記録'!$D$5:$D$1004,$F972)="","",INDEX('販売記録'!$D$5:$D$1004,$F972)))</ns0:f>
        <ns0:v/>
      </ns0:c>
      <ns0:c r="E972" s="12" t="str">
        <ns0:f>IF(OR(A972="",B972=""),"",MAX(0,TODAY()-A972))</ns0:f>
        <ns0:v/>
      </ns0:c>
      <ns0:c r="F972" s="9" t="str">
        <ns0:f>IFERROR(MATCH(ROW()-4,'販売記録'!$L$5:$L$1004,0),"")</ns0:f>
        <ns0:v/>
      </ns0:c>
    </ns0:row>
    <ns0:row r="973">
      <ns0:c r="A973" s="11" t="str">
        <ns0:f>IF($F973="","",IF(INDEX('販売記録'!$K$5:$K$1004,$F973)="","",INDEX('販売記録'!$K$5:$K$1004,$F973)))</ns0:f>
        <ns0:v/>
      </ns0:c>
      <ns0:c r="B973" s="9" t="str">
        <ns0:f>IF($F973="","",IF(INDEX('販売記録'!$B$5:$B$1004,$F973)="","",INDEX('販売記録'!$B$5:$B$1004,$F973)))</ns0:f>
        <ns0:v/>
      </ns0:c>
      <ns0:c r="C973" s="9" t="str">
        <ns0:f>IF($F973="","",IF(INDEX('販売記録'!$C$5:$C$1004,$F973)="","",INDEX('販売記録'!$C$5:$C$1004,$F973)))</ns0:f>
        <ns0:v/>
      </ns0:c>
      <ns0:c r="D973" s="8" t="str">
        <ns0:f>IF($F973="","",IF(INDEX('販売記録'!$D$5:$D$1004,$F973)="","",INDEX('販売記録'!$D$5:$D$1004,$F973)))</ns0:f>
        <ns0:v/>
      </ns0:c>
      <ns0:c r="E973" s="12" t="str">
        <ns0:f>IF(OR(A973="",B973=""),"",MAX(0,TODAY()-A973))</ns0:f>
        <ns0:v/>
      </ns0:c>
      <ns0:c r="F973" s="9" t="str">
        <ns0:f>IFERROR(MATCH(ROW()-4,'販売記録'!$L$5:$L$1004,0),"")</ns0:f>
        <ns0:v/>
      </ns0:c>
    </ns0:row>
    <ns0:row r="974">
      <ns0:c r="A974" s="11" t="str">
        <ns0:f>IF($F974="","",IF(INDEX('販売記録'!$K$5:$K$1004,$F974)="","",INDEX('販売記録'!$K$5:$K$1004,$F974)))</ns0:f>
        <ns0:v/>
      </ns0:c>
      <ns0:c r="B974" s="9" t="str">
        <ns0:f>IF($F974="","",IF(INDEX('販売記録'!$B$5:$B$1004,$F974)="","",INDEX('販売記録'!$B$5:$B$1004,$F974)))</ns0:f>
        <ns0:v/>
      </ns0:c>
      <ns0:c r="C974" s="9" t="str">
        <ns0:f>IF($F974="","",IF(INDEX('販売記録'!$C$5:$C$1004,$F974)="","",INDEX('販売記録'!$C$5:$C$1004,$F974)))</ns0:f>
        <ns0:v/>
      </ns0:c>
      <ns0:c r="D974" s="8" t="str">
        <ns0:f>IF($F974="","",IF(INDEX('販売記録'!$D$5:$D$1004,$F974)="","",INDEX('販売記録'!$D$5:$D$1004,$F974)))</ns0:f>
        <ns0:v/>
      </ns0:c>
      <ns0:c r="E974" s="12" t="str">
        <ns0:f>IF(OR(A974="",B974=""),"",MAX(0,TODAY()-A974))</ns0:f>
        <ns0:v/>
      </ns0:c>
      <ns0:c r="F974" s="9" t="str">
        <ns0:f>IFERROR(MATCH(ROW()-4,'販売記録'!$L$5:$L$1004,0),"")</ns0:f>
        <ns0:v/>
      </ns0:c>
    </ns0:row>
    <ns0:row r="975">
      <ns0:c r="A975" s="11" t="str">
        <ns0:f>IF($F975="","",IF(INDEX('販売記録'!$K$5:$K$1004,$F975)="","",INDEX('販売記録'!$K$5:$K$1004,$F975)))</ns0:f>
        <ns0:v/>
      </ns0:c>
      <ns0:c r="B975" s="9" t="str">
        <ns0:f>IF($F975="","",IF(INDEX('販売記録'!$B$5:$B$1004,$F975)="","",INDEX('販売記録'!$B$5:$B$1004,$F975)))</ns0:f>
        <ns0:v/>
      </ns0:c>
      <ns0:c r="C975" s="9" t="str">
        <ns0:f>IF($F975="","",IF(INDEX('販売記録'!$C$5:$C$1004,$F975)="","",INDEX('販売記録'!$C$5:$C$1004,$F975)))</ns0:f>
        <ns0:v/>
      </ns0:c>
      <ns0:c r="D975" s="8" t="str">
        <ns0:f>IF($F975="","",IF(INDEX('販売記録'!$D$5:$D$1004,$F975)="","",INDEX('販売記録'!$D$5:$D$1004,$F975)))</ns0:f>
        <ns0:v/>
      </ns0:c>
      <ns0:c r="E975" s="12" t="str">
        <ns0:f>IF(OR(A975="",B975=""),"",MAX(0,TODAY()-A975))</ns0:f>
        <ns0:v/>
      </ns0:c>
      <ns0:c r="F975" s="9" t="str">
        <ns0:f>IFERROR(MATCH(ROW()-4,'販売記録'!$L$5:$L$1004,0),"")</ns0:f>
        <ns0:v/>
      </ns0:c>
    </ns0:row>
    <ns0:row r="976">
      <ns0:c r="A976" s="11" t="str">
        <ns0:f>IF($F976="","",IF(INDEX('販売記録'!$K$5:$K$1004,$F976)="","",INDEX('販売記録'!$K$5:$K$1004,$F976)))</ns0:f>
        <ns0:v/>
      </ns0:c>
      <ns0:c r="B976" s="9" t="str">
        <ns0:f>IF($F976="","",IF(INDEX('販売記録'!$B$5:$B$1004,$F976)="","",INDEX('販売記録'!$B$5:$B$1004,$F976)))</ns0:f>
        <ns0:v/>
      </ns0:c>
      <ns0:c r="C976" s="9" t="str">
        <ns0:f>IF($F976="","",IF(INDEX('販売記録'!$C$5:$C$1004,$F976)="","",INDEX('販売記録'!$C$5:$C$1004,$F976)))</ns0:f>
        <ns0:v/>
      </ns0:c>
      <ns0:c r="D976" s="8" t="str">
        <ns0:f>IF($F976="","",IF(INDEX('販売記録'!$D$5:$D$1004,$F976)="","",INDEX('販売記録'!$D$5:$D$1004,$F976)))</ns0:f>
        <ns0:v/>
      </ns0:c>
      <ns0:c r="E976" s="12" t="str">
        <ns0:f>IF(OR(A976="",B976=""),"",MAX(0,TODAY()-A976))</ns0:f>
        <ns0:v/>
      </ns0:c>
      <ns0:c r="F976" s="9" t="str">
        <ns0:f>IFERROR(MATCH(ROW()-4,'販売記録'!$L$5:$L$1004,0),"")</ns0:f>
        <ns0:v/>
      </ns0:c>
    </ns0:row>
    <ns0:row r="977">
      <ns0:c r="A977" s="11" t="str">
        <ns0:f>IF($F977="","",IF(INDEX('販売記録'!$K$5:$K$1004,$F977)="","",INDEX('販売記録'!$K$5:$K$1004,$F977)))</ns0:f>
        <ns0:v/>
      </ns0:c>
      <ns0:c r="B977" s="9" t="str">
        <ns0:f>IF($F977="","",IF(INDEX('販売記録'!$B$5:$B$1004,$F977)="","",INDEX('販売記録'!$B$5:$B$1004,$F977)))</ns0:f>
        <ns0:v/>
      </ns0:c>
      <ns0:c r="C977" s="9" t="str">
        <ns0:f>IF($F977="","",IF(INDEX('販売記録'!$C$5:$C$1004,$F977)="","",INDEX('販売記録'!$C$5:$C$1004,$F977)))</ns0:f>
        <ns0:v/>
      </ns0:c>
      <ns0:c r="D977" s="8" t="str">
        <ns0:f>IF($F977="","",IF(INDEX('販売記録'!$D$5:$D$1004,$F977)="","",INDEX('販売記録'!$D$5:$D$1004,$F977)))</ns0:f>
        <ns0:v/>
      </ns0:c>
      <ns0:c r="E977" s="12" t="str">
        <ns0:f>IF(OR(A977="",B977=""),"",MAX(0,TODAY()-A977))</ns0:f>
        <ns0:v/>
      </ns0:c>
      <ns0:c r="F977" s="9" t="str">
        <ns0:f>IFERROR(MATCH(ROW()-4,'販売記録'!$L$5:$L$1004,0),"")</ns0:f>
        <ns0:v/>
      </ns0:c>
    </ns0:row>
    <ns0:row r="978">
      <ns0:c r="A978" s="11" t="str">
        <ns0:f>IF($F978="","",IF(INDEX('販売記録'!$K$5:$K$1004,$F978)="","",INDEX('販売記録'!$K$5:$K$1004,$F978)))</ns0:f>
        <ns0:v/>
      </ns0:c>
      <ns0:c r="B978" s="9" t="str">
        <ns0:f>IF($F978="","",IF(INDEX('販売記録'!$B$5:$B$1004,$F978)="","",INDEX('販売記録'!$B$5:$B$1004,$F978)))</ns0:f>
        <ns0:v/>
      </ns0:c>
      <ns0:c r="C978" s="9" t="str">
        <ns0:f>IF($F978="","",IF(INDEX('販売記録'!$C$5:$C$1004,$F978)="","",INDEX('販売記録'!$C$5:$C$1004,$F978)))</ns0:f>
        <ns0:v/>
      </ns0:c>
      <ns0:c r="D978" s="8" t="str">
        <ns0:f>IF($F978="","",IF(INDEX('販売記録'!$D$5:$D$1004,$F978)="","",INDEX('販売記録'!$D$5:$D$1004,$F978)))</ns0:f>
        <ns0:v/>
      </ns0:c>
      <ns0:c r="E978" s="12" t="str">
        <ns0:f>IF(OR(A978="",B978=""),"",MAX(0,TODAY()-A978))</ns0:f>
        <ns0:v/>
      </ns0:c>
      <ns0:c r="F978" s="9" t="str">
        <ns0:f>IFERROR(MATCH(ROW()-4,'販売記録'!$L$5:$L$1004,0),"")</ns0:f>
        <ns0:v/>
      </ns0:c>
    </ns0:row>
    <ns0:row r="979">
      <ns0:c r="A979" s="11" t="str">
        <ns0:f>IF($F979="","",IF(INDEX('販売記録'!$K$5:$K$1004,$F979)="","",INDEX('販売記録'!$K$5:$K$1004,$F979)))</ns0:f>
        <ns0:v/>
      </ns0:c>
      <ns0:c r="B979" s="9" t="str">
        <ns0:f>IF($F979="","",IF(INDEX('販売記録'!$B$5:$B$1004,$F979)="","",INDEX('販売記録'!$B$5:$B$1004,$F979)))</ns0:f>
        <ns0:v/>
      </ns0:c>
      <ns0:c r="C979" s="9" t="str">
        <ns0:f>IF($F979="","",IF(INDEX('販売記録'!$C$5:$C$1004,$F979)="","",INDEX('販売記録'!$C$5:$C$1004,$F979)))</ns0:f>
        <ns0:v/>
      </ns0:c>
      <ns0:c r="D979" s="8" t="str">
        <ns0:f>IF($F979="","",IF(INDEX('販売記録'!$D$5:$D$1004,$F979)="","",INDEX('販売記録'!$D$5:$D$1004,$F979)))</ns0:f>
        <ns0:v/>
      </ns0:c>
      <ns0:c r="E979" s="12" t="str">
        <ns0:f>IF(OR(A979="",B979=""),"",MAX(0,TODAY()-A979))</ns0:f>
        <ns0:v/>
      </ns0:c>
      <ns0:c r="F979" s="9" t="str">
        <ns0:f>IFERROR(MATCH(ROW()-4,'販売記録'!$L$5:$L$1004,0),"")</ns0:f>
        <ns0:v/>
      </ns0:c>
    </ns0:row>
    <ns0:row r="980">
      <ns0:c r="A980" s="11" t="str">
        <ns0:f>IF($F980="","",IF(INDEX('販売記録'!$K$5:$K$1004,$F980)="","",INDEX('販売記録'!$K$5:$K$1004,$F980)))</ns0:f>
        <ns0:v/>
      </ns0:c>
      <ns0:c r="B980" s="9" t="str">
        <ns0:f>IF($F980="","",IF(INDEX('販売記録'!$B$5:$B$1004,$F980)="","",INDEX('販売記録'!$B$5:$B$1004,$F980)))</ns0:f>
        <ns0:v/>
      </ns0:c>
      <ns0:c r="C980" s="9" t="str">
        <ns0:f>IF($F980="","",IF(INDEX('販売記録'!$C$5:$C$1004,$F980)="","",INDEX('販売記録'!$C$5:$C$1004,$F980)))</ns0:f>
        <ns0:v/>
      </ns0:c>
      <ns0:c r="D980" s="8" t="str">
        <ns0:f>IF($F980="","",IF(INDEX('販売記録'!$D$5:$D$1004,$F980)="","",INDEX('販売記録'!$D$5:$D$1004,$F980)))</ns0:f>
        <ns0:v/>
      </ns0:c>
      <ns0:c r="E980" s="12" t="str">
        <ns0:f>IF(OR(A980="",B980=""),"",MAX(0,TODAY()-A980))</ns0:f>
        <ns0:v/>
      </ns0:c>
      <ns0:c r="F980" s="9" t="str">
        <ns0:f>IFERROR(MATCH(ROW()-4,'販売記録'!$L$5:$L$1004,0),"")</ns0:f>
        <ns0:v/>
      </ns0:c>
    </ns0:row>
    <ns0:row r="981">
      <ns0:c r="A981" s="11" t="str">
        <ns0:f>IF($F981="","",IF(INDEX('販売記録'!$K$5:$K$1004,$F981)="","",INDEX('販売記録'!$K$5:$K$1004,$F981)))</ns0:f>
        <ns0:v/>
      </ns0:c>
      <ns0:c r="B981" s="9" t="str">
        <ns0:f>IF($F981="","",IF(INDEX('販売記録'!$B$5:$B$1004,$F981)="","",INDEX('販売記録'!$B$5:$B$1004,$F981)))</ns0:f>
        <ns0:v/>
      </ns0:c>
      <ns0:c r="C981" s="9" t="str">
        <ns0:f>IF($F981="","",IF(INDEX('販売記録'!$C$5:$C$1004,$F981)="","",INDEX('販売記録'!$C$5:$C$1004,$F981)))</ns0:f>
        <ns0:v/>
      </ns0:c>
      <ns0:c r="D981" s="8" t="str">
        <ns0:f>IF($F981="","",IF(INDEX('販売記録'!$D$5:$D$1004,$F981)="","",INDEX('販売記録'!$D$5:$D$1004,$F981)))</ns0:f>
        <ns0:v/>
      </ns0:c>
      <ns0:c r="E981" s="12" t="str">
        <ns0:f>IF(OR(A981="",B981=""),"",MAX(0,TODAY()-A981))</ns0:f>
        <ns0:v/>
      </ns0:c>
      <ns0:c r="F981" s="9" t="str">
        <ns0:f>IFERROR(MATCH(ROW()-4,'販売記録'!$L$5:$L$1004,0),"")</ns0:f>
        <ns0:v/>
      </ns0:c>
    </ns0:row>
    <ns0:row r="982">
      <ns0:c r="A982" s="11" t="str">
        <ns0:f>IF($F982="","",IF(INDEX('販売記録'!$K$5:$K$1004,$F982)="","",INDEX('販売記録'!$K$5:$K$1004,$F982)))</ns0:f>
        <ns0:v/>
      </ns0:c>
      <ns0:c r="B982" s="9" t="str">
        <ns0:f>IF($F982="","",IF(INDEX('販売記録'!$B$5:$B$1004,$F982)="","",INDEX('販売記録'!$B$5:$B$1004,$F982)))</ns0:f>
        <ns0:v/>
      </ns0:c>
      <ns0:c r="C982" s="9" t="str">
        <ns0:f>IF($F982="","",IF(INDEX('販売記録'!$C$5:$C$1004,$F982)="","",INDEX('販売記録'!$C$5:$C$1004,$F982)))</ns0:f>
        <ns0:v/>
      </ns0:c>
      <ns0:c r="D982" s="8" t="str">
        <ns0:f>IF($F982="","",IF(INDEX('販売記録'!$D$5:$D$1004,$F982)="","",INDEX('販売記録'!$D$5:$D$1004,$F982)))</ns0:f>
        <ns0:v/>
      </ns0:c>
      <ns0:c r="E982" s="12" t="str">
        <ns0:f>IF(OR(A982="",B982=""),"",MAX(0,TODAY()-A982))</ns0:f>
        <ns0:v/>
      </ns0:c>
      <ns0:c r="F982" s="9" t="str">
        <ns0:f>IFERROR(MATCH(ROW()-4,'販売記録'!$L$5:$L$1004,0),"")</ns0:f>
        <ns0:v/>
      </ns0:c>
    </ns0:row>
    <ns0:row r="983">
      <ns0:c r="A983" s="11" t="str">
        <ns0:f>IF($F983="","",IF(INDEX('販売記録'!$K$5:$K$1004,$F983)="","",INDEX('販売記録'!$K$5:$K$1004,$F983)))</ns0:f>
        <ns0:v/>
      </ns0:c>
      <ns0:c r="B983" s="9" t="str">
        <ns0:f>IF($F983="","",IF(INDEX('販売記録'!$B$5:$B$1004,$F983)="","",INDEX('販売記録'!$B$5:$B$1004,$F983)))</ns0:f>
        <ns0:v/>
      </ns0:c>
      <ns0:c r="C983" s="9" t="str">
        <ns0:f>IF($F983="","",IF(INDEX('販売記録'!$C$5:$C$1004,$F983)="","",INDEX('販売記録'!$C$5:$C$1004,$F983)))</ns0:f>
        <ns0:v/>
      </ns0:c>
      <ns0:c r="D983" s="8" t="str">
        <ns0:f>IF($F983="","",IF(INDEX('販売記録'!$D$5:$D$1004,$F983)="","",INDEX('販売記録'!$D$5:$D$1004,$F983)))</ns0:f>
        <ns0:v/>
      </ns0:c>
      <ns0:c r="E983" s="12" t="str">
        <ns0:f>IF(OR(A983="",B983=""),"",MAX(0,TODAY()-A983))</ns0:f>
        <ns0:v/>
      </ns0:c>
      <ns0:c r="F983" s="9" t="str">
        <ns0:f>IFERROR(MATCH(ROW()-4,'販売記録'!$L$5:$L$1004,0),"")</ns0:f>
        <ns0:v/>
      </ns0:c>
    </ns0:row>
    <ns0:row r="984">
      <ns0:c r="A984" s="11" t="str">
        <ns0:f>IF($F984="","",IF(INDEX('販売記録'!$K$5:$K$1004,$F984)="","",INDEX('販売記録'!$K$5:$K$1004,$F984)))</ns0:f>
        <ns0:v/>
      </ns0:c>
      <ns0:c r="B984" s="9" t="str">
        <ns0:f>IF($F984="","",IF(INDEX('販売記録'!$B$5:$B$1004,$F984)="","",INDEX('販売記録'!$B$5:$B$1004,$F984)))</ns0:f>
        <ns0:v/>
      </ns0:c>
      <ns0:c r="C984" s="9" t="str">
        <ns0:f>IF($F984="","",IF(INDEX('販売記録'!$C$5:$C$1004,$F984)="","",INDEX('販売記録'!$C$5:$C$1004,$F984)))</ns0:f>
        <ns0:v/>
      </ns0:c>
      <ns0:c r="D984" s="8" t="str">
        <ns0:f>IF($F984="","",IF(INDEX('販売記録'!$D$5:$D$1004,$F984)="","",INDEX('販売記録'!$D$5:$D$1004,$F984)))</ns0:f>
        <ns0:v/>
      </ns0:c>
      <ns0:c r="E984" s="12" t="str">
        <ns0:f>IF(OR(A984="",B984=""),"",MAX(0,TODAY()-A984))</ns0:f>
        <ns0:v/>
      </ns0:c>
      <ns0:c r="F984" s="9" t="str">
        <ns0:f>IFERROR(MATCH(ROW()-4,'販売記録'!$L$5:$L$1004,0),"")</ns0:f>
        <ns0:v/>
      </ns0:c>
    </ns0:row>
    <ns0:row r="985">
      <ns0:c r="A985" s="11" t="str">
        <ns0:f>IF($F985="","",IF(INDEX('販売記録'!$K$5:$K$1004,$F985)="","",INDEX('販売記録'!$K$5:$K$1004,$F985)))</ns0:f>
        <ns0:v/>
      </ns0:c>
      <ns0:c r="B985" s="9" t="str">
        <ns0:f>IF($F985="","",IF(INDEX('販売記録'!$B$5:$B$1004,$F985)="","",INDEX('販売記録'!$B$5:$B$1004,$F985)))</ns0:f>
        <ns0:v/>
      </ns0:c>
      <ns0:c r="C985" s="9" t="str">
        <ns0:f>IF($F985="","",IF(INDEX('販売記録'!$C$5:$C$1004,$F985)="","",INDEX('販売記録'!$C$5:$C$1004,$F985)))</ns0:f>
        <ns0:v/>
      </ns0:c>
      <ns0:c r="D985" s="8" t="str">
        <ns0:f>IF($F985="","",IF(INDEX('販売記録'!$D$5:$D$1004,$F985)="","",INDEX('販売記録'!$D$5:$D$1004,$F985)))</ns0:f>
        <ns0:v/>
      </ns0:c>
      <ns0:c r="E985" s="12" t="str">
        <ns0:f>IF(OR(A985="",B985=""),"",MAX(0,TODAY()-A985))</ns0:f>
        <ns0:v/>
      </ns0:c>
      <ns0:c r="F985" s="9" t="str">
        <ns0:f>IFERROR(MATCH(ROW()-4,'販売記録'!$L$5:$L$1004,0),"")</ns0:f>
        <ns0:v/>
      </ns0:c>
    </ns0:row>
    <ns0:row r="986">
      <ns0:c r="A986" s="11" t="str">
        <ns0:f>IF($F986="","",IF(INDEX('販売記録'!$K$5:$K$1004,$F986)="","",INDEX('販売記録'!$K$5:$K$1004,$F986)))</ns0:f>
        <ns0:v/>
      </ns0:c>
      <ns0:c r="B986" s="9" t="str">
        <ns0:f>IF($F986="","",IF(INDEX('販売記録'!$B$5:$B$1004,$F986)="","",INDEX('販売記録'!$B$5:$B$1004,$F986)))</ns0:f>
        <ns0:v/>
      </ns0:c>
      <ns0:c r="C986" s="9" t="str">
        <ns0:f>IF($F986="","",IF(INDEX('販売記録'!$C$5:$C$1004,$F986)="","",INDEX('販売記録'!$C$5:$C$1004,$F986)))</ns0:f>
        <ns0:v/>
      </ns0:c>
      <ns0:c r="D986" s="8" t="str">
        <ns0:f>IF($F986="","",IF(INDEX('販売記録'!$D$5:$D$1004,$F986)="","",INDEX('販売記録'!$D$5:$D$1004,$F986)))</ns0:f>
        <ns0:v/>
      </ns0:c>
      <ns0:c r="E986" s="12" t="str">
        <ns0:f>IF(OR(A986="",B986=""),"",MAX(0,TODAY()-A986))</ns0:f>
        <ns0:v/>
      </ns0:c>
      <ns0:c r="F986" s="9" t="str">
        <ns0:f>IFERROR(MATCH(ROW()-4,'販売記録'!$L$5:$L$1004,0),"")</ns0:f>
        <ns0:v/>
      </ns0:c>
    </ns0:row>
    <ns0:row r="987">
      <ns0:c r="A987" s="11" t="str">
        <ns0:f>IF($F987="","",IF(INDEX('販売記録'!$K$5:$K$1004,$F987)="","",INDEX('販売記録'!$K$5:$K$1004,$F987)))</ns0:f>
        <ns0:v/>
      </ns0:c>
      <ns0:c r="B987" s="9" t="str">
        <ns0:f>IF($F987="","",IF(INDEX('販売記録'!$B$5:$B$1004,$F987)="","",INDEX('販売記録'!$B$5:$B$1004,$F987)))</ns0:f>
        <ns0:v/>
      </ns0:c>
      <ns0:c r="C987" s="9" t="str">
        <ns0:f>IF($F987="","",IF(INDEX('販売記録'!$C$5:$C$1004,$F987)="","",INDEX('販売記録'!$C$5:$C$1004,$F987)))</ns0:f>
        <ns0:v/>
      </ns0:c>
      <ns0:c r="D987" s="8" t="str">
        <ns0:f>IF($F987="","",IF(INDEX('販売記録'!$D$5:$D$1004,$F987)="","",INDEX('販売記録'!$D$5:$D$1004,$F987)))</ns0:f>
        <ns0:v/>
      </ns0:c>
      <ns0:c r="E987" s="12" t="str">
        <ns0:f>IF(OR(A987="",B987=""),"",MAX(0,TODAY()-A987))</ns0:f>
        <ns0:v/>
      </ns0:c>
      <ns0:c r="F987" s="9" t="str">
        <ns0:f>IFERROR(MATCH(ROW()-4,'販売記録'!$L$5:$L$1004,0),"")</ns0:f>
        <ns0:v/>
      </ns0:c>
    </ns0:row>
    <ns0:row r="988">
      <ns0:c r="A988" s="11" t="str">
        <ns0:f>IF($F988="","",IF(INDEX('販売記録'!$K$5:$K$1004,$F988)="","",INDEX('販売記録'!$K$5:$K$1004,$F988)))</ns0:f>
        <ns0:v/>
      </ns0:c>
      <ns0:c r="B988" s="9" t="str">
        <ns0:f>IF($F988="","",IF(INDEX('販売記録'!$B$5:$B$1004,$F988)="","",INDEX('販売記録'!$B$5:$B$1004,$F988)))</ns0:f>
        <ns0:v/>
      </ns0:c>
      <ns0:c r="C988" s="9" t="str">
        <ns0:f>IF($F988="","",IF(INDEX('販売記録'!$C$5:$C$1004,$F988)="","",INDEX('販売記録'!$C$5:$C$1004,$F988)))</ns0:f>
        <ns0:v/>
      </ns0:c>
      <ns0:c r="D988" s="8" t="str">
        <ns0:f>IF($F988="","",IF(INDEX('販売記録'!$D$5:$D$1004,$F988)="","",INDEX('販売記録'!$D$5:$D$1004,$F988)))</ns0:f>
        <ns0:v/>
      </ns0:c>
      <ns0:c r="E988" s="12" t="str">
        <ns0:f>IF(OR(A988="",B988=""),"",MAX(0,TODAY()-A988))</ns0:f>
        <ns0:v/>
      </ns0:c>
      <ns0:c r="F988" s="9" t="str">
        <ns0:f>IFERROR(MATCH(ROW()-4,'販売記録'!$L$5:$L$1004,0),"")</ns0:f>
        <ns0:v/>
      </ns0:c>
    </ns0:row>
    <ns0:row r="989">
      <ns0:c r="A989" s="11" t="str">
        <ns0:f>IF($F989="","",IF(INDEX('販売記録'!$K$5:$K$1004,$F989)="","",INDEX('販売記録'!$K$5:$K$1004,$F989)))</ns0:f>
        <ns0:v/>
      </ns0:c>
      <ns0:c r="B989" s="9" t="str">
        <ns0:f>IF($F989="","",IF(INDEX('販売記録'!$B$5:$B$1004,$F989)="","",INDEX('販売記録'!$B$5:$B$1004,$F989)))</ns0:f>
        <ns0:v/>
      </ns0:c>
      <ns0:c r="C989" s="9" t="str">
        <ns0:f>IF($F989="","",IF(INDEX('販売記録'!$C$5:$C$1004,$F989)="","",INDEX('販売記録'!$C$5:$C$1004,$F989)))</ns0:f>
        <ns0:v/>
      </ns0:c>
      <ns0:c r="D989" s="8" t="str">
        <ns0:f>IF($F989="","",IF(INDEX('販売記録'!$D$5:$D$1004,$F989)="","",INDEX('販売記録'!$D$5:$D$1004,$F989)))</ns0:f>
        <ns0:v/>
      </ns0:c>
      <ns0:c r="E989" s="12" t="str">
        <ns0:f>IF(OR(A989="",B989=""),"",MAX(0,TODAY()-A989))</ns0:f>
        <ns0:v/>
      </ns0:c>
      <ns0:c r="F989" s="9" t="str">
        <ns0:f>IFERROR(MATCH(ROW()-4,'販売記録'!$L$5:$L$1004,0),"")</ns0:f>
        <ns0:v/>
      </ns0:c>
    </ns0:row>
    <ns0:row r="990">
      <ns0:c r="A990" s="11" t="str">
        <ns0:f>IF($F990="","",IF(INDEX('販売記録'!$K$5:$K$1004,$F990)="","",INDEX('販売記録'!$K$5:$K$1004,$F990)))</ns0:f>
        <ns0:v/>
      </ns0:c>
      <ns0:c r="B990" s="9" t="str">
        <ns0:f>IF($F990="","",IF(INDEX('販売記録'!$B$5:$B$1004,$F990)="","",INDEX('販売記録'!$B$5:$B$1004,$F990)))</ns0:f>
        <ns0:v/>
      </ns0:c>
      <ns0:c r="C990" s="9" t="str">
        <ns0:f>IF($F990="","",IF(INDEX('販売記録'!$C$5:$C$1004,$F990)="","",INDEX('販売記録'!$C$5:$C$1004,$F990)))</ns0:f>
        <ns0:v/>
      </ns0:c>
      <ns0:c r="D990" s="8" t="str">
        <ns0:f>IF($F990="","",IF(INDEX('販売記録'!$D$5:$D$1004,$F990)="","",INDEX('販売記録'!$D$5:$D$1004,$F990)))</ns0:f>
        <ns0:v/>
      </ns0:c>
      <ns0:c r="E990" s="12" t="str">
        <ns0:f>IF(OR(A990="",B990=""),"",MAX(0,TODAY()-A990))</ns0:f>
        <ns0:v/>
      </ns0:c>
      <ns0:c r="F990" s="9" t="str">
        <ns0:f>IFERROR(MATCH(ROW()-4,'販売記録'!$L$5:$L$1004,0),"")</ns0:f>
        <ns0:v/>
      </ns0:c>
    </ns0:row>
    <ns0:row r="991">
      <ns0:c r="A991" s="11" t="str">
        <ns0:f>IF($F991="","",IF(INDEX('販売記録'!$K$5:$K$1004,$F991)="","",INDEX('販売記録'!$K$5:$K$1004,$F991)))</ns0:f>
        <ns0:v/>
      </ns0:c>
      <ns0:c r="B991" s="9" t="str">
        <ns0:f>IF($F991="","",IF(INDEX('販売記録'!$B$5:$B$1004,$F991)="","",INDEX('販売記録'!$B$5:$B$1004,$F991)))</ns0:f>
        <ns0:v/>
      </ns0:c>
      <ns0:c r="C991" s="9" t="str">
        <ns0:f>IF($F991="","",IF(INDEX('販売記録'!$C$5:$C$1004,$F991)="","",INDEX('販売記録'!$C$5:$C$1004,$F991)))</ns0:f>
        <ns0:v/>
      </ns0:c>
      <ns0:c r="D991" s="8" t="str">
        <ns0:f>IF($F991="","",IF(INDEX('販売記録'!$D$5:$D$1004,$F991)="","",INDEX('販売記録'!$D$5:$D$1004,$F991)))</ns0:f>
        <ns0:v/>
      </ns0:c>
      <ns0:c r="E991" s="12" t="str">
        <ns0:f>IF(OR(A991="",B991=""),"",MAX(0,TODAY()-A991))</ns0:f>
        <ns0:v/>
      </ns0:c>
      <ns0:c r="F991" s="9" t="str">
        <ns0:f>IFERROR(MATCH(ROW()-4,'販売記録'!$L$5:$L$1004,0),"")</ns0:f>
        <ns0:v/>
      </ns0:c>
    </ns0:row>
    <ns0:row r="992">
      <ns0:c r="A992" s="11" t="str">
        <ns0:f>IF($F992="","",IF(INDEX('販売記録'!$K$5:$K$1004,$F992)="","",INDEX('販売記録'!$K$5:$K$1004,$F992)))</ns0:f>
        <ns0:v/>
      </ns0:c>
      <ns0:c r="B992" s="9" t="str">
        <ns0:f>IF($F992="","",IF(INDEX('販売記録'!$B$5:$B$1004,$F992)="","",INDEX('販売記録'!$B$5:$B$1004,$F992)))</ns0:f>
        <ns0:v/>
      </ns0:c>
      <ns0:c r="C992" s="9" t="str">
        <ns0:f>IF($F992="","",IF(INDEX('販売記録'!$C$5:$C$1004,$F992)="","",INDEX('販売記録'!$C$5:$C$1004,$F992)))</ns0:f>
        <ns0:v/>
      </ns0:c>
      <ns0:c r="D992" s="8" t="str">
        <ns0:f>IF($F992="","",IF(INDEX('販売記録'!$D$5:$D$1004,$F992)="","",INDEX('販売記録'!$D$5:$D$1004,$F992)))</ns0:f>
        <ns0:v/>
      </ns0:c>
      <ns0:c r="E992" s="12" t="str">
        <ns0:f>IF(OR(A992="",B992=""),"",MAX(0,TODAY()-A992))</ns0:f>
        <ns0:v/>
      </ns0:c>
      <ns0:c r="F992" s="9" t="str">
        <ns0:f>IFERROR(MATCH(ROW()-4,'販売記録'!$L$5:$L$1004,0),"")</ns0:f>
        <ns0:v/>
      </ns0:c>
    </ns0:row>
    <ns0:row r="993">
      <ns0:c r="A993" s="11" t="str">
        <ns0:f>IF($F993="","",IF(INDEX('販売記録'!$K$5:$K$1004,$F993)="","",INDEX('販売記録'!$K$5:$K$1004,$F993)))</ns0:f>
        <ns0:v/>
      </ns0:c>
      <ns0:c r="B993" s="9" t="str">
        <ns0:f>IF($F993="","",IF(INDEX('販売記録'!$B$5:$B$1004,$F993)="","",INDEX('販売記録'!$B$5:$B$1004,$F993)))</ns0:f>
        <ns0:v/>
      </ns0:c>
      <ns0:c r="C993" s="9" t="str">
        <ns0:f>IF($F993="","",IF(INDEX('販売記録'!$C$5:$C$1004,$F993)="","",INDEX('販売記録'!$C$5:$C$1004,$F993)))</ns0:f>
        <ns0:v/>
      </ns0:c>
      <ns0:c r="D993" s="8" t="str">
        <ns0:f>IF($F993="","",IF(INDEX('販売記録'!$D$5:$D$1004,$F993)="","",INDEX('販売記録'!$D$5:$D$1004,$F993)))</ns0:f>
        <ns0:v/>
      </ns0:c>
      <ns0:c r="E993" s="12" t="str">
        <ns0:f>IF(OR(A993="",B993=""),"",MAX(0,TODAY()-A993))</ns0:f>
        <ns0:v/>
      </ns0:c>
      <ns0:c r="F993" s="9" t="str">
        <ns0:f>IFERROR(MATCH(ROW()-4,'販売記録'!$L$5:$L$1004,0),"")</ns0:f>
        <ns0:v/>
      </ns0:c>
    </ns0:row>
    <ns0:row r="994">
      <ns0:c r="A994" s="11" t="str">
        <ns0:f>IF($F994="","",IF(INDEX('販売記録'!$K$5:$K$1004,$F994)="","",INDEX('販売記録'!$K$5:$K$1004,$F994)))</ns0:f>
        <ns0:v/>
      </ns0:c>
      <ns0:c r="B994" s="9" t="str">
        <ns0:f>IF($F994="","",IF(INDEX('販売記録'!$B$5:$B$1004,$F994)="","",INDEX('販売記録'!$B$5:$B$1004,$F994)))</ns0:f>
        <ns0:v/>
      </ns0:c>
      <ns0:c r="C994" s="9" t="str">
        <ns0:f>IF($F994="","",IF(INDEX('販売記録'!$C$5:$C$1004,$F994)="","",INDEX('販売記録'!$C$5:$C$1004,$F994)))</ns0:f>
        <ns0:v/>
      </ns0:c>
      <ns0:c r="D994" s="8" t="str">
        <ns0:f>IF($F994="","",IF(INDEX('販売記録'!$D$5:$D$1004,$F994)="","",INDEX('販売記録'!$D$5:$D$1004,$F994)))</ns0:f>
        <ns0:v/>
      </ns0:c>
      <ns0:c r="E994" s="12" t="str">
        <ns0:f>IF(OR(A994="",B994=""),"",MAX(0,TODAY()-A994))</ns0:f>
        <ns0:v/>
      </ns0:c>
      <ns0:c r="F994" s="9" t="str">
        <ns0:f>IFERROR(MATCH(ROW()-4,'販売記録'!$L$5:$L$1004,0),"")</ns0:f>
        <ns0:v/>
      </ns0:c>
    </ns0:row>
    <ns0:row r="995">
      <ns0:c r="A995" s="11" t="str">
        <ns0:f>IF($F995="","",IF(INDEX('販売記録'!$K$5:$K$1004,$F995)="","",INDEX('販売記録'!$K$5:$K$1004,$F995)))</ns0:f>
        <ns0:v/>
      </ns0:c>
      <ns0:c r="B995" s="9" t="str">
        <ns0:f>IF($F995="","",IF(INDEX('販売記録'!$B$5:$B$1004,$F995)="","",INDEX('販売記録'!$B$5:$B$1004,$F995)))</ns0:f>
        <ns0:v/>
      </ns0:c>
      <ns0:c r="C995" s="9" t="str">
        <ns0:f>IF($F995="","",IF(INDEX('販売記録'!$C$5:$C$1004,$F995)="","",INDEX('販売記録'!$C$5:$C$1004,$F995)))</ns0:f>
        <ns0:v/>
      </ns0:c>
      <ns0:c r="D995" s="8" t="str">
        <ns0:f>IF($F995="","",IF(INDEX('販売記録'!$D$5:$D$1004,$F995)="","",INDEX('販売記録'!$D$5:$D$1004,$F995)))</ns0:f>
        <ns0:v/>
      </ns0:c>
      <ns0:c r="E995" s="12" t="str">
        <ns0:f>IF(OR(A995="",B995=""),"",MAX(0,TODAY()-A995))</ns0:f>
        <ns0:v/>
      </ns0:c>
      <ns0:c r="F995" s="9" t="str">
        <ns0:f>IFERROR(MATCH(ROW()-4,'販売記録'!$L$5:$L$1004,0),"")</ns0:f>
        <ns0:v/>
      </ns0:c>
    </ns0:row>
    <ns0:row r="996">
      <ns0:c r="A996" s="11" t="str">
        <ns0:f>IF($F996="","",IF(INDEX('販売記録'!$K$5:$K$1004,$F996)="","",INDEX('販売記録'!$K$5:$K$1004,$F996)))</ns0:f>
        <ns0:v/>
      </ns0:c>
      <ns0:c r="B996" s="9" t="str">
        <ns0:f>IF($F996="","",IF(INDEX('販売記録'!$B$5:$B$1004,$F996)="","",INDEX('販売記録'!$B$5:$B$1004,$F996)))</ns0:f>
        <ns0:v/>
      </ns0:c>
      <ns0:c r="C996" s="9" t="str">
        <ns0:f>IF($F996="","",IF(INDEX('販売記録'!$C$5:$C$1004,$F996)="","",INDEX('販売記録'!$C$5:$C$1004,$F996)))</ns0:f>
        <ns0:v/>
      </ns0:c>
      <ns0:c r="D996" s="8" t="str">
        <ns0:f>IF($F996="","",IF(INDEX('販売記録'!$D$5:$D$1004,$F996)="","",INDEX('販売記録'!$D$5:$D$1004,$F996)))</ns0:f>
        <ns0:v/>
      </ns0:c>
      <ns0:c r="E996" s="12" t="str">
        <ns0:f>IF(OR(A996="",B996=""),"",MAX(0,TODAY()-A996))</ns0:f>
        <ns0:v/>
      </ns0:c>
      <ns0:c r="F996" s="9" t="str">
        <ns0:f>IFERROR(MATCH(ROW()-4,'販売記録'!$L$5:$L$1004,0),"")</ns0:f>
        <ns0:v/>
      </ns0:c>
    </ns0:row>
    <ns0:row r="997">
      <ns0:c r="A997" s="11" t="str">
        <ns0:f>IF($F997="","",IF(INDEX('販売記録'!$K$5:$K$1004,$F997)="","",INDEX('販売記録'!$K$5:$K$1004,$F997)))</ns0:f>
        <ns0:v/>
      </ns0:c>
      <ns0:c r="B997" s="9" t="str">
        <ns0:f>IF($F997="","",IF(INDEX('販売記録'!$B$5:$B$1004,$F997)="","",INDEX('販売記録'!$B$5:$B$1004,$F997)))</ns0:f>
        <ns0:v/>
      </ns0:c>
      <ns0:c r="C997" s="9" t="str">
        <ns0:f>IF($F997="","",IF(INDEX('販売記録'!$C$5:$C$1004,$F997)="","",INDEX('販売記録'!$C$5:$C$1004,$F997)))</ns0:f>
        <ns0:v/>
      </ns0:c>
      <ns0:c r="D997" s="8" t="str">
        <ns0:f>IF($F997="","",IF(INDEX('販売記録'!$D$5:$D$1004,$F997)="","",INDEX('販売記録'!$D$5:$D$1004,$F997)))</ns0:f>
        <ns0:v/>
      </ns0:c>
      <ns0:c r="E997" s="12" t="str">
        <ns0:f>IF(OR(A997="",B997=""),"",MAX(0,TODAY()-A997))</ns0:f>
        <ns0:v/>
      </ns0:c>
      <ns0:c r="F997" s="9" t="str">
        <ns0:f>IFERROR(MATCH(ROW()-4,'販売記録'!$L$5:$L$1004,0),"")</ns0:f>
        <ns0:v/>
      </ns0:c>
    </ns0:row>
    <ns0:row r="998">
      <ns0:c r="A998" s="11" t="str">
        <ns0:f>IF($F998="","",IF(INDEX('販売記録'!$K$5:$K$1004,$F998)="","",INDEX('販売記録'!$K$5:$K$1004,$F998)))</ns0:f>
        <ns0:v/>
      </ns0:c>
      <ns0:c r="B998" s="9" t="str">
        <ns0:f>IF($F998="","",IF(INDEX('販売記録'!$B$5:$B$1004,$F998)="","",INDEX('販売記録'!$B$5:$B$1004,$F998)))</ns0:f>
        <ns0:v/>
      </ns0:c>
      <ns0:c r="C998" s="9" t="str">
        <ns0:f>IF($F998="","",IF(INDEX('販売記録'!$C$5:$C$1004,$F998)="","",INDEX('販売記録'!$C$5:$C$1004,$F998)))</ns0:f>
        <ns0:v/>
      </ns0:c>
      <ns0:c r="D998" s="8" t="str">
        <ns0:f>IF($F998="","",IF(INDEX('販売記録'!$D$5:$D$1004,$F998)="","",INDEX('販売記録'!$D$5:$D$1004,$F998)))</ns0:f>
        <ns0:v/>
      </ns0:c>
      <ns0:c r="E998" s="12" t="str">
        <ns0:f>IF(OR(A998="",B998=""),"",MAX(0,TODAY()-A998))</ns0:f>
        <ns0:v/>
      </ns0:c>
      <ns0:c r="F998" s="9" t="str">
        <ns0:f>IFERROR(MATCH(ROW()-4,'販売記録'!$L$5:$L$1004,0),"")</ns0:f>
        <ns0:v/>
      </ns0:c>
    </ns0:row>
    <ns0:row r="999">
      <ns0:c r="A999" s="11" t="str">
        <ns0:f>IF($F999="","",IF(INDEX('販売記録'!$K$5:$K$1004,$F999)="","",INDEX('販売記録'!$K$5:$K$1004,$F999)))</ns0:f>
        <ns0:v/>
      </ns0:c>
      <ns0:c r="B999" s="9" t="str">
        <ns0:f>IF($F999="","",IF(INDEX('販売記録'!$B$5:$B$1004,$F999)="","",INDEX('販売記録'!$B$5:$B$1004,$F999)))</ns0:f>
        <ns0:v/>
      </ns0:c>
      <ns0:c r="C999" s="9" t="str">
        <ns0:f>IF($F999="","",IF(INDEX('販売記録'!$C$5:$C$1004,$F999)="","",INDEX('販売記録'!$C$5:$C$1004,$F999)))</ns0:f>
        <ns0:v/>
      </ns0:c>
      <ns0:c r="D999" s="8" t="str">
        <ns0:f>IF($F999="","",IF(INDEX('販売記録'!$D$5:$D$1004,$F999)="","",INDEX('販売記録'!$D$5:$D$1004,$F999)))</ns0:f>
        <ns0:v/>
      </ns0:c>
      <ns0:c r="E999" s="12" t="str">
        <ns0:f>IF(OR(A999="",B999=""),"",MAX(0,TODAY()-A999))</ns0:f>
        <ns0:v/>
      </ns0:c>
      <ns0:c r="F999" s="9" t="str">
        <ns0:f>IFERROR(MATCH(ROW()-4,'販売記録'!$L$5:$L$1004,0),"")</ns0:f>
        <ns0:v/>
      </ns0:c>
    </ns0:row>
    <ns0:row r="1000">
      <ns0:c r="A1000" s="11" t="str">
        <ns0:f>IF($F1000="","",IF(INDEX('販売記録'!$K$5:$K$1004,$F1000)="","",INDEX('販売記録'!$K$5:$K$1004,$F1000)))</ns0:f>
        <ns0:v/>
      </ns0:c>
      <ns0:c r="B1000" s="9" t="str">
        <ns0:f>IF($F1000="","",IF(INDEX('販売記録'!$B$5:$B$1004,$F1000)="","",INDEX('販売記録'!$B$5:$B$1004,$F1000)))</ns0:f>
        <ns0:v/>
      </ns0:c>
      <ns0:c r="C1000" s="9" t="str">
        <ns0:f>IF($F1000="","",IF(INDEX('販売記録'!$C$5:$C$1004,$F1000)="","",INDEX('販売記録'!$C$5:$C$1004,$F1000)))</ns0:f>
        <ns0:v/>
      </ns0:c>
      <ns0:c r="D1000" s="8" t="str">
        <ns0:f>IF($F1000="","",IF(INDEX('販売記録'!$D$5:$D$1004,$F1000)="","",INDEX('販売記録'!$D$5:$D$1004,$F1000)))</ns0:f>
        <ns0:v/>
      </ns0:c>
      <ns0:c r="E1000" s="12" t="str">
        <ns0:f>IF(OR(A1000="",B1000=""),"",MAX(0,TODAY()-A1000))</ns0:f>
        <ns0:v/>
      </ns0:c>
      <ns0:c r="F1000" s="9" t="str">
        <ns0:f>IFERROR(MATCH(ROW()-4,'販売記録'!$L$5:$L$1004,0),"")</ns0:f>
        <ns0:v/>
      </ns0:c>
    </ns0:row>
    <ns0:row r="1001">
      <ns0:c r="A1001" s="11" t="str">
        <ns0:f>IF($F1001="","",IF(INDEX('販売記録'!$K$5:$K$1004,$F1001)="","",INDEX('販売記録'!$K$5:$K$1004,$F1001)))</ns0:f>
        <ns0:v/>
      </ns0:c>
      <ns0:c r="B1001" s="9" t="str">
        <ns0:f>IF($F1001="","",IF(INDEX('販売記録'!$B$5:$B$1004,$F1001)="","",INDEX('販売記録'!$B$5:$B$1004,$F1001)))</ns0:f>
        <ns0:v/>
      </ns0:c>
      <ns0:c r="C1001" s="9" t="str">
        <ns0:f>IF($F1001="","",IF(INDEX('販売記録'!$C$5:$C$1004,$F1001)="","",INDEX('販売記録'!$C$5:$C$1004,$F1001)))</ns0:f>
        <ns0:v/>
      </ns0:c>
      <ns0:c r="D1001" s="8" t="str">
        <ns0:f>IF($F1001="","",IF(INDEX('販売記録'!$D$5:$D$1004,$F1001)="","",INDEX('販売記録'!$D$5:$D$1004,$F1001)))</ns0:f>
        <ns0:v/>
      </ns0:c>
      <ns0:c r="E1001" s="12" t="str">
        <ns0:f>IF(OR(A1001="",B1001=""),"",MAX(0,TODAY()-A1001))</ns0:f>
        <ns0:v/>
      </ns0:c>
      <ns0:c r="F1001" s="9" t="str">
        <ns0:f>IFERROR(MATCH(ROW()-4,'販売記録'!$L$5:$L$1004,0),"")</ns0:f>
        <ns0:v/>
      </ns0:c>
    </ns0:row>
    <ns0:row r="1002">
      <ns0:c r="A1002" s="11" t="str">
        <ns0:f>IF($F1002="","",IF(INDEX('販売記録'!$K$5:$K$1004,$F1002)="","",INDEX('販売記録'!$K$5:$K$1004,$F1002)))</ns0:f>
        <ns0:v/>
      </ns0:c>
      <ns0:c r="B1002" s="9" t="str">
        <ns0:f>IF($F1002="","",IF(INDEX('販売記録'!$B$5:$B$1004,$F1002)="","",INDEX('販売記録'!$B$5:$B$1004,$F1002)))</ns0:f>
        <ns0:v/>
      </ns0:c>
      <ns0:c r="C1002" s="9" t="str">
        <ns0:f>IF($F1002="","",IF(INDEX('販売記録'!$C$5:$C$1004,$F1002)="","",INDEX('販売記録'!$C$5:$C$1004,$F1002)))</ns0:f>
        <ns0:v/>
      </ns0:c>
      <ns0:c r="D1002" s="8" t="str">
        <ns0:f>IF($F1002="","",IF(INDEX('販売記録'!$D$5:$D$1004,$F1002)="","",INDEX('販売記録'!$D$5:$D$1004,$F1002)))</ns0:f>
        <ns0:v/>
      </ns0:c>
      <ns0:c r="E1002" s="12" t="str">
        <ns0:f>IF(OR(A1002="",B1002=""),"",MAX(0,TODAY()-A1002))</ns0:f>
        <ns0:v/>
      </ns0:c>
      <ns0:c r="F1002" s="9" t="str">
        <ns0:f>IFERROR(MATCH(ROW()-4,'販売記録'!$L$5:$L$1004,0),"")</ns0:f>
        <ns0:v/>
      </ns0:c>
    </ns0:row>
    <ns0:row r="1003">
      <ns0:c r="A1003" s="11" t="str">
        <ns0:f>IF($F1003="","",IF(INDEX('販売記録'!$K$5:$K$1004,$F1003)="","",INDEX('販売記録'!$K$5:$K$1004,$F1003)))</ns0:f>
        <ns0:v/>
      </ns0:c>
      <ns0:c r="B1003" s="9" t="str">
        <ns0:f>IF($F1003="","",IF(INDEX('販売記録'!$B$5:$B$1004,$F1003)="","",INDEX('販売記録'!$B$5:$B$1004,$F1003)))</ns0:f>
        <ns0:v/>
      </ns0:c>
      <ns0:c r="C1003" s="9" t="str">
        <ns0:f>IF($F1003="","",IF(INDEX('販売記録'!$C$5:$C$1004,$F1003)="","",INDEX('販売記録'!$C$5:$C$1004,$F1003)))</ns0:f>
        <ns0:v/>
      </ns0:c>
      <ns0:c r="D1003" s="8" t="str">
        <ns0:f>IF($F1003="","",IF(INDEX('販売記録'!$D$5:$D$1004,$F1003)="","",INDEX('販売記録'!$D$5:$D$1004,$F1003)))</ns0:f>
        <ns0:v/>
      </ns0:c>
      <ns0:c r="E1003" s="12" t="str">
        <ns0:f>IF(OR(A1003="",B1003=""),"",MAX(0,TODAY()-A1003))</ns0:f>
        <ns0:v/>
      </ns0:c>
      <ns0:c r="F1003" s="9" t="str">
        <ns0:f>IFERROR(MATCH(ROW()-4,'販売記録'!$L$5:$L$1004,0),"")</ns0:f>
        <ns0:v/>
      </ns0:c>
    </ns0:row>
    <ns0:row r="1004">
      <ns0:c r="A1004" s="11" t="str">
        <ns0:f>IF($F1004="","",IF(INDEX('販売記録'!$K$5:$K$1004,$F1004)="","",INDEX('販売記録'!$K$5:$K$1004,$F1004)))</ns0:f>
        <ns0:v/>
      </ns0:c>
      <ns0:c r="B1004" s="9" t="str">
        <ns0:f>IF($F1004="","",IF(INDEX('販売記録'!$B$5:$B$1004,$F1004)="","",INDEX('販売記録'!$B$5:$B$1004,$F1004)))</ns0:f>
        <ns0:v/>
      </ns0:c>
      <ns0:c r="C1004" s="9" t="str">
        <ns0:f>IF($F1004="","",IF(INDEX('販売記録'!$C$5:$C$1004,$F1004)="","",INDEX('販売記録'!$C$5:$C$1004,$F1004)))</ns0:f>
        <ns0:v/>
      </ns0:c>
      <ns0:c r="D1004" s="8" t="str">
        <ns0:f>IF($F1004="","",IF(INDEX('販売記録'!$D$5:$D$1004,$F1004)="","",INDEX('販売記録'!$D$5:$D$1004,$F1004)))</ns0:f>
        <ns0:v/>
      </ns0:c>
      <ns0:c r="E1004" s="12" t="str">
        <ns0:f>IF(OR(A1004="",B1004=""),"",MAX(0,TODAY()-A1004))</ns0:f>
        <ns0:v/>
      </ns0:c>
      <ns0:c r="F1004" s="9" t="str">
        <ns0:f>IFERROR(MATCH(ROW()-4,'販売記録'!$L$5:$L$1004,0),"")</ns0:f>
        <ns0:v/>
      </ns0:c>
    </ns0:row>
  </ns0:sheetData>
  <ns0:autoFilter ref="A4:E1004"/>
  <ns0:conditionalFormatting sqref="E5:E1004">
    <ns0:cfRule type="cellIs" priority="1" operator="greaterThanOrEqual" dxfId="1">
      <ns0:formula>30</ns0:formula>
    </ns0:cfRule>
  </ns0:conditionalFormatting>
  <ns0:pageMargins left="0.75" right="0.75" top="1" bottom="1" header="0.5" footer="0.5"/>
  <ns0:pageSetup orientation="landscape" paperSize="9" fitToHeight="0" fitToWidth="1"/>
</ns0:worksheet>
</file>

<file path=xl/worksheets/sheet5.xml><?xml version="1.0" encoding="utf-8"?>
<ns0:worksheet xmlns:ns0="http://schemas.openxmlformats.org/spreadsheetml/2006/main">
  <ns0:sheetPr>
    <ns0:tabColor rgb="00087F8C"/>
    <ns0:outlinePr summaryBelow="1" summaryRight="0"/>
    <ns0:pageSetUpPr fitToPage="1"/>
  </ns0:sheetPr>
  <ns0:dimension ref="A1:C14"/>
  <ns0:sheetViews>
    <ns0:sheetView showGridLines="0" workbookViewId="0">
      <ns0:pane ySplit="4" topLeftCell="A5" activePane="bottomLeft" state="frozen"/>
      <ns0:selection pane="bottomLeft" activeCell="A1" sqref="A1"/>
    </ns0:sheetView>
  </ns0:sheetViews>
  <ns0:sheetFormatPr baseColWidth="8" defaultRowHeight="15"/>
  <ns0:cols>
    <ns0:col width="28" customWidth="1" min="1" max="1"/>
    <ns0:col width="24" customWidth="1" min="2" max="2"/>
    <ns0:col width="76" customWidth="1" min="3" max="3"/>
  </ns0:cols>
  <ns0:sheetData>
    <ns0:row r="1" ht="32" customHeight="1">
      <ns0:c r="A1" s="1" t="inlineStr">
        <ns0:is>
          <ns0:t>採算シミュレータ</ns0:t>
        </ns0:is>
      </ns0:c>
    </ns0:row>
    <ns0:row r="2" ht="26" customHeight="1">
      <ns0:c r="A2" s="2" t="inlineStr">
        <ns0:is>
          <ns0:t>青いセルを変更して採算を確認 ｜ 手残りは全入力費用を引いた利益 ｜ 料率は直接入力</ns0:t>
        </ns0:is>
      </ns0:c>
    </ns0:row>
    <ns0:row r="4" ht="30" customHeight="1">
      <ns0:c r="A4" s="3" t="inlineStr">
        <ns0:is>
          <ns0:t>項目</ns0:t>
        </ns0:is>
      </ns0:c>
      <ns0:c r="B4" s="3" t="inlineStr">
        <ns0:is>
          <ns0:t>金額・割合</ns0:t>
        </ns0:is>
      </ns0:c>
      <ns0:c r="C4" s="3" t="inlineStr">
        <ns0:is>
          <ns0:t>説明</ns0:t>
        </ns0:is>
      </ns0:c>
    </ns0:row>
    <ns0:row r="5">
      <ns0:c r="A5" t="inlineStr">
        <ns0:is>
          <ns0:t>売値</ns0:t>
        </ns0:is>
      </ns0:c>
      <ns0:c r="B5" s="7" t="n">
        <ns0:v>3000</ns0:v>
      </ns0:c>
    </ns0:row>
    <ns0:row r="6">
      <ns0:c r="A6" t="inlineStr">
        <ns0:is>
          <ns0:t>仕入</ns0:t>
        </ns0:is>
      </ns0:c>
      <ns0:c r="B6" s="7" t="n">
        <ns0:v>1200</ns0:v>
      </ns0:c>
    </ns0:row>
    <ns0:row r="7">
      <ns0:c r="A7" t="inlineStr">
        <ns0:is>
          <ns0:t>送料</ns0:t>
        </ns0:is>
      </ns0:c>
      <ns0:c r="B7" s="7" t="n">
        <ns0:v>520</ns0:v>
      </ns0:c>
    </ns0:row>
    <ns0:row r="8">
      <ns0:c r="A8" t="inlineStr">
        <ns0:is>
          <ns0:t>梱包費</ns0:t>
        </ns0:is>
      </ns0:c>
      <ns0:c r="B8" s="7" t="n">
        <ns0:v>80</ns0:v>
      </ns0:c>
    </ns0:row>
    <ns0:row r="9">
      <ns0:c r="A9" t="inlineStr">
        <ns0:is>
          <ns0:t>手数料率</ns0:t>
        </ns0:is>
      </ns0:c>
      <ns0:c r="B9" s="10" t="n">
        <ns0:v>0.1</ns0:v>
      </ns0:c>
    </ns0:row>
    <ns0:row r="11">
      <ns0:c r="A11" t="inlineStr">
        <ns0:is>
          <ns0:t>販売手数料</ns0:t>
        </ns0:is>
      </ns0:c>
      <ns0:c r="B11" s="8" t="n">
        <ns0:f>IF(COUNT(B5:B9)&lt;5,"",ROUND(B5*B9,0))</ns0:f>
        <ns0:v>300</ns0:v>
      </ns0:c>
      <ns0:c r="C11" t="inlineStr">
        <ns0:is>
          <ns0:t>売値×手数料率。円未満四捨五入。</ns0:t>
        </ns0:is>
      </ns0:c>
    </ns0:row>
    <ns0:row r="12">
      <ns0:c r="A12" t="inlineStr">
        <ns0:is>
          <ns0:t>手残り</ns0:t>
        </ns0:is>
      </ns0:c>
      <ns0:c r="B12" s="8" t="n">
        <ns0:f>IF(COUNT(B5:B9)&lt;5,"",B5-SUM(B6:B8)-B11)</ns0:f>
        <ns0:v>900</ns0:v>
      </ns0:c>
      <ns0:c r="C12" t="inlineStr">
        <ns0:is>
          <ns0:t>売値－仕入－送料－梱包費－販売手数料。</ns0:t>
        </ns0:is>
      </ns0:c>
    </ns0:row>
    <ns0:row r="13">
      <ns0:c r="A13" t="inlineStr">
        <ns0:is>
          <ns0:t>利益率</ns0:t>
        </ns0:is>
      </ns0:c>
      <ns0:c r="B13" s="13" t="n">
        <ns0:f>IF(OR(COUNT(B5:B9)&lt;5,B5=0),"",B12/B5)</ns0:f>
        <ns0:v>0.3</ns0:v>
      </ns0:c>
      <ns0:c r="C13" t="inlineStr">
        <ns0:is>
          <ns0:t>手残り÷売値。売値ゼロの場合は空欄。</ns0:t>
        </ns0:is>
      </ns0:c>
    </ns0:row>
    <ns0:row r="14">
      <ns0:c r="A14" t="inlineStr">
        <ns0:is>
          <ns0:t>損益分岐売値</ns0:t>
        </ns0:is>
      </ns0:c>
      <ns0:c r="B14" s="8" t="n">
        <ns0:f>IF(COUNT(B6:B9)&lt;4,"",IF(B9&gt;=1,"算出不可",ROUNDUP(SUM(B6:B8)/(1-B9),0)))</ns0:f>
        <ns0:v>2000</ns0:v>
      </ns0:c>
      <ns0:c r="C14" t="inlineStr">
        <ns0:is>
          <ns0:t>手数料の端数丸め前の費用回収目安（円単位切上げ）。料率100%は算出不可。</ns0:t>
        </ns0:is>
      </ns0:c>
    </ns0:row>
  </ns0:sheetData>
  <ns0:dataValidations count="2">
    <ns0:dataValidation sqref="B5:B8" showDropDown="0" showInputMessage="0" showErrorMessage="1" allowBlank="1" errorTitle="入力値をご確認ください" error="候補または指定範囲の値を入力してください。" type="decimal" errorStyle="stop">
      <ns0:formula1>0</ns0:formula1>
      <ns0:formula2>1000000000</ns0:formula2>
    </ns0:dataValidation>
    <ns0:dataValidation sqref="B9" showDropDown="0" showInputMessage="0" showErrorMessage="1" allowBlank="1" errorTitle="入力値をご確認ください" error="候補または指定範囲の値を入力してください。" type="decimal" errorStyle="stop">
      <ns0:formula1>0</ns0:formula1>
      <ns0:formula2>1</ns0:formula2>
    </ns0:dataValidation>
  </ns0:dataValidations>
  <ns0:pageMargins left="0.75" right="0.75" top="1" bottom="1" header="0.5" footer="0.5"/>
  <ns0:pageSetup orientation="landscape" paperSize="9" fitToHeight="0" fitToWidth="1"/>
</ns0:worksheet>
</file>

<file path=xl/worksheets/sheet6.xml><?xml version="1.0" encoding="utf-8"?>
<ns0:worksheet xmlns:ns0="http://schemas.openxmlformats.org/spreadsheetml/2006/main">
  <ns0:sheetPr>
    <ns0:tabColor rgb="00087F8C"/>
    <ns0:outlinePr summaryBelow="1" summaryRight="0"/>
    <ns0:pageSetUpPr fitToPage="1"/>
  </ns0:sheetPr>
  <ns0:dimension ref="A1:G18"/>
  <ns0:sheetViews>
    <ns0:sheetView showGridLines="0" workbookViewId="0">
      <ns0:pane ySplit="4" topLeftCell="A5" activePane="bottomLeft" state="frozen"/>
      <ns0:selection pane="bottomLeft" activeCell="A1" sqref="A1"/>
    </ns0:sheetView>
  </ns0:sheetViews>
  <ns0:sheetFormatPr baseColWidth="8" defaultRowHeight="15"/>
  <ns0:cols>
    <ns0:col width="18" customWidth="1" min="1" max="1"/>
    <ns0:col width="20" customWidth="1" min="2" max="2"/>
    <ns0:col width="20" customWidth="1" min="3" max="3"/>
    <ns0:col width="20" customWidth="1" min="4" max="4"/>
    <ns0:col width="20" customWidth="1" min="5" max="5"/>
    <ns0:col width="20" customWidth="1" min="6" max="6"/>
    <ns0:col width="21" customWidth="1" min="7" max="7"/>
  </ns0:cols>
  <ns0:sheetData>
    <ns0:row r="1" ht="32" customHeight="1">
      <ns0:c r="A1" s="1" t="inlineStr">
        <ns0:is>
          <ns0:t>月次集計</ns0:t>
        </ns0:is>
      </ns0:c>
    </ns0:row>
    <ns0:row r="2" ht="26" customHeight="1">
      <ns0:c r="A2" s="2" t="inlineStr">
        <ns0:is>
          <ns0:t>対象年</ns0:t>
        </ns0:is>
      </ns0:c>
      <ns0:c r="B2" s="14" t="n">
        <ns0:v>2026</ns0:v>
      </ns0:c>
      <ns0:c r="C2" t="inlineStr">
        <ns0:is>
          <ns0:t>販売済みのみ・販売日基準。未入力の費用がないか販売記録も確認してください。</ns0:t>
        </ns0:is>
      </ns0:c>
    </ns0:row>
    <ns0:row r="4" ht="30" customHeight="1">
      <ns0:c r="A4" s="3" t="inlineStr">
        <ns0:is>
          <ns0:t>月</ns0:t>
        </ns0:is>
      </ns0:c>
      <ns0:c r="B4" s="3" t="inlineStr">
        <ns0:is>
          <ns0:t>売上</ns0:t>
        </ns0:is>
      </ns0:c>
      <ns0:c r="C4" s="3" t="inlineStr">
        <ns0:is>
          <ns0:t>手数料</ns0:t>
        </ns0:is>
      </ns0:c>
      <ns0:c r="D4" s="3" t="inlineStr">
        <ns0:is>
          <ns0:t>送料</ns0:t>
        </ns0:is>
      </ns0:c>
      <ns0:c r="E4" s="3" t="inlineStr">
        <ns0:is>
          <ns0:t>仕入</ns0:t>
        </ns0:is>
      </ns0:c>
      <ns0:c r="F4" s="3" t="inlineStr">
        <ns0:is>
          <ns0:t>梱包費</ns0:t>
        </ns0:is>
      </ns0:c>
      <ns0:c r="G4" s="3" t="inlineStr">
        <ns0:is>
          <ns0:t>利益</ns0:t>
        </ns0:is>
      </ns0:c>
    </ns0:row>
    <ns0:row r="5">
      <ns0:c r="A5" s="15" t="n">
        <ns0:f>DATE($B$2,1,1)</ns0:f>
        <ns0:v>46023</ns0:v>
      </ns0:c>
      <ns0:c r="B5" s="8" t="n">
        <ns0:f>SUMIFS('販売記録'!$E$5:$E$1004,'販売記録'!$J$5:$J$1004,"販売済み",'販売記録'!$A$5:$A$1004,"&gt;="&amp;$A5,'販売記録'!$A$5:$A$1004,"&lt;"&amp;DATE(YEAR($A5),MONTH($A5)+1,1))</ns0:f>
        <ns0:v>0</ns0:v>
      </ns0:c>
      <ns0:c r="C5" s="8" t="n">
        <ns0:f>SUMIFS('販売記録'!$F$5:$F$1004,'販売記録'!$J$5:$J$1004,"販売済み",'販売記録'!$A$5:$A$1004,"&gt;="&amp;$A5,'販売記録'!$A$5:$A$1004,"&lt;"&amp;DATE(YEAR($A5),MONTH($A5)+1,1))</ns0:f>
        <ns0:v>0</ns0:v>
      </ns0:c>
      <ns0:c r="D5" s="8" t="n">
        <ns0:f>SUMIFS('販売記録'!$G$5:$G$1004,'販売記録'!$J$5:$J$1004,"販売済み",'販売記録'!$A$5:$A$1004,"&gt;="&amp;$A5,'販売記録'!$A$5:$A$1004,"&lt;"&amp;DATE(YEAR($A5),MONTH($A5)+1,1))</ns0:f>
        <ns0:v>0</ns0:v>
      </ns0:c>
      <ns0:c r="E5" s="8" t="n">
        <ns0:f>SUMIFS('販売記録'!$D$5:$D$1004,'販売記録'!$J$5:$J$1004,"販売済み",'販売記録'!$A$5:$A$1004,"&gt;="&amp;$A5,'販売記録'!$A$5:$A$1004,"&lt;"&amp;DATE(YEAR($A5),MONTH($A5)+1,1))</ns0:f>
        <ns0:v>0</ns0:v>
      </ns0:c>
      <ns0:c r="F5" s="8" t="n">
        <ns0:f>SUMIFS('販売記録'!$H$5:$H$1004,'販売記録'!$J$5:$J$1004,"販売済み",'販売記録'!$A$5:$A$1004,"&gt;="&amp;$A5,'販売記録'!$A$5:$A$1004,"&lt;"&amp;DATE(YEAR($A5),MONTH($A5)+1,1))</ns0:f>
        <ns0:v>0</ns0:v>
      </ns0:c>
      <ns0:c r="G5" s="8" t="n">
        <ns0:f>SUMIFS('販売記録'!$I$5:$I$1004,'販売記録'!$J$5:$J$1004,"販売済み",'販売記録'!$A$5:$A$1004,"&gt;="&amp;$A5,'販売記録'!$A$5:$A$1004,"&lt;"&amp;DATE(YEAR($A5),MONTH($A5)+1,1))</ns0:f>
        <ns0:v>0</ns0:v>
      </ns0:c>
    </ns0:row>
    <ns0:row r="6">
      <ns0:c r="A6" s="15" t="n">
        <ns0:f>DATE($B$2,2,1)</ns0:f>
        <ns0:v>46054</ns0:v>
      </ns0:c>
      <ns0:c r="B6" s="8" t="n">
        <ns0:f>SUMIFS('販売記録'!$E$5:$E$1004,'販売記録'!$J$5:$J$1004,"販売済み",'販売記録'!$A$5:$A$1004,"&gt;="&amp;$A6,'販売記録'!$A$5:$A$1004,"&lt;"&amp;DATE(YEAR($A6),MONTH($A6)+1,1))</ns0:f>
        <ns0:v>0</ns0:v>
      </ns0:c>
      <ns0:c r="C6" s="8" t="n">
        <ns0:f>SUMIFS('販売記録'!$F$5:$F$1004,'販売記録'!$J$5:$J$1004,"販売済み",'販売記録'!$A$5:$A$1004,"&gt;="&amp;$A6,'販売記録'!$A$5:$A$1004,"&lt;"&amp;DATE(YEAR($A6),MONTH($A6)+1,1))</ns0:f>
        <ns0:v>0</ns0:v>
      </ns0:c>
      <ns0:c r="D6" s="8" t="n">
        <ns0:f>SUMIFS('販売記録'!$G$5:$G$1004,'販売記録'!$J$5:$J$1004,"販売済み",'販売記録'!$A$5:$A$1004,"&gt;="&amp;$A6,'販売記録'!$A$5:$A$1004,"&lt;"&amp;DATE(YEAR($A6),MONTH($A6)+1,1))</ns0:f>
        <ns0:v>0</ns0:v>
      </ns0:c>
      <ns0:c r="E6" s="8" t="n">
        <ns0:f>SUMIFS('販売記録'!$D$5:$D$1004,'販売記録'!$J$5:$J$1004,"販売済み",'販売記録'!$A$5:$A$1004,"&gt;="&amp;$A6,'販売記録'!$A$5:$A$1004,"&lt;"&amp;DATE(YEAR($A6),MONTH($A6)+1,1))</ns0:f>
        <ns0:v>0</ns0:v>
      </ns0:c>
      <ns0:c r="F6" s="8" t="n">
        <ns0:f>SUMIFS('販売記録'!$H$5:$H$1004,'販売記録'!$J$5:$J$1004,"販売済み",'販売記録'!$A$5:$A$1004,"&gt;="&amp;$A6,'販売記録'!$A$5:$A$1004,"&lt;"&amp;DATE(YEAR($A6),MONTH($A6)+1,1))</ns0:f>
        <ns0:v>0</ns0:v>
      </ns0:c>
      <ns0:c r="G6" s="8" t="n">
        <ns0:f>SUMIFS('販売記録'!$I$5:$I$1004,'販売記録'!$J$5:$J$1004,"販売済み",'販売記録'!$A$5:$A$1004,"&gt;="&amp;$A6,'販売記録'!$A$5:$A$1004,"&lt;"&amp;DATE(YEAR($A6),MONTH($A6)+1,1))</ns0:f>
        <ns0:v>0</ns0:v>
      </ns0:c>
    </ns0:row>
    <ns0:row r="7">
      <ns0:c r="A7" s="15" t="n">
        <ns0:f>DATE($B$2,3,1)</ns0:f>
        <ns0:v>46082</ns0:v>
      </ns0:c>
      <ns0:c r="B7" s="8" t="n">
        <ns0:f>SUMIFS('販売記録'!$E$5:$E$1004,'販売記録'!$J$5:$J$1004,"販売済み",'販売記録'!$A$5:$A$1004,"&gt;="&amp;$A7,'販売記録'!$A$5:$A$1004,"&lt;"&amp;DATE(YEAR($A7),MONTH($A7)+1,1))</ns0:f>
        <ns0:v>0</ns0:v>
      </ns0:c>
      <ns0:c r="C7" s="8" t="n">
        <ns0:f>SUMIFS('販売記録'!$F$5:$F$1004,'販売記録'!$J$5:$J$1004,"販売済み",'販売記録'!$A$5:$A$1004,"&gt;="&amp;$A7,'販売記録'!$A$5:$A$1004,"&lt;"&amp;DATE(YEAR($A7),MONTH($A7)+1,1))</ns0:f>
        <ns0:v>0</ns0:v>
      </ns0:c>
      <ns0:c r="D7" s="8" t="n">
        <ns0:f>SUMIFS('販売記録'!$G$5:$G$1004,'販売記録'!$J$5:$J$1004,"販売済み",'販売記録'!$A$5:$A$1004,"&gt;="&amp;$A7,'販売記録'!$A$5:$A$1004,"&lt;"&amp;DATE(YEAR($A7),MONTH($A7)+1,1))</ns0:f>
        <ns0:v>0</ns0:v>
      </ns0:c>
      <ns0:c r="E7" s="8" t="n">
        <ns0:f>SUMIFS('販売記録'!$D$5:$D$1004,'販売記録'!$J$5:$J$1004,"販売済み",'販売記録'!$A$5:$A$1004,"&gt;="&amp;$A7,'販売記録'!$A$5:$A$1004,"&lt;"&amp;DATE(YEAR($A7),MONTH($A7)+1,1))</ns0:f>
        <ns0:v>0</ns0:v>
      </ns0:c>
      <ns0:c r="F7" s="8" t="n">
        <ns0:f>SUMIFS('販売記録'!$H$5:$H$1004,'販売記録'!$J$5:$J$1004,"販売済み",'販売記録'!$A$5:$A$1004,"&gt;="&amp;$A7,'販売記録'!$A$5:$A$1004,"&lt;"&amp;DATE(YEAR($A7),MONTH($A7)+1,1))</ns0:f>
        <ns0:v>0</ns0:v>
      </ns0:c>
      <ns0:c r="G7" s="8" t="n">
        <ns0:f>SUMIFS('販売記録'!$I$5:$I$1004,'販売記録'!$J$5:$J$1004,"販売済み",'販売記録'!$A$5:$A$1004,"&gt;="&amp;$A7,'販売記録'!$A$5:$A$1004,"&lt;"&amp;DATE(YEAR($A7),MONTH($A7)+1,1))</ns0:f>
        <ns0:v>0</ns0:v>
      </ns0:c>
    </ns0:row>
    <ns0:row r="8">
      <ns0:c r="A8" s="15" t="n">
        <ns0:f>DATE($B$2,4,1)</ns0:f>
        <ns0:v>46113</ns0:v>
      </ns0:c>
      <ns0:c r="B8" s="8" t="n">
        <ns0:f>SUMIFS('販売記録'!$E$5:$E$1004,'販売記録'!$J$5:$J$1004,"販売済み",'販売記録'!$A$5:$A$1004,"&gt;="&amp;$A8,'販売記録'!$A$5:$A$1004,"&lt;"&amp;DATE(YEAR($A8),MONTH($A8)+1,1))</ns0:f>
        <ns0:v>0</ns0:v>
      </ns0:c>
      <ns0:c r="C8" s="8" t="n">
        <ns0:f>SUMIFS('販売記録'!$F$5:$F$1004,'販売記録'!$J$5:$J$1004,"販売済み",'販売記録'!$A$5:$A$1004,"&gt;="&amp;$A8,'販売記録'!$A$5:$A$1004,"&lt;"&amp;DATE(YEAR($A8),MONTH($A8)+1,1))</ns0:f>
        <ns0:v>0</ns0:v>
      </ns0:c>
      <ns0:c r="D8" s="8" t="n">
        <ns0:f>SUMIFS('販売記録'!$G$5:$G$1004,'販売記録'!$J$5:$J$1004,"販売済み",'販売記録'!$A$5:$A$1004,"&gt;="&amp;$A8,'販売記録'!$A$5:$A$1004,"&lt;"&amp;DATE(YEAR($A8),MONTH($A8)+1,1))</ns0:f>
        <ns0:v>0</ns0:v>
      </ns0:c>
      <ns0:c r="E8" s="8" t="n">
        <ns0:f>SUMIFS('販売記録'!$D$5:$D$1004,'販売記録'!$J$5:$J$1004,"販売済み",'販売記録'!$A$5:$A$1004,"&gt;="&amp;$A8,'販売記録'!$A$5:$A$1004,"&lt;"&amp;DATE(YEAR($A8),MONTH($A8)+1,1))</ns0:f>
        <ns0:v>0</ns0:v>
      </ns0:c>
      <ns0:c r="F8" s="8" t="n">
        <ns0:f>SUMIFS('販売記録'!$H$5:$H$1004,'販売記録'!$J$5:$J$1004,"販売済み",'販売記録'!$A$5:$A$1004,"&gt;="&amp;$A8,'販売記録'!$A$5:$A$1004,"&lt;"&amp;DATE(YEAR($A8),MONTH($A8)+1,1))</ns0:f>
        <ns0:v>0</ns0:v>
      </ns0:c>
      <ns0:c r="G8" s="8" t="n">
        <ns0:f>SUMIFS('販売記録'!$I$5:$I$1004,'販売記録'!$J$5:$J$1004,"販売済み",'販売記録'!$A$5:$A$1004,"&gt;="&amp;$A8,'販売記録'!$A$5:$A$1004,"&lt;"&amp;DATE(YEAR($A8),MONTH($A8)+1,1))</ns0:f>
        <ns0:v>0</ns0:v>
      </ns0:c>
    </ns0:row>
    <ns0:row r="9">
      <ns0:c r="A9" s="15" t="n">
        <ns0:f>DATE($B$2,5,1)</ns0:f>
        <ns0:v>46143</ns0:v>
      </ns0:c>
      <ns0:c r="B9" s="8" t="n">
        <ns0:f>SUMIFS('販売記録'!$E$5:$E$1004,'販売記録'!$J$5:$J$1004,"販売済み",'販売記録'!$A$5:$A$1004,"&gt;="&amp;$A9,'販売記録'!$A$5:$A$1004,"&lt;"&amp;DATE(YEAR($A9),MONTH($A9)+1,1))</ns0:f>
        <ns0:v>0</ns0:v>
      </ns0:c>
      <ns0:c r="C9" s="8" t="n">
        <ns0:f>SUMIFS('販売記録'!$F$5:$F$1004,'販売記録'!$J$5:$J$1004,"販売済み",'販売記録'!$A$5:$A$1004,"&gt;="&amp;$A9,'販売記録'!$A$5:$A$1004,"&lt;"&amp;DATE(YEAR($A9),MONTH($A9)+1,1))</ns0:f>
        <ns0:v>0</ns0:v>
      </ns0:c>
      <ns0:c r="D9" s="8" t="n">
        <ns0:f>SUMIFS('販売記録'!$G$5:$G$1004,'販売記録'!$J$5:$J$1004,"販売済み",'販売記録'!$A$5:$A$1004,"&gt;="&amp;$A9,'販売記録'!$A$5:$A$1004,"&lt;"&amp;DATE(YEAR($A9),MONTH($A9)+1,1))</ns0:f>
        <ns0:v>0</ns0:v>
      </ns0:c>
      <ns0:c r="E9" s="8" t="n">
        <ns0:f>SUMIFS('販売記録'!$D$5:$D$1004,'販売記録'!$J$5:$J$1004,"販売済み",'販売記録'!$A$5:$A$1004,"&gt;="&amp;$A9,'販売記録'!$A$5:$A$1004,"&lt;"&amp;DATE(YEAR($A9),MONTH($A9)+1,1))</ns0:f>
        <ns0:v>0</ns0:v>
      </ns0:c>
      <ns0:c r="F9" s="8" t="n">
        <ns0:f>SUMIFS('販売記録'!$H$5:$H$1004,'販売記録'!$J$5:$J$1004,"販売済み",'販売記録'!$A$5:$A$1004,"&gt;="&amp;$A9,'販売記録'!$A$5:$A$1004,"&lt;"&amp;DATE(YEAR($A9),MONTH($A9)+1,1))</ns0:f>
        <ns0:v>0</ns0:v>
      </ns0:c>
      <ns0:c r="G9" s="8" t="n">
        <ns0:f>SUMIFS('販売記録'!$I$5:$I$1004,'販売記録'!$J$5:$J$1004,"販売済み",'販売記録'!$A$5:$A$1004,"&gt;="&amp;$A9,'販売記録'!$A$5:$A$1004,"&lt;"&amp;DATE(YEAR($A9),MONTH($A9)+1,1))</ns0:f>
        <ns0:v>0</ns0:v>
      </ns0:c>
    </ns0:row>
    <ns0:row r="10">
      <ns0:c r="A10" s="15" t="n">
        <ns0:f>DATE($B$2,6,1)</ns0:f>
        <ns0:v>46174</ns0:v>
      </ns0:c>
      <ns0:c r="B10" s="8" t="n">
        <ns0:f>SUMIFS('販売記録'!$E$5:$E$1004,'販売記録'!$J$5:$J$1004,"販売済み",'販売記録'!$A$5:$A$1004,"&gt;="&amp;$A10,'販売記録'!$A$5:$A$1004,"&lt;"&amp;DATE(YEAR($A10),MONTH($A10)+1,1))</ns0:f>
        <ns0:v>0</ns0:v>
      </ns0:c>
      <ns0:c r="C10" s="8" t="n">
        <ns0:f>SUMIFS('販売記録'!$F$5:$F$1004,'販売記録'!$J$5:$J$1004,"販売済み",'販売記録'!$A$5:$A$1004,"&gt;="&amp;$A10,'販売記録'!$A$5:$A$1004,"&lt;"&amp;DATE(YEAR($A10),MONTH($A10)+1,1))</ns0:f>
        <ns0:v>0</ns0:v>
      </ns0:c>
      <ns0:c r="D10" s="8" t="n">
        <ns0:f>SUMIFS('販売記録'!$G$5:$G$1004,'販売記録'!$J$5:$J$1004,"販売済み",'販売記録'!$A$5:$A$1004,"&gt;="&amp;$A10,'販売記録'!$A$5:$A$1004,"&lt;"&amp;DATE(YEAR($A10),MONTH($A10)+1,1))</ns0:f>
        <ns0:v>0</ns0:v>
      </ns0:c>
      <ns0:c r="E10" s="8" t="n">
        <ns0:f>SUMIFS('販売記録'!$D$5:$D$1004,'販売記録'!$J$5:$J$1004,"販売済み",'販売記録'!$A$5:$A$1004,"&gt;="&amp;$A10,'販売記録'!$A$5:$A$1004,"&lt;"&amp;DATE(YEAR($A10),MONTH($A10)+1,1))</ns0:f>
        <ns0:v>0</ns0:v>
      </ns0:c>
      <ns0:c r="F10" s="8" t="n">
        <ns0:f>SUMIFS('販売記録'!$H$5:$H$1004,'販売記録'!$J$5:$J$1004,"販売済み",'販売記録'!$A$5:$A$1004,"&gt;="&amp;$A10,'販売記録'!$A$5:$A$1004,"&lt;"&amp;DATE(YEAR($A10),MONTH($A10)+1,1))</ns0:f>
        <ns0:v>0</ns0:v>
      </ns0:c>
      <ns0:c r="G10" s="8" t="n">
        <ns0:f>SUMIFS('販売記録'!$I$5:$I$1004,'販売記録'!$J$5:$J$1004,"販売済み",'販売記録'!$A$5:$A$1004,"&gt;="&amp;$A10,'販売記録'!$A$5:$A$1004,"&lt;"&amp;DATE(YEAR($A10),MONTH($A10)+1,1))</ns0:f>
        <ns0:v>0</ns0:v>
      </ns0:c>
    </ns0:row>
    <ns0:row r="11">
      <ns0:c r="A11" s="15" t="n">
        <ns0:f>DATE($B$2,7,1)</ns0:f>
        <ns0:v>46204</ns0:v>
      </ns0:c>
      <ns0:c r="B11" s="8" t="n">
        <ns0:f>SUMIFS('販売記録'!$E$5:$E$1004,'販売記録'!$J$5:$J$1004,"販売済み",'販売記録'!$A$5:$A$1004,"&gt;="&amp;$A11,'販売記録'!$A$5:$A$1004,"&lt;"&amp;DATE(YEAR($A11),MONTH($A11)+1,1))</ns0:f>
        <ns0:v>0</ns0:v>
      </ns0:c>
      <ns0:c r="C11" s="8" t="n">
        <ns0:f>SUMIFS('販売記録'!$F$5:$F$1004,'販売記録'!$J$5:$J$1004,"販売済み",'販売記録'!$A$5:$A$1004,"&gt;="&amp;$A11,'販売記録'!$A$5:$A$1004,"&lt;"&amp;DATE(YEAR($A11),MONTH($A11)+1,1))</ns0:f>
        <ns0:v>0</ns0:v>
      </ns0:c>
      <ns0:c r="D11" s="8" t="n">
        <ns0:f>SUMIFS('販売記録'!$G$5:$G$1004,'販売記録'!$J$5:$J$1004,"販売済み",'販売記録'!$A$5:$A$1004,"&gt;="&amp;$A11,'販売記録'!$A$5:$A$1004,"&lt;"&amp;DATE(YEAR($A11),MONTH($A11)+1,1))</ns0:f>
        <ns0:v>0</ns0:v>
      </ns0:c>
      <ns0:c r="E11" s="8" t="n">
        <ns0:f>SUMIFS('販売記録'!$D$5:$D$1004,'販売記録'!$J$5:$J$1004,"販売済み",'販売記録'!$A$5:$A$1004,"&gt;="&amp;$A11,'販売記録'!$A$5:$A$1004,"&lt;"&amp;DATE(YEAR($A11),MONTH($A11)+1,1))</ns0:f>
        <ns0:v>0</ns0:v>
      </ns0:c>
      <ns0:c r="F11" s="8" t="n">
        <ns0:f>SUMIFS('販売記録'!$H$5:$H$1004,'販売記録'!$J$5:$J$1004,"販売済み",'販売記録'!$A$5:$A$1004,"&gt;="&amp;$A11,'販売記録'!$A$5:$A$1004,"&lt;"&amp;DATE(YEAR($A11),MONTH($A11)+1,1))</ns0:f>
        <ns0:v>0</ns0:v>
      </ns0:c>
      <ns0:c r="G11" s="8" t="n">
        <ns0:f>SUMIFS('販売記録'!$I$5:$I$1004,'販売記録'!$J$5:$J$1004,"販売済み",'販売記録'!$A$5:$A$1004,"&gt;="&amp;$A11,'販売記録'!$A$5:$A$1004,"&lt;"&amp;DATE(YEAR($A11),MONTH($A11)+1,1))</ns0:f>
        <ns0:v>0</ns0:v>
      </ns0:c>
    </ns0:row>
    <ns0:row r="12">
      <ns0:c r="A12" s="15" t="n">
        <ns0:f>DATE($B$2,8,1)</ns0:f>
        <ns0:v>46235</ns0:v>
      </ns0:c>
      <ns0:c r="B12" s="8" t="n">
        <ns0:f>SUMIFS('販売記録'!$E$5:$E$1004,'販売記録'!$J$5:$J$1004,"販売済み",'販売記録'!$A$5:$A$1004,"&gt;="&amp;$A12,'販売記録'!$A$5:$A$1004,"&lt;"&amp;DATE(YEAR($A12),MONTH($A12)+1,1))</ns0:f>
        <ns0:v>0</ns0:v>
      </ns0:c>
      <ns0:c r="C12" s="8" t="n">
        <ns0:f>SUMIFS('販売記録'!$F$5:$F$1004,'販売記録'!$J$5:$J$1004,"販売済み",'販売記録'!$A$5:$A$1004,"&gt;="&amp;$A12,'販売記録'!$A$5:$A$1004,"&lt;"&amp;DATE(YEAR($A12),MONTH($A12)+1,1))</ns0:f>
        <ns0:v>0</ns0:v>
      </ns0:c>
      <ns0:c r="D12" s="8" t="n">
        <ns0:f>SUMIFS('販売記録'!$G$5:$G$1004,'販売記録'!$J$5:$J$1004,"販売済み",'販売記録'!$A$5:$A$1004,"&gt;="&amp;$A12,'販売記録'!$A$5:$A$1004,"&lt;"&amp;DATE(YEAR($A12),MONTH($A12)+1,1))</ns0:f>
        <ns0:v>0</ns0:v>
      </ns0:c>
      <ns0:c r="E12" s="8" t="n">
        <ns0:f>SUMIFS('販売記録'!$D$5:$D$1004,'販売記録'!$J$5:$J$1004,"販売済み",'販売記録'!$A$5:$A$1004,"&gt;="&amp;$A12,'販売記録'!$A$5:$A$1004,"&lt;"&amp;DATE(YEAR($A12),MONTH($A12)+1,1))</ns0:f>
        <ns0:v>0</ns0:v>
      </ns0:c>
      <ns0:c r="F12" s="8" t="n">
        <ns0:f>SUMIFS('販売記録'!$H$5:$H$1004,'販売記録'!$J$5:$J$1004,"販売済み",'販売記録'!$A$5:$A$1004,"&gt;="&amp;$A12,'販売記録'!$A$5:$A$1004,"&lt;"&amp;DATE(YEAR($A12),MONTH($A12)+1,1))</ns0:f>
        <ns0:v>0</ns0:v>
      </ns0:c>
      <ns0:c r="G12" s="8" t="n">
        <ns0:f>SUMIFS('販売記録'!$I$5:$I$1004,'販売記録'!$J$5:$J$1004,"販売済み",'販売記録'!$A$5:$A$1004,"&gt;="&amp;$A12,'販売記録'!$A$5:$A$1004,"&lt;"&amp;DATE(YEAR($A12),MONTH($A12)+1,1))</ns0:f>
        <ns0:v>0</ns0:v>
      </ns0:c>
    </ns0:row>
    <ns0:row r="13">
      <ns0:c r="A13" s="15" t="n">
        <ns0:f>DATE($B$2,9,1)</ns0:f>
        <ns0:v>46266</ns0:v>
      </ns0:c>
      <ns0:c r="B13" s="8" t="n">
        <ns0:f>SUMIFS('販売記録'!$E$5:$E$1004,'販売記録'!$J$5:$J$1004,"販売済み",'販売記録'!$A$5:$A$1004,"&gt;="&amp;$A13,'販売記録'!$A$5:$A$1004,"&lt;"&amp;DATE(YEAR($A13),MONTH($A13)+1,1))</ns0:f>
        <ns0:v>0</ns0:v>
      </ns0:c>
      <ns0:c r="C13" s="8" t="n">
        <ns0:f>SUMIFS('販売記録'!$F$5:$F$1004,'販売記録'!$J$5:$J$1004,"販売済み",'販売記録'!$A$5:$A$1004,"&gt;="&amp;$A13,'販売記録'!$A$5:$A$1004,"&lt;"&amp;DATE(YEAR($A13),MONTH($A13)+1,1))</ns0:f>
        <ns0:v>0</ns0:v>
      </ns0:c>
      <ns0:c r="D13" s="8" t="n">
        <ns0:f>SUMIFS('販売記録'!$G$5:$G$1004,'販売記録'!$J$5:$J$1004,"販売済み",'販売記録'!$A$5:$A$1004,"&gt;="&amp;$A13,'販売記録'!$A$5:$A$1004,"&lt;"&amp;DATE(YEAR($A13),MONTH($A13)+1,1))</ns0:f>
        <ns0:v>0</ns0:v>
      </ns0:c>
      <ns0:c r="E13" s="8" t="n">
        <ns0:f>SUMIFS('販売記録'!$D$5:$D$1004,'販売記録'!$J$5:$J$1004,"販売済み",'販売記録'!$A$5:$A$1004,"&gt;="&amp;$A13,'販売記録'!$A$5:$A$1004,"&lt;"&amp;DATE(YEAR($A13),MONTH($A13)+1,1))</ns0:f>
        <ns0:v>0</ns0:v>
      </ns0:c>
      <ns0:c r="F13" s="8" t="n">
        <ns0:f>SUMIFS('販売記録'!$H$5:$H$1004,'販売記録'!$J$5:$J$1004,"販売済み",'販売記録'!$A$5:$A$1004,"&gt;="&amp;$A13,'販売記録'!$A$5:$A$1004,"&lt;"&amp;DATE(YEAR($A13),MONTH($A13)+1,1))</ns0:f>
        <ns0:v>0</ns0:v>
      </ns0:c>
      <ns0:c r="G13" s="8" t="n">
        <ns0:f>SUMIFS('販売記録'!$I$5:$I$1004,'販売記録'!$J$5:$J$1004,"販売済み",'販売記録'!$A$5:$A$1004,"&gt;="&amp;$A13,'販売記録'!$A$5:$A$1004,"&lt;"&amp;DATE(YEAR($A13),MONTH($A13)+1,1))</ns0:f>
        <ns0:v>0</ns0:v>
      </ns0:c>
    </ns0:row>
    <ns0:row r="14">
      <ns0:c r="A14" s="15" t="n">
        <ns0:f>DATE($B$2,10,1)</ns0:f>
        <ns0:v>46296</ns0:v>
      </ns0:c>
      <ns0:c r="B14" s="8" t="n">
        <ns0:f>SUMIFS('販売記録'!$E$5:$E$1004,'販売記録'!$J$5:$J$1004,"販売済み",'販売記録'!$A$5:$A$1004,"&gt;="&amp;$A14,'販売記録'!$A$5:$A$1004,"&lt;"&amp;DATE(YEAR($A14),MONTH($A14)+1,1))</ns0:f>
        <ns0:v>6500</ns0:v>
      </ns0:c>
      <ns0:c r="C14" s="8" t="n">
        <ns0:f>SUMIFS('販売記録'!$F$5:$F$1004,'販売記録'!$J$5:$J$1004,"販売済み",'販売記録'!$A$5:$A$1004,"&gt;="&amp;$A14,'販売記録'!$A$5:$A$1004,"&lt;"&amp;DATE(YEAR($A14),MONTH($A14)+1,1))</ns0:f>
        <ns0:v>650</ns0:v>
      </ns0:c>
      <ns0:c r="D14" s="8" t="n">
        <ns0:f>SUMIFS('販売記録'!$G$5:$G$1004,'販売記録'!$J$5:$J$1004,"販売済み",'販売記録'!$A$5:$A$1004,"&gt;="&amp;$A14,'販売記録'!$A$5:$A$1004,"&lt;"&amp;DATE(YEAR($A14),MONTH($A14)+1,1))</ns0:f>
        <ns0:v>910</ns0:v>
      </ns0:c>
      <ns0:c r="E14" s="8" t="n">
        <ns0:f>SUMIFS('販売記録'!$D$5:$D$1004,'販売記録'!$J$5:$J$1004,"販売済み",'販売記録'!$A$5:$A$1004,"&gt;="&amp;$A14,'販売記録'!$A$5:$A$1004,"&lt;"&amp;DATE(YEAR($A14),MONTH($A14)+1,1))</ns0:f>
        <ns0:v>2500</ns0:v>
      </ns0:c>
      <ns0:c r="F14" s="8" t="n">
        <ns0:f>SUMIFS('販売記録'!$H$5:$H$1004,'販売記録'!$J$5:$J$1004,"販売済み",'販売記録'!$A$5:$A$1004,"&gt;="&amp;$A14,'販売記録'!$A$5:$A$1004,"&lt;"&amp;DATE(YEAR($A14),MONTH($A14)+1,1))</ns0:f>
        <ns0:v>150</ns0:v>
      </ns0:c>
      <ns0:c r="G14" s="8" t="n">
        <ns0:f>SUMIFS('販売記録'!$I$5:$I$1004,'販売記録'!$J$5:$J$1004,"販売済み",'販売記録'!$A$5:$A$1004,"&gt;="&amp;$A14,'販売記録'!$A$5:$A$1004,"&lt;"&amp;DATE(YEAR($A14),MONTH($A14)+1,1))</ns0:f>
        <ns0:v>2290</ns0:v>
      </ns0:c>
    </ns0:row>
    <ns0:row r="15">
      <ns0:c r="A15" s="15" t="n">
        <ns0:f>DATE($B$2,11,1)</ns0:f>
        <ns0:v>46327</ns0:v>
      </ns0:c>
      <ns0:c r="B15" s="8" t="n">
        <ns0:f>SUMIFS('販売記録'!$E$5:$E$1004,'販売記録'!$J$5:$J$1004,"販売済み",'販売記録'!$A$5:$A$1004,"&gt;="&amp;$A15,'販売記録'!$A$5:$A$1004,"&lt;"&amp;DATE(YEAR($A15),MONTH($A15)+1,1))</ns0:f>
        <ns0:v>0</ns0:v>
      </ns0:c>
      <ns0:c r="C15" s="8" t="n">
        <ns0:f>SUMIFS('販売記録'!$F$5:$F$1004,'販売記録'!$J$5:$J$1004,"販売済み",'販売記録'!$A$5:$A$1004,"&gt;="&amp;$A15,'販売記録'!$A$5:$A$1004,"&lt;"&amp;DATE(YEAR($A15),MONTH($A15)+1,1))</ns0:f>
        <ns0:v>0</ns0:v>
      </ns0:c>
      <ns0:c r="D15" s="8" t="n">
        <ns0:f>SUMIFS('販売記録'!$G$5:$G$1004,'販売記録'!$J$5:$J$1004,"販売済み",'販売記録'!$A$5:$A$1004,"&gt;="&amp;$A15,'販売記録'!$A$5:$A$1004,"&lt;"&amp;DATE(YEAR($A15),MONTH($A15)+1,1))</ns0:f>
        <ns0:v>0</ns0:v>
      </ns0:c>
      <ns0:c r="E15" s="8" t="n">
        <ns0:f>SUMIFS('販売記録'!$D$5:$D$1004,'販売記録'!$J$5:$J$1004,"販売済み",'販売記録'!$A$5:$A$1004,"&gt;="&amp;$A15,'販売記録'!$A$5:$A$1004,"&lt;"&amp;DATE(YEAR($A15),MONTH($A15)+1,1))</ns0:f>
        <ns0:v>0</ns0:v>
      </ns0:c>
      <ns0:c r="F15" s="8" t="n">
        <ns0:f>SUMIFS('販売記録'!$H$5:$H$1004,'販売記録'!$J$5:$J$1004,"販売済み",'販売記録'!$A$5:$A$1004,"&gt;="&amp;$A15,'販売記録'!$A$5:$A$1004,"&lt;"&amp;DATE(YEAR($A15),MONTH($A15)+1,1))</ns0:f>
        <ns0:v>0</ns0:v>
      </ns0:c>
      <ns0:c r="G15" s="8" t="n">
        <ns0:f>SUMIFS('販売記録'!$I$5:$I$1004,'販売記録'!$J$5:$J$1004,"販売済み",'販売記録'!$A$5:$A$1004,"&gt;="&amp;$A15,'販売記録'!$A$5:$A$1004,"&lt;"&amp;DATE(YEAR($A15),MONTH($A15)+1,1))</ns0:f>
        <ns0:v>0</ns0:v>
      </ns0:c>
    </ns0:row>
    <ns0:row r="16">
      <ns0:c r="A16" s="15" t="n">
        <ns0:f>DATE($B$2,12,1)</ns0:f>
        <ns0:v>46357</ns0:v>
      </ns0:c>
      <ns0:c r="B16" s="8" t="n">
        <ns0:f>SUMIFS('販売記録'!$E$5:$E$1004,'販売記録'!$J$5:$J$1004,"販売済み",'販売記録'!$A$5:$A$1004,"&gt;="&amp;$A16,'販売記録'!$A$5:$A$1004,"&lt;"&amp;DATE(YEAR($A16),MONTH($A16)+1,1))</ns0:f>
        <ns0:v>0</ns0:v>
      </ns0:c>
      <ns0:c r="C16" s="8" t="n">
        <ns0:f>SUMIFS('販売記録'!$F$5:$F$1004,'販売記録'!$J$5:$J$1004,"販売済み",'販売記録'!$A$5:$A$1004,"&gt;="&amp;$A16,'販売記録'!$A$5:$A$1004,"&lt;"&amp;DATE(YEAR($A16),MONTH($A16)+1,1))</ns0:f>
        <ns0:v>0</ns0:v>
      </ns0:c>
      <ns0:c r="D16" s="8" t="n">
        <ns0:f>SUMIFS('販売記録'!$G$5:$G$1004,'販売記録'!$J$5:$J$1004,"販売済み",'販売記録'!$A$5:$A$1004,"&gt;="&amp;$A16,'販売記録'!$A$5:$A$1004,"&lt;"&amp;DATE(YEAR($A16),MONTH($A16)+1,1))</ns0:f>
        <ns0:v>0</ns0:v>
      </ns0:c>
      <ns0:c r="E16" s="8" t="n">
        <ns0:f>SUMIFS('販売記録'!$D$5:$D$1004,'販売記録'!$J$5:$J$1004,"販売済み",'販売記録'!$A$5:$A$1004,"&gt;="&amp;$A16,'販売記録'!$A$5:$A$1004,"&lt;"&amp;DATE(YEAR($A16),MONTH($A16)+1,1))</ns0:f>
        <ns0:v>0</ns0:v>
      </ns0:c>
      <ns0:c r="F16" s="8" t="n">
        <ns0:f>SUMIFS('販売記録'!$H$5:$H$1004,'販売記録'!$J$5:$J$1004,"販売済み",'販売記録'!$A$5:$A$1004,"&gt;="&amp;$A16,'販売記録'!$A$5:$A$1004,"&lt;"&amp;DATE(YEAR($A16),MONTH($A16)+1,1))</ns0:f>
        <ns0:v>0</ns0:v>
      </ns0:c>
      <ns0:c r="G16" s="8" t="n">
        <ns0:f>SUMIFS('販売記録'!$I$5:$I$1004,'販売記録'!$J$5:$J$1004,"販売済み",'販売記録'!$A$5:$A$1004,"&gt;="&amp;$A16,'販売記録'!$A$5:$A$1004,"&lt;"&amp;DATE(YEAR($A16),MONTH($A16)+1,1))</ns0:f>
        <ns0:v>0</ns0:v>
      </ns0:c>
    </ns0:row>
    <ns0:row r="18">
      <ns0:c r="A18" t="inlineStr">
        <ns0:is>
          <ns0:t>年間合計</ns0:t>
        </ns0:is>
      </ns0:c>
      <ns0:c r="B18" s="16" t="n">
        <ns0:f>SUM(B5:B16)</ns0:f>
        <ns0:v>6500</ns0:v>
      </ns0:c>
      <ns0:c r="C18" s="16" t="n">
        <ns0:f>SUM(C5:C16)</ns0:f>
        <ns0:v>650</ns0:v>
      </ns0:c>
      <ns0:c r="D18" s="16" t="n">
        <ns0:f>SUM(D5:D16)</ns0:f>
        <ns0:v>910</ns0:v>
      </ns0:c>
      <ns0:c r="E18" s="16" t="n">
        <ns0:f>SUM(E5:E16)</ns0:f>
        <ns0:v>2500</ns0:v>
      </ns0:c>
      <ns0:c r="F18" s="16" t="n">
        <ns0:f>SUM(F5:F16)</ns0:f>
        <ns0:v>150</ns0:v>
      </ns0:c>
      <ns0:c r="G18" s="16" t="n">
        <ns0:f>SUM(G5:G16)</ns0:f>
        <ns0:v>2290</ns0:v>
      </ns0:c>
    </ns0:row>
  </ns0:sheetData>
  <ns0:dataValidations count="1">
    <ns0:dataValidation sqref="B2" showDropDown="0" showInputMessage="0" showErrorMessage="1" allowBlank="1" errorTitle="入力値をご確認ください" error="候補または指定範囲の値を入力してください。" type="whole" errorStyle="stop">
      <ns0:formula1>1900</ns0:formula1>
      <ns0:formula2>9998</ns0:formula2>
    </ns0:dataValidation>
  </ns0:dataValidations>
  <ns0:pageMargins left="0.75" right="0.75" top="1" bottom="1" header="0.5" footer="0.5"/>
  <ns0:pageSetup orientation="landscape" paperSize="9" fitToHeight="0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実利益・在庫管理キット</dc:title>
  <dc:subject xmlns:dc="http://purl.org/dc/elements/1.1/">フリマ・物販の実利益と在庫管理</dc:subject>
  <dcterms:created xmlns:dcterms="http://purl.org/dc/terms/" xmlns:xsi="http://www.w3.org/2001/XMLSchema-instance" xsi:type="dcterms:W3CDTF">2026-10-27T05:47:56Z</dcterms:created>
  <dcterms:modified xmlns:dcterms="http://purl.org/dc/terms/" xmlns:xsi="http://www.w3.org/2001/XMLSchema-instance" xsi:type="dcterms:W3CDTF">2026-10-27T05:47:57Z</dcterms:modified>
</cp:coreProperties>
</file>